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EACC2538-03F3-4E59-B01E-AAC9C04EBBD6}" xr6:coauthVersionLast="31" xr6:coauthVersionMax="41" xr10:uidLastSave="{00000000-0000-0000-0000-000000000000}"/>
  <bookViews>
    <workbookView xWindow="1170" yWindow="1170" windowWidth="12825" windowHeight="11055" tabRatio="723" activeTab="5" xr2:uid="{819FE5EB-A8BE-46E7-8C57-623FF87BA6E9}"/>
  </bookViews>
  <sheets>
    <sheet name="ClassInformation" sheetId="3" r:id="rId1"/>
    <sheet name="Semester1" sheetId="4" r:id="rId2"/>
    <sheet name="Semester2" sheetId="16" r:id="rId3"/>
    <sheet name="AssessmentTemplate" sheetId="14" state="hidden"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6" l="1"/>
  <c r="XFD40" i="16"/>
  <c r="B40" i="16"/>
  <c r="A40" i="16"/>
  <c r="XFD39" i="16"/>
  <c r="B39" i="16"/>
  <c r="A39" i="16"/>
  <c r="XFD38" i="16"/>
  <c r="B38" i="16"/>
  <c r="A38" i="16"/>
  <c r="XFD37" i="16"/>
  <c r="B37" i="16"/>
  <c r="A37" i="16"/>
  <c r="XFD36" i="16"/>
  <c r="B36" i="16"/>
  <c r="A36" i="16"/>
  <c r="XFD35" i="16"/>
  <c r="B35" i="16"/>
  <c r="A35" i="16"/>
  <c r="XFD34" i="16"/>
  <c r="B34" i="16"/>
  <c r="A34" i="16"/>
  <c r="XFD33" i="16"/>
  <c r="B33" i="16"/>
  <c r="A33" i="16"/>
  <c r="XFD32" i="16"/>
  <c r="B32" i="16"/>
  <c r="A32" i="16"/>
  <c r="XFD31" i="16"/>
  <c r="B31" i="16"/>
  <c r="A31" i="16"/>
  <c r="XFD30" i="16"/>
  <c r="B30" i="16"/>
  <c r="A30" i="16"/>
  <c r="XFD29" i="16"/>
  <c r="B29" i="16"/>
  <c r="A29" i="16"/>
  <c r="XFD28" i="16"/>
  <c r="B28" i="16"/>
  <c r="A28" i="16"/>
  <c r="XFD27" i="16"/>
  <c r="B27" i="16"/>
  <c r="A27" i="16"/>
  <c r="XFD26" i="16"/>
  <c r="B26" i="16"/>
  <c r="A26" i="16"/>
  <c r="XFD25" i="16"/>
  <c r="B25" i="16"/>
  <c r="A25" i="16"/>
  <c r="XFD24" i="16"/>
  <c r="B24" i="16"/>
  <c r="A24" i="16"/>
  <c r="XFD23" i="16"/>
  <c r="B23" i="16"/>
  <c r="A23" i="16"/>
  <c r="XFD22" i="16"/>
  <c r="B22" i="16"/>
  <c r="A22" i="16"/>
  <c r="XFD21" i="16"/>
  <c r="B21" i="16"/>
  <c r="A21" i="16"/>
  <c r="XFD20" i="16"/>
  <c r="B20" i="16"/>
  <c r="A20" i="16"/>
  <c r="XFD19" i="16"/>
  <c r="B19" i="16"/>
  <c r="A19" i="16"/>
  <c r="XFD18" i="16"/>
  <c r="B18" i="16"/>
  <c r="A18" i="16"/>
  <c r="XFD17" i="16"/>
  <c r="B17" i="16"/>
  <c r="A17" i="16"/>
  <c r="XFD16" i="16"/>
  <c r="B16" i="16"/>
  <c r="A16" i="16"/>
  <c r="XFD15" i="16"/>
  <c r="B15" i="16"/>
  <c r="A15" i="16"/>
  <c r="XFD14" i="16"/>
  <c r="B14" i="16"/>
  <c r="A14" i="16"/>
  <c r="XFD13" i="16"/>
  <c r="B13" i="16"/>
  <c r="A13" i="16"/>
  <c r="XFD12" i="16"/>
  <c r="B12" i="16"/>
  <c r="A12" i="16"/>
  <c r="XFD11" i="16"/>
  <c r="B11" i="16"/>
  <c r="A11" i="16"/>
  <c r="XFD10" i="16"/>
  <c r="B10" i="16"/>
  <c r="A10" i="16"/>
  <c r="XFD9" i="16"/>
  <c r="B9" i="16"/>
  <c r="A9" i="16"/>
  <c r="XFD8" i="16"/>
  <c r="B8" i="16"/>
  <c r="A8" i="16"/>
  <c r="XFD7" i="16"/>
  <c r="B7" i="16"/>
  <c r="A7" i="16"/>
  <c r="XFD6" i="16"/>
  <c r="B6" i="16"/>
  <c r="A6" i="16"/>
  <c r="XFD5" i="16"/>
  <c r="B5" i="16"/>
  <c r="A5" i="16"/>
  <c r="B4" i="16"/>
  <c r="A4" i="16"/>
  <c r="Q40" i="9"/>
  <c r="P40" i="9"/>
  <c r="R40" i="9" s="1"/>
  <c r="M40" i="9"/>
  <c r="P39" i="9"/>
  <c r="R39" i="9" s="1"/>
  <c r="M39" i="9"/>
  <c r="Q38" i="9"/>
  <c r="P38" i="9"/>
  <c r="R38" i="9" s="1"/>
  <c r="M38" i="9"/>
  <c r="P37" i="9"/>
  <c r="R37" i="9" s="1"/>
  <c r="M37" i="9"/>
  <c r="P36" i="9"/>
  <c r="R36" i="9" s="1"/>
  <c r="M36" i="9"/>
  <c r="P35" i="9"/>
  <c r="R35" i="9" s="1"/>
  <c r="M35" i="9"/>
  <c r="Q34"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R26" i="9"/>
  <c r="P26" i="9"/>
  <c r="Q26" i="9" s="1"/>
  <c r="M26" i="9"/>
  <c r="O26" i="9" s="1"/>
  <c r="Q25" i="9"/>
  <c r="P25" i="9"/>
  <c r="R25" i="9" s="1"/>
  <c r="M25" i="9"/>
  <c r="O25" i="9" s="1"/>
  <c r="R24" i="9"/>
  <c r="P24" i="9"/>
  <c r="Q24" i="9" s="1"/>
  <c r="M24" i="9"/>
  <c r="O24" i="9" s="1"/>
  <c r="P23" i="9"/>
  <c r="R23" i="9" s="1"/>
  <c r="M23" i="9"/>
  <c r="O23" i="9" s="1"/>
  <c r="Q22" i="9"/>
  <c r="P22" i="9"/>
  <c r="R22" i="9" s="1"/>
  <c r="M22" i="9"/>
  <c r="O22" i="9" s="1"/>
  <c r="Q21" i="9"/>
  <c r="P21" i="9"/>
  <c r="R21" i="9" s="1"/>
  <c r="M21" i="9"/>
  <c r="O21" i="9" s="1"/>
  <c r="P20" i="9"/>
  <c r="Q20" i="9" s="1"/>
  <c r="M20" i="9"/>
  <c r="O20" i="9" s="1"/>
  <c r="P19" i="9"/>
  <c r="R19" i="9" s="1"/>
  <c r="M19" i="9"/>
  <c r="O19" i="9" s="1"/>
  <c r="Q18" i="9"/>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R10" i="9"/>
  <c r="P10" i="9"/>
  <c r="Q10" i="9" s="1"/>
  <c r="M10" i="9"/>
  <c r="O10" i="9" s="1"/>
  <c r="Q9" i="9"/>
  <c r="P9" i="9"/>
  <c r="R9" i="9" s="1"/>
  <c r="M9" i="9"/>
  <c r="R8" i="9"/>
  <c r="P8" i="9"/>
  <c r="Q8" i="9" s="1"/>
  <c r="M8" i="9"/>
  <c r="O8" i="9" s="1"/>
  <c r="P7" i="9"/>
  <c r="M7" i="9"/>
  <c r="Q6" i="9"/>
  <c r="P6" i="9"/>
  <c r="M6" i="9"/>
  <c r="P5" i="9"/>
  <c r="Q5" i="9" s="1"/>
  <c r="R5" i="9" s="1"/>
  <c r="P4" i="9"/>
  <c r="M4" i="9"/>
  <c r="Q3" i="9"/>
  <c r="P3" i="9"/>
  <c r="N3" i="9"/>
  <c r="M5" i="9" s="1"/>
  <c r="N5" i="9" s="1"/>
  <c r="M3" i="9"/>
  <c r="XEH6" i="4"/>
  <c r="XEH7" i="4"/>
  <c r="XEH8" i="4"/>
  <c r="XEH9" i="4"/>
  <c r="XEH10" i="4"/>
  <c r="XEH11" i="4"/>
  <c r="XEH12" i="4"/>
  <c r="XEH13" i="4"/>
  <c r="XEH14" i="4"/>
  <c r="XEH15" i="4"/>
  <c r="XEH16" i="4"/>
  <c r="XEH17" i="4"/>
  <c r="XEH18" i="4"/>
  <c r="XEH19" i="4"/>
  <c r="XEH20" i="4"/>
  <c r="XEH21" i="4"/>
  <c r="XEH22" i="4"/>
  <c r="XEH23" i="4"/>
  <c r="XEH24" i="4"/>
  <c r="XEH25" i="4"/>
  <c r="XEH26" i="4"/>
  <c r="XEH27" i="4"/>
  <c r="XEH28" i="4"/>
  <c r="XEH29" i="4"/>
  <c r="XEH30" i="4"/>
  <c r="XEH31" i="4"/>
  <c r="XEH32" i="4"/>
  <c r="XEH33" i="4"/>
  <c r="XEH34" i="4"/>
  <c r="XEH35" i="4"/>
  <c r="XEH36" i="4"/>
  <c r="XEH37" i="4"/>
  <c r="XEH38" i="4"/>
  <c r="XEH39" i="4"/>
  <c r="XEH40" i="4"/>
  <c r="XEH5" i="4"/>
  <c r="A1" i="4"/>
  <c r="B30" i="4"/>
  <c r="O9" i="9" l="1"/>
  <c r="R6" i="9"/>
  <c r="Q14" i="9"/>
  <c r="Q17" i="9"/>
  <c r="Q30" i="9"/>
  <c r="Q33" i="9"/>
  <c r="Q36" i="9"/>
  <c r="Q13" i="9"/>
  <c r="R16" i="9"/>
  <c r="Q29" i="9"/>
  <c r="N26" i="9"/>
  <c r="S26" i="9" s="1"/>
  <c r="U26" i="9" s="1"/>
  <c r="N33" i="9"/>
  <c r="N34" i="9"/>
  <c r="N9" i="9"/>
  <c r="S9" i="9" s="1"/>
  <c r="U9" i="9" s="1"/>
  <c r="N10" i="9"/>
  <c r="S10" i="9" s="1"/>
  <c r="U10" i="9" s="1"/>
  <c r="N17" i="9"/>
  <c r="N18" i="9"/>
  <c r="N25" i="9"/>
  <c r="N13" i="9"/>
  <c r="N14" i="9"/>
  <c r="S14" i="9" s="1"/>
  <c r="U14" i="9" s="1"/>
  <c r="N29" i="9"/>
  <c r="N30" i="9"/>
  <c r="S30" i="9" s="1"/>
  <c r="U30" i="9" s="1"/>
  <c r="N6" i="9"/>
  <c r="S6" i="9" s="1"/>
  <c r="U6" i="9" s="1"/>
  <c r="N21" i="9"/>
  <c r="S21" i="9" s="1"/>
  <c r="U21" i="9" s="1"/>
  <c r="N22" i="9"/>
  <c r="R12" i="9"/>
  <c r="S17" i="9"/>
  <c r="U17" i="9" s="1"/>
  <c r="R20" i="9"/>
  <c r="S25" i="9"/>
  <c r="U25" i="9" s="1"/>
  <c r="R28" i="9"/>
  <c r="S33" i="9"/>
  <c r="U33" i="9" s="1"/>
  <c r="Q7" i="9"/>
  <c r="R7" i="9" s="1"/>
  <c r="N11" i="9"/>
  <c r="N12" i="9"/>
  <c r="S12" i="9" s="1"/>
  <c r="U12" i="9" s="1"/>
  <c r="Q15" i="9"/>
  <c r="N19" i="9"/>
  <c r="S19" i="9" s="1"/>
  <c r="U19" i="9" s="1"/>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S22" i="9"/>
  <c r="U22" i="9" s="1"/>
  <c r="S34" i="9"/>
  <c r="U34" i="9" s="1"/>
  <c r="O35" i="9"/>
  <c r="N35" i="9"/>
  <c r="O36" i="9"/>
  <c r="N36" i="9"/>
  <c r="S36" i="9" s="1"/>
  <c r="U36" i="9" s="1"/>
  <c r="O37" i="9"/>
  <c r="N37" i="9"/>
  <c r="O38" i="9"/>
  <c r="N38" i="9"/>
  <c r="S38" i="9" s="1"/>
  <c r="U38" i="9" s="1"/>
  <c r="O39" i="9"/>
  <c r="N39" i="9"/>
  <c r="O40" i="9"/>
  <c r="N40" i="9"/>
  <c r="S40" i="9" s="1"/>
  <c r="U40" i="9" s="1"/>
  <c r="P40"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6" i="14"/>
  <c r="Q3" i="14"/>
  <c r="P5" i="14" s="1"/>
  <c r="Q5" i="14" s="1"/>
  <c r="R5" i="14" s="1"/>
  <c r="M40"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5" i="14"/>
  <c r="N5" i="14" s="1"/>
  <c r="N3" i="14"/>
  <c r="P4" i="14"/>
  <c r="M4" i="14"/>
  <c r="P3" i="14"/>
  <c r="M3" i="14"/>
  <c r="O7" i="9" l="1"/>
  <c r="S35" i="9"/>
  <c r="U35" i="9" s="1"/>
  <c r="S11" i="9"/>
  <c r="U11" i="9" s="1"/>
  <c r="S29" i="9"/>
  <c r="U29" i="9" s="1"/>
  <c r="S13" i="9"/>
  <c r="U13" i="9" s="1"/>
  <c r="O6" i="9"/>
  <c r="S39" i="9"/>
  <c r="U39" i="9" s="1"/>
  <c r="S37" i="9"/>
  <c r="U37" i="9" s="1"/>
  <c r="S27" i="9"/>
  <c r="U27" i="9" s="1"/>
  <c r="Q16" i="14"/>
  <c r="R16" i="14" s="1"/>
  <c r="Q28" i="14"/>
  <c r="R28" i="14" s="1"/>
  <c r="Q32" i="14"/>
  <c r="R32" i="14" s="1"/>
  <c r="Q36" i="14"/>
  <c r="R36" i="14" s="1"/>
  <c r="Q7" i="14"/>
  <c r="R7" i="14" s="1"/>
  <c r="Q11" i="14"/>
  <c r="R11" i="14" s="1"/>
  <c r="Q15" i="14"/>
  <c r="R15" i="14" s="1"/>
  <c r="Q23" i="14"/>
  <c r="R23" i="14" s="1"/>
  <c r="Q27" i="14"/>
  <c r="R27" i="14" s="1"/>
  <c r="Q31" i="14"/>
  <c r="R31" i="14" s="1"/>
  <c r="Q39" i="14"/>
  <c r="R39" i="14" s="1"/>
  <c r="Q12" i="14"/>
  <c r="Q20" i="14"/>
  <c r="R20" i="14" s="1"/>
  <c r="Q19" i="14"/>
  <c r="R19" i="14" s="1"/>
  <c r="Q35" i="14"/>
  <c r="R35" i="14" s="1"/>
  <c r="Q8" i="14"/>
  <c r="R8" i="14" s="1"/>
  <c r="S5" i="14"/>
  <c r="U5" i="14" s="1"/>
  <c r="O5" i="14"/>
  <c r="Q6" i="14"/>
  <c r="R6" i="14" s="1"/>
  <c r="Q10" i="14"/>
  <c r="R10" i="14" s="1"/>
  <c r="Q14" i="14"/>
  <c r="R14" i="14" s="1"/>
  <c r="Q18" i="14"/>
  <c r="R18" i="14"/>
  <c r="Q22" i="14"/>
  <c r="R22" i="14" s="1"/>
  <c r="Q26" i="14"/>
  <c r="R26" i="14" s="1"/>
  <c r="Q30" i="14"/>
  <c r="R30" i="14" s="1"/>
  <c r="Q34" i="14"/>
  <c r="R34" i="14" s="1"/>
  <c r="Q38" i="14"/>
  <c r="R38" i="14" s="1"/>
  <c r="Q24" i="14"/>
  <c r="R24" i="14"/>
  <c r="Q9" i="14"/>
  <c r="R9" i="14" s="1"/>
  <c r="Q13" i="14"/>
  <c r="R13" i="14" s="1"/>
  <c r="Q17" i="14"/>
  <c r="R17" i="14" s="1"/>
  <c r="Q21" i="14"/>
  <c r="R21" i="14" s="1"/>
  <c r="Q25" i="14"/>
  <c r="R25" i="14" s="1"/>
  <c r="Q29" i="14"/>
  <c r="R29" i="14" s="1"/>
  <c r="Q33" i="14"/>
  <c r="R33" i="14" s="1"/>
  <c r="Q37" i="14"/>
  <c r="R37" i="14" s="1"/>
  <c r="Q40" i="14"/>
  <c r="R40" i="14" s="1"/>
  <c r="N6" i="14"/>
  <c r="N7" i="14"/>
  <c r="O7" i="14" s="1"/>
  <c r="N8" i="14"/>
  <c r="O8" i="14" s="1"/>
  <c r="N9" i="14"/>
  <c r="O9" i="14" s="1"/>
  <c r="N10" i="14"/>
  <c r="N11" i="14"/>
  <c r="N12" i="14"/>
  <c r="O12" i="14" s="1"/>
  <c r="N13" i="14"/>
  <c r="N14" i="14"/>
  <c r="N15" i="14"/>
  <c r="N16" i="14"/>
  <c r="N17" i="14"/>
  <c r="O17" i="14" s="1"/>
  <c r="N18" i="14"/>
  <c r="O18" i="14" s="1"/>
  <c r="N19" i="14"/>
  <c r="O19" i="14" s="1"/>
  <c r="N20" i="14"/>
  <c r="N21" i="14"/>
  <c r="N22" i="14"/>
  <c r="S22" i="14" s="1"/>
  <c r="U22" i="14" s="1"/>
  <c r="N23" i="14"/>
  <c r="N24" i="14"/>
  <c r="O24" i="14" s="1"/>
  <c r="N25" i="14"/>
  <c r="O25" i="14" s="1"/>
  <c r="N26" i="14"/>
  <c r="N27" i="14"/>
  <c r="N28" i="14"/>
  <c r="N29" i="14"/>
  <c r="N30" i="14"/>
  <c r="N31" i="14"/>
  <c r="O31" i="14" s="1"/>
  <c r="N32" i="14"/>
  <c r="N33" i="14"/>
  <c r="O33" i="14" s="1"/>
  <c r="N34" i="14"/>
  <c r="N35" i="14"/>
  <c r="O35" i="14" s="1"/>
  <c r="N36" i="14"/>
  <c r="N37" i="14"/>
  <c r="N38" i="14"/>
  <c r="S38" i="14" s="1"/>
  <c r="U38" i="14" s="1"/>
  <c r="N39" i="14"/>
  <c r="O39" i="14" s="1"/>
  <c r="N40" i="14"/>
  <c r="S14" i="14" l="1"/>
  <c r="U14" i="14" s="1"/>
  <c r="R12" i="14"/>
  <c r="S28" i="14"/>
  <c r="U28" i="14" s="1"/>
  <c r="S32" i="14"/>
  <c r="U32" i="14" s="1"/>
  <c r="S27" i="14"/>
  <c r="U27" i="14" s="1"/>
  <c r="S34" i="14"/>
  <c r="U34" i="14" s="1"/>
  <c r="S26" i="14"/>
  <c r="U26" i="14" s="1"/>
  <c r="S10" i="14"/>
  <c r="U10" i="14" s="1"/>
  <c r="S30" i="14"/>
  <c r="U30" i="14" s="1"/>
  <c r="S6" i="14"/>
  <c r="U6" i="14" s="1"/>
  <c r="S23" i="14"/>
  <c r="U23" i="14" s="1"/>
  <c r="S15" i="14"/>
  <c r="U15" i="14" s="1"/>
  <c r="S11" i="14"/>
  <c r="U11" i="14" s="1"/>
  <c r="O27" i="14"/>
  <c r="O11" i="14"/>
  <c r="O23" i="14"/>
  <c r="S40" i="14"/>
  <c r="U40" i="14" s="1"/>
  <c r="S36" i="14"/>
  <c r="U36" i="14" s="1"/>
  <c r="S20" i="14"/>
  <c r="U20" i="14" s="1"/>
  <c r="S16" i="14"/>
  <c r="U16" i="14" s="1"/>
  <c r="O15" i="14"/>
  <c r="S39" i="14"/>
  <c r="U39" i="14" s="1"/>
  <c r="S35" i="14"/>
  <c r="U35" i="14" s="1"/>
  <c r="S31" i="14"/>
  <c r="U31" i="14" s="1"/>
  <c r="S19" i="14"/>
  <c r="U19" i="14" s="1"/>
  <c r="S7" i="14"/>
  <c r="U7" i="14" s="1"/>
  <c r="O32" i="14"/>
  <c r="O16" i="14"/>
  <c r="O34" i="14"/>
  <c r="O28" i="14"/>
  <c r="O30" i="14"/>
  <c r="O14" i="14"/>
  <c r="S37" i="14"/>
  <c r="U37" i="14" s="1"/>
  <c r="S33" i="14"/>
  <c r="U33" i="14" s="1"/>
  <c r="S29" i="14"/>
  <c r="U29" i="14" s="1"/>
  <c r="S25" i="14"/>
  <c r="U25" i="14" s="1"/>
  <c r="S21" i="14"/>
  <c r="U21" i="14" s="1"/>
  <c r="S17" i="14"/>
  <c r="U17" i="14" s="1"/>
  <c r="S13" i="14"/>
  <c r="U13" i="14" s="1"/>
  <c r="S9" i="14"/>
  <c r="U9" i="14" s="1"/>
  <c r="O37" i="14"/>
  <c r="O29" i="14"/>
  <c r="O21" i="14"/>
  <c r="O13" i="14"/>
  <c r="O38" i="14"/>
  <c r="O26" i="14"/>
  <c r="O10" i="14"/>
  <c r="O36" i="14"/>
  <c r="O20" i="14"/>
  <c r="O40" i="14"/>
  <c r="O22" i="14"/>
  <c r="O6" i="14"/>
  <c r="S18" i="14"/>
  <c r="U18" i="14" s="1"/>
  <c r="S24" i="14"/>
  <c r="U24" i="14" s="1"/>
  <c r="S12" i="14"/>
  <c r="U12" i="14" s="1"/>
  <c r="S8" i="14"/>
  <c r="U8" i="14" s="1"/>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<sst xmlns="http://schemas.openxmlformats.org/spreadsheetml/2006/main" count="217" uniqueCount="83">
  <si>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</si>
  <si>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</si>
  <si>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</si>
  <si>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</si>
  <si>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</si>
  <si>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</si>
  <si>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</si>
  <si>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</si>
  <si>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</si>
  <si>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</si>
  <si>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</si>
  <si>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</si>
  <si>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</si>
  <si>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</si>
  <si>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</si>
  <si>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</si>
  <si>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</si>
  <si>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</si>
  <si>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</si>
  <si>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</si>
  <si>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</si>
  <si>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</si>
  <si>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</si>
  <si>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</si>
  <si>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</si>
  <si>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</si>
  <si>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</si>
  <si>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</si>
  <si>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</si>
  <si>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</si>
  <si>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</si>
  <si>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</si>
  <si>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</si>
  <si>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</si>
  <si>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</si>
  <si>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</si>
  <si>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</si>
  <si>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</si>
  <si>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</si>
  <si>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</si>
  <si>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</si>
  <si>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</si>
  <si>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</si>
  <si>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</si>
  <si>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</si>
  <si>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</si>
  <si>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</si>
  <si>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</si>
  <si>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</si>
  <si>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</si>
  <si>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</si>
  <si>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</si>
  <si>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</si>
  <si>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</si>
  <si>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</si>
  <si>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</si>
  <si>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</si>
  <si>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</si>
  <si>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</si>
  <si>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</si>
  <si>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</si>
  <si>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</si>
  <si>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</si>
  <si>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</si>
  <si>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</si>
  <si>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</si>
  <si>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</si>
  <si>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</si>
  <si>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</si>
  <si>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</si>
  <si>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</si>
  <si>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</si>
  <si>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</si>
  <si>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</si>
  <si>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</si>
  <si>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</si>
  <si>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</si>
  <si>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</si>
  <si>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1.6.1</t>
  </si>
  <si>
    <t>Example 1</t>
  </si>
  <si>
    <t>PADI:</t>
  </si>
  <si>
    <t>UD:</t>
  </si>
  <si>
    <t>Created a symbol for the sorted function and added to the sheets, also hid the template sheet, updated the template instruction, added the grey out functionality when enrolled is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</si>
</sst>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6" fillId="2" borderId="35" xfId="3" applyFont="1" applyBorder="1" applyAlignment="1" applyProtection="1">
      <alignment vertical="center"/>
    </xf>
    <xf numFmtId="0" fontId="6" fillId="2" borderId="37" xfId="3" applyFont="1" applyBorder="1" applyAlignment="1" applyProtection="1">
      <alignment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font>
        <strike val="0"/>
        <color theme="0"/>
      </font>
    </dxf>
    <dxf>
      <font>
        <strike/>
        <color theme="0" tint="-0.34998626667073579"/>
      </font>
      <fill>
        <patternFill>
          <bgColor theme="0" tint="-0.14996795556505021"/>
        </patternFill>
      </fill>
    </dxf>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19050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137586</xdr:rowOff>
    </xdr:from>
    <xdr:to>
      <xdr:col>0</xdr:col>
      <xdr:colOff>540109</xdr:colOff>
      <xdr:row>43</xdr:row>
      <xdr:rowOff>128475</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6636"/>
          <a:ext cx="426640" cy="562389"/>
        </a:xfrm>
        <a:prstGeom prst="rect">
          <a:avLst/>
        </a:prstGeom>
      </xdr:spPr>
    </xdr:pic>
    <xdr:clientData/>
  </xdr:twoCellAnchor>
  <xdr:twoCellAnchor editAs="oneCell">
    <xdr:from>
      <xdr:col>0</xdr:col>
      <xdr:colOff>848864</xdr:colOff>
      <xdr:row>40</xdr:row>
      <xdr:rowOff>131124</xdr:rowOff>
    </xdr:from>
    <xdr:to>
      <xdr:col>1</xdr:col>
      <xdr:colOff>224383</xdr:colOff>
      <xdr:row>43</xdr:row>
      <xdr:rowOff>123030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848864" y="7770174"/>
          <a:ext cx="423269" cy="563406"/>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130970</xdr:rowOff>
    </xdr:from>
    <xdr:to>
      <xdr:col>1</xdr:col>
      <xdr:colOff>928687</xdr:colOff>
      <xdr:row>43</xdr:row>
      <xdr:rowOff>116630</xdr:rowOff>
    </xdr:to>
    <xdr:pic macro="[0]!SortFunctionAscend">
      <xdr:nvPicPr>
        <xdr:cNvPr id="2" name="Picture 1">
          <a:extLst>
            <a:ext uri="{FF2B5EF4-FFF2-40B4-BE49-F238E27FC236}">
              <a16:creationId xmlns:a16="http://schemas.microsoft.com/office/drawing/2014/main" id="{2BDF6A02-EDA3-46BB-896C-38B4E2E2C700}"/>
            </a:ext>
          </a:extLst>
        </xdr:cNvPr>
        <xdr:cNvPicPr>
          <a:picLocks noChangeAspect="1"/>
        </xdr:cNvPicPr>
      </xdr:nvPicPr>
      <xdr:blipFill>
        <a:blip xmlns:r="http://schemas.openxmlformats.org/officeDocument/2006/relationships" r:embed="rId3"/>
        <a:stretch>
          <a:fillRect/>
        </a:stretch>
      </xdr:blipFill>
      <xdr:spPr>
        <a:xfrm>
          <a:off x="1553765" y="7774783"/>
          <a:ext cx="422672" cy="55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19050</xdr:rowOff>
        </xdr:to>
        <xdr:sp macro="" textlink="">
          <xdr:nvSpPr>
            <xdr:cNvPr id="23553" name="Group Box 1" hidden="1">
              <a:extLst>
                <a:ext uri="{63B3BB69-23CF-44E3-9099-C40C66FF867C}">
                  <a14:compatExt spid="_x0000_s23553"/>
                </a:ext>
                <a:ext uri="{FF2B5EF4-FFF2-40B4-BE49-F238E27FC236}">
                  <a16:creationId xmlns:a16="http://schemas.microsoft.com/office/drawing/2014/main" id="{728CC097-BC0E-41B5-AA02-41ED9E4B29C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137586</xdr:rowOff>
    </xdr:from>
    <xdr:to>
      <xdr:col>0</xdr:col>
      <xdr:colOff>540109</xdr:colOff>
      <xdr:row>43</xdr:row>
      <xdr:rowOff>128475</xdr:rowOff>
    </xdr:to>
    <xdr:pic macro="[0]!AutoFitColumn">
      <xdr:nvPicPr>
        <xdr:cNvPr id="3" name="Picture 2">
          <a:extLst>
            <a:ext uri="{FF2B5EF4-FFF2-40B4-BE49-F238E27FC236}">
              <a16:creationId xmlns:a16="http://schemas.microsoft.com/office/drawing/2014/main" id="{2110EFD7-D4BA-4A19-A8A4-C7FB4948891D}"/>
            </a:ext>
          </a:extLst>
        </xdr:cNvPr>
        <xdr:cNvPicPr>
          <a:picLocks noChangeAspect="1"/>
        </xdr:cNvPicPr>
      </xdr:nvPicPr>
      <xdr:blipFill>
        <a:blip xmlns:r="http://schemas.openxmlformats.org/officeDocument/2006/relationships" r:embed="rId1"/>
        <a:stretch>
          <a:fillRect/>
        </a:stretch>
      </xdr:blipFill>
      <xdr:spPr>
        <a:xfrm>
          <a:off x="113469" y="7776636"/>
          <a:ext cx="426640" cy="562389"/>
        </a:xfrm>
        <a:prstGeom prst="rect">
          <a:avLst/>
        </a:prstGeom>
      </xdr:spPr>
    </xdr:pic>
    <xdr:clientData/>
  </xdr:twoCellAnchor>
  <xdr:twoCellAnchor editAs="oneCell">
    <xdr:from>
      <xdr:col>0</xdr:col>
      <xdr:colOff>848864</xdr:colOff>
      <xdr:row>40</xdr:row>
      <xdr:rowOff>131124</xdr:rowOff>
    </xdr:from>
    <xdr:to>
      <xdr:col>1</xdr:col>
      <xdr:colOff>224383</xdr:colOff>
      <xdr:row>43</xdr:row>
      <xdr:rowOff>123030</xdr:rowOff>
    </xdr:to>
    <xdr:pic macro="[0]!HideColumn">
      <xdr:nvPicPr>
        <xdr:cNvPr id="4" name="Picture 3">
          <a:extLst>
            <a:ext uri="{FF2B5EF4-FFF2-40B4-BE49-F238E27FC236}">
              <a16:creationId xmlns:a16="http://schemas.microsoft.com/office/drawing/2014/main" id="{77217A38-EB95-4D67-B164-A2D696528800}"/>
            </a:ext>
          </a:extLst>
        </xdr:cNvPr>
        <xdr:cNvPicPr>
          <a:picLocks noChangeAspect="1"/>
        </xdr:cNvPicPr>
      </xdr:nvPicPr>
      <xdr:blipFill>
        <a:blip xmlns:r="http://schemas.openxmlformats.org/officeDocument/2006/relationships" r:embed="rId2"/>
        <a:stretch>
          <a:fillRect/>
        </a:stretch>
      </xdr:blipFill>
      <xdr:spPr>
        <a:xfrm>
          <a:off x="848864" y="7770174"/>
          <a:ext cx="423269" cy="563406"/>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5" name="Group 4">
          <a:extLst>
            <a:ext uri="{FF2B5EF4-FFF2-40B4-BE49-F238E27FC236}">
              <a16:creationId xmlns:a16="http://schemas.microsoft.com/office/drawing/2014/main" id="{7F4AC063-ADF2-4C50-A089-9CA58C6F0016}"/>
            </a:ext>
          </a:extLst>
        </xdr:cNvPr>
        <xdr:cNvGrpSpPr/>
      </xdr:nvGrpSpPr>
      <xdr:grpSpPr>
        <a:xfrm>
          <a:off x="1929493" y="376917"/>
          <a:ext cx="146127" cy="375560"/>
          <a:chOff x="4370613" y="2128157"/>
          <a:chExt cx="146127" cy="375560"/>
        </a:xfrm>
      </xdr:grpSpPr>
      <xdr:sp macro="[0]!AddAssessment" textlink="">
        <xdr:nvSpPr>
          <xdr:cNvPr id="6" name="Trapezoid 5">
            <a:extLst>
              <a:ext uri="{FF2B5EF4-FFF2-40B4-BE49-F238E27FC236}">
                <a16:creationId xmlns:a16="http://schemas.microsoft.com/office/drawing/2014/main" id="{456D4906-3540-431A-8816-A940163FF1DC}"/>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7" name="Cross 6">
            <a:extLst>
              <a:ext uri="{FF2B5EF4-FFF2-40B4-BE49-F238E27FC236}">
                <a16:creationId xmlns:a16="http://schemas.microsoft.com/office/drawing/2014/main" id="{CA8AA7C6-3F5B-40A8-A663-1EA1653B711F}"/>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8" name="Group 7">
          <a:extLst>
            <a:ext uri="{FF2B5EF4-FFF2-40B4-BE49-F238E27FC236}">
              <a16:creationId xmlns:a16="http://schemas.microsoft.com/office/drawing/2014/main" id="{46774745-FD28-4EDC-9EC8-BDB8D7170BB1}"/>
            </a:ext>
          </a:extLst>
        </xdr:cNvPr>
        <xdr:cNvGrpSpPr/>
      </xdr:nvGrpSpPr>
      <xdr:grpSpPr>
        <a:xfrm>
          <a:off x="12247" y="376918"/>
          <a:ext cx="146127" cy="375560"/>
          <a:chOff x="4659085" y="2122715"/>
          <a:chExt cx="146127" cy="375560"/>
        </a:xfrm>
      </xdr:grpSpPr>
      <xdr:sp macro="[0]!DeleteLastAssess" textlink="">
        <xdr:nvSpPr>
          <xdr:cNvPr id="9" name="Trapezoid 8">
            <a:extLst>
              <a:ext uri="{FF2B5EF4-FFF2-40B4-BE49-F238E27FC236}">
                <a16:creationId xmlns:a16="http://schemas.microsoft.com/office/drawing/2014/main" id="{8B47ABBD-5C9B-484B-B1B7-969550549789}"/>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10" name="Minus Sign 9">
            <a:extLst>
              <a:ext uri="{FF2B5EF4-FFF2-40B4-BE49-F238E27FC236}">
                <a16:creationId xmlns:a16="http://schemas.microsoft.com/office/drawing/2014/main" id="{E438711F-73E0-4433-8472-50BD9F39F87C}"/>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130970</xdr:rowOff>
    </xdr:from>
    <xdr:to>
      <xdr:col>1</xdr:col>
      <xdr:colOff>928687</xdr:colOff>
      <xdr:row>43</xdr:row>
      <xdr:rowOff>116630</xdr:rowOff>
    </xdr:to>
    <xdr:pic macro="[0]!SortFunctionAscend">
      <xdr:nvPicPr>
        <xdr:cNvPr id="11" name="Picture 10">
          <a:extLst>
            <a:ext uri="{FF2B5EF4-FFF2-40B4-BE49-F238E27FC236}">
              <a16:creationId xmlns:a16="http://schemas.microsoft.com/office/drawing/2014/main" id="{EF1AC1B6-3D08-4E36-95CF-B2D4ED3BED69}"/>
            </a:ext>
          </a:extLst>
        </xdr:cNvPr>
        <xdr:cNvPicPr>
          <a:picLocks noChangeAspect="1"/>
        </xdr:cNvPicPr>
      </xdr:nvPicPr>
      <xdr:blipFill>
        <a:blip xmlns:r="http://schemas.openxmlformats.org/officeDocument/2006/relationships" r:embed="rId3"/>
        <a:stretch>
          <a:fillRect/>
        </a:stretch>
      </xdr:blipFill>
      <xdr:spPr>
        <a:xfrm>
          <a:off x="1553765" y="7770020"/>
          <a:ext cx="422672" cy="55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381000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1</xdr:col>
      <xdr:colOff>286996</xdr:colOff>
      <xdr:row>41</xdr:row>
      <xdr:rowOff>32847</xdr:rowOff>
    </xdr:from>
    <xdr:to>
      <xdr:col>2</xdr:col>
      <xdr:colOff>134182</xdr:colOff>
      <xdr:row>44</xdr:row>
      <xdr:rowOff>177022</xdr:rowOff>
    </xdr:to>
    <xdr:pic>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2"/>
        <a:stretch>
          <a:fillRect/>
        </a:stretch>
      </xdr:blipFill>
      <xdr:spPr>
        <a:xfrm>
          <a:off x="982735" y="7851630"/>
          <a:ext cx="542925" cy="715675"/>
        </a:xfrm>
        <a:prstGeom prst="rect">
          <a:avLst/>
        </a:prstGeom>
      </xdr:spPr>
    </xdr:pic>
    <xdr:clientData/>
  </xdr:twoCellAnchor>
  <xdr:oneCellAnchor>
    <xdr:from>
      <xdr:col>1</xdr:col>
      <xdr:colOff>294457</xdr:colOff>
      <xdr:row>44</xdr:row>
      <xdr:rowOff>153642</xdr:rowOff>
    </xdr:from>
    <xdr:ext cx="807140" cy="1031693"/>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990196" y="8543925"/>
          <a:ext cx="807140"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 Hide selected columns</a:t>
          </a:r>
        </a:p>
        <a:p>
          <a:endParaRPr lang="en-AU" sz="1200" baseline="0">
            <a:solidFill>
              <a:srgbClr val="FF0000"/>
            </a:solidFill>
          </a:endParaRPr>
        </a:p>
      </xdr:txBody>
    </xdr:sp>
    <xdr:clientData/>
  </xdr:oneCellAnchor>
  <xdr:twoCellAnchor editAs="oneCell">
    <xdr:from>
      <xdr:col>2</xdr:col>
      <xdr:colOff>349113</xdr:colOff>
      <xdr:row>41</xdr:row>
      <xdr:rowOff>24845</xdr:rowOff>
    </xdr:from>
    <xdr:to>
      <xdr:col>3</xdr:col>
      <xdr:colOff>208309</xdr:colOff>
      <xdr:row>44</xdr:row>
      <xdr:rowOff>184852</xdr:rowOff>
    </xdr:to>
    <xdr:pic>
      <xdr:nvPicPr>
        <xdr:cNvPr id="65" name="Picture 64">
          <a:extLst>
            <a:ext uri="{FF2B5EF4-FFF2-40B4-BE49-F238E27FC236}">
              <a16:creationId xmlns:a16="http://schemas.microsoft.com/office/drawing/2014/main" id="{13A8B68E-5FD5-432D-BC1C-F4B15388F617}"/>
            </a:ext>
          </a:extLst>
        </xdr:cNvPr>
        <xdr:cNvPicPr>
          <a:picLocks noChangeAspect="1"/>
        </xdr:cNvPicPr>
      </xdr:nvPicPr>
      <xdr:blipFill>
        <a:blip xmlns:r="http://schemas.openxmlformats.org/officeDocument/2006/relationships" r:embed="rId3"/>
        <a:stretch>
          <a:fillRect/>
        </a:stretch>
      </xdr:blipFill>
      <xdr:spPr>
        <a:xfrm>
          <a:off x="1740591" y="7843628"/>
          <a:ext cx="554935" cy="731507"/>
        </a:xfrm>
        <a:prstGeom prst="rect">
          <a:avLst/>
        </a:prstGeom>
      </xdr:spPr>
    </xdr:pic>
    <xdr:clientData/>
  </xdr:twoCellAnchor>
  <xdr:oneCellAnchor>
    <xdr:from>
      <xdr:col>2</xdr:col>
      <xdr:colOff>405855</xdr:colOff>
      <xdr:row>44</xdr:row>
      <xdr:rowOff>140804</xdr:rowOff>
    </xdr:from>
    <xdr:ext cx="853109" cy="843821"/>
    <xdr:sp macro="" textlink="">
      <xdr:nvSpPr>
        <xdr:cNvPr id="66" name="TextBox 65">
          <a:extLst>
            <a:ext uri="{FF2B5EF4-FFF2-40B4-BE49-F238E27FC236}">
              <a16:creationId xmlns:a16="http://schemas.microsoft.com/office/drawing/2014/main" id="{52420D8E-EAB7-42BC-AD17-320E0654E5A0}"/>
            </a:ext>
          </a:extLst>
        </xdr:cNvPr>
        <xdr:cNvSpPr txBox="1"/>
      </xdr:nvSpPr>
      <xdr:spPr>
        <a:xfrm>
          <a:off x="1797333" y="8531087"/>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182217</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C3CCABC-0E3F-4C13-94F2-E341769F9001}"/>
            </a:ext>
          </a:extLst>
        </xdr:cNvPr>
        <xdr:cNvSpPr/>
      </xdr:nvSpPr>
      <xdr:spPr>
        <a:xfrm>
          <a:off x="24848" y="372717"/>
          <a:ext cx="4141304" cy="405848"/>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5711E775-41E9-4195-A2BA-02FEC3BEF7AA}"/>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5213FB9D-D866-46E7-A66A-14A87D43686C}"/>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3FAA2F06-871A-4510-8D70-F63191D70519}"/>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EE89EB31-D9A8-480F-B164-4150985A6135}"/>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85ADF173-5566-48BD-80B4-7C210BD25595}"/>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C4F2C3CA-92B0-4D82-B332-972598D03A05}"/>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3">
  <autoFilter ref="A1:C18" xr:uid="{498E8186-74A7-4E6E-AE4A-D794E9C8B595}"/>
  <tableColumns count="3">
    <tableColumn id="1" xr3:uid="{5861E389-9F05-4056-B978-22BEA3DA1355}" name="Score" dataDxfId="12" dataCellStyle="Percent"/>
    <tableColumn id="2" xr3:uid="{9526CEDD-EB3F-43D3-A6D9-A4B81BDDC393}" name="Grade" dataDxfId="11"/>
    <tableColumn id="3" xr3:uid="{63910571-226F-4D3A-AE65-3CF97BD66F23}" name="Points" dataDxfId="1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topLeftCell="A16" zoomScaleNormal="100" workbookViewId="0">
      <selection activeCell="D39" sqref="D39"/>
    </sheetView>
  </sheetViews>
  <sheetFormatPr defaultRowHeight="15" x14ac:dyDescent="0.25"/>
  <cols>
    <col min="1" max="1" width="9.140625" style="2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x14ac:dyDescent="0.25">
      <c r="B2" s="124"/>
      <c r="C2" s="125"/>
      <c r="D2" s="125"/>
      <c r="E2" s="125"/>
      <c r="F2" s="126"/>
      <c r="H2" s="129"/>
      <c r="I2" s="129"/>
      <c r="J2" s="129"/>
      <c r="K2" s="129"/>
    </row>
    <row r="3" spans="2:11" ht="20.25" customHeight="1" thickBot="1" x14ac:dyDescent="0.35">
      <c r="B3" s="10"/>
      <c r="C3" s="139" t="s">
        <v>26</v>
      </c>
      <c r="D3" s="139"/>
      <c r="E3" s="139"/>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3" t="s">
        <v>66</v>
      </c>
      <c r="E5" s="134"/>
      <c r="F5" s="11"/>
      <c r="H5" s="26"/>
      <c r="I5" s="26"/>
      <c r="J5" s="26"/>
      <c r="K5" s="26"/>
    </row>
    <row r="6" spans="2:11" x14ac:dyDescent="0.25">
      <c r="B6" s="10"/>
      <c r="C6" s="14" t="s">
        <v>29</v>
      </c>
      <c r="D6" s="135">
        <v>2018</v>
      </c>
      <c r="E6" s="136"/>
      <c r="F6" s="11"/>
      <c r="H6" s="26"/>
      <c r="I6" s="26"/>
      <c r="J6" s="26"/>
      <c r="K6" s="26"/>
    </row>
    <row r="7" spans="2:11" x14ac:dyDescent="0.25">
      <c r="B7" s="10"/>
      <c r="C7" s="14" t="s">
        <v>25</v>
      </c>
      <c r="D7" s="137" t="s">
        <v>67</v>
      </c>
      <c r="E7" s="138"/>
      <c r="F7" s="11"/>
      <c r="H7" s="26"/>
      <c r="I7" s="26"/>
      <c r="J7" s="26"/>
      <c r="K7" s="26"/>
    </row>
    <row r="8" spans="2:11" x14ac:dyDescent="0.25">
      <c r="B8" s="10"/>
      <c r="C8" s="130" t="s">
        <v>22</v>
      </c>
      <c r="D8" s="131"/>
      <c r="E8" s="132"/>
      <c r="F8" s="11"/>
      <c r="H8" s="26"/>
      <c r="I8" s="26"/>
      <c r="J8" s="26"/>
      <c r="K8" s="26"/>
    </row>
    <row r="9" spans="2:11" x14ac:dyDescent="0.25">
      <c r="B9" s="10"/>
      <c r="C9" s="15" t="s">
        <v>19</v>
      </c>
      <c r="D9" s="15" t="s">
        <v>20</v>
      </c>
      <c r="E9" s="12" t="s">
        <v>23</v>
      </c>
      <c r="F9" s="11"/>
      <c r="H9" s="26"/>
      <c r="I9" s="26"/>
      <c r="J9" s="26"/>
      <c r="K9" s="26"/>
    </row>
    <row r="10" spans="2:11" x14ac:dyDescent="0.25">
      <c r="B10" s="10"/>
      <c r="C10" s="69"/>
      <c r="D10" s="70"/>
      <c r="E10" s="69"/>
      <c r="F10" s="11"/>
      <c r="H10" s="26"/>
      <c r="I10" s="26"/>
      <c r="J10" s="26"/>
      <c r="K10" s="26"/>
    </row>
    <row r="11" spans="2:11" x14ac:dyDescent="0.25">
      <c r="B11" s="10"/>
      <c r="C11" s="69"/>
      <c r="D11" s="70"/>
      <c r="E11" s="69"/>
      <c r="F11" s="11"/>
      <c r="H11" s="26"/>
      <c r="I11" s="26"/>
      <c r="J11" s="26"/>
      <c r="K11" s="26"/>
    </row>
    <row r="12" spans="2:11" x14ac:dyDescent="0.25">
      <c r="B12" s="10"/>
      <c r="C12" s="69"/>
      <c r="D12" s="70"/>
      <c r="E12" s="69"/>
      <c r="F12" s="11"/>
      <c r="H12" s="26"/>
      <c r="I12" s="26"/>
      <c r="J12" s="26"/>
      <c r="K12" s="26"/>
    </row>
    <row r="13" spans="2:11" x14ac:dyDescent="0.25">
      <c r="B13" s="10"/>
      <c r="C13" s="69"/>
      <c r="D13" s="70"/>
      <c r="E13" s="69"/>
      <c r="F13" s="11"/>
      <c r="H13" s="26"/>
      <c r="I13" s="26"/>
      <c r="J13" s="26"/>
      <c r="K13" s="26"/>
    </row>
    <row r="14" spans="2:11" x14ac:dyDescent="0.25">
      <c r="B14" s="10"/>
      <c r="C14" s="69"/>
      <c r="D14" s="70"/>
      <c r="E14" s="69"/>
      <c r="F14" s="11"/>
      <c r="H14" s="26"/>
      <c r="I14" s="26"/>
      <c r="J14" s="26"/>
      <c r="K14" s="26"/>
    </row>
    <row r="15" spans="2:11" x14ac:dyDescent="0.25">
      <c r="B15" s="10"/>
      <c r="C15" s="69"/>
      <c r="D15" s="70"/>
      <c r="E15" s="69"/>
      <c r="F15" s="11"/>
      <c r="H15" s="26"/>
      <c r="I15" s="26"/>
      <c r="J15" s="26"/>
      <c r="K15" s="26"/>
    </row>
    <row r="16" spans="2:11" x14ac:dyDescent="0.25">
      <c r="B16" s="10"/>
      <c r="C16" s="69"/>
      <c r="D16" s="70"/>
      <c r="E16" s="69"/>
      <c r="F16" s="11"/>
      <c r="H16" s="26"/>
      <c r="I16" s="26"/>
      <c r="J16" s="26"/>
      <c r="K16" s="26"/>
    </row>
    <row r="17" spans="2:11" x14ac:dyDescent="0.25">
      <c r="B17" s="10"/>
      <c r="C17" s="69"/>
      <c r="D17" s="70"/>
      <c r="E17" s="69"/>
      <c r="F17" s="11"/>
      <c r="H17" s="26"/>
      <c r="I17" s="26"/>
      <c r="J17" s="26"/>
      <c r="K17" s="26"/>
    </row>
    <row r="18" spans="2:11" x14ac:dyDescent="0.25">
      <c r="B18" s="10"/>
      <c r="C18" s="69"/>
      <c r="D18" s="70"/>
      <c r="E18" s="69"/>
      <c r="F18" s="11"/>
      <c r="H18" s="26"/>
      <c r="I18" s="26"/>
      <c r="J18" s="26"/>
      <c r="K18" s="26"/>
    </row>
    <row r="19" spans="2:11" x14ac:dyDescent="0.25">
      <c r="B19" s="10"/>
      <c r="C19" s="69"/>
      <c r="D19" s="70"/>
      <c r="E19" s="69"/>
      <c r="F19" s="11"/>
      <c r="H19" s="26"/>
      <c r="I19" s="26"/>
      <c r="J19" s="26"/>
      <c r="K19" s="26"/>
    </row>
    <row r="20" spans="2:11" x14ac:dyDescent="0.25">
      <c r="B20" s="10"/>
      <c r="C20" s="69"/>
      <c r="D20" s="70"/>
      <c r="E20" s="69"/>
      <c r="F20" s="11"/>
      <c r="H20" s="26"/>
      <c r="I20" s="26"/>
      <c r="J20" s="26"/>
      <c r="K20" s="26"/>
    </row>
    <row r="21" spans="2:11" x14ac:dyDescent="0.25">
      <c r="B21" s="10"/>
      <c r="C21" s="69"/>
      <c r="D21" s="70"/>
      <c r="E21" s="69"/>
      <c r="F21" s="11"/>
      <c r="H21" s="26"/>
      <c r="I21" s="26"/>
      <c r="J21" s="26"/>
      <c r="K21" s="26"/>
    </row>
    <row r="22" spans="2:11" x14ac:dyDescent="0.25">
      <c r="B22" s="10"/>
      <c r="C22" s="69"/>
      <c r="D22" s="70"/>
      <c r="E22" s="69"/>
      <c r="F22" s="11"/>
      <c r="H22" s="26"/>
      <c r="I22" s="26"/>
      <c r="J22" s="26"/>
      <c r="K22" s="26"/>
    </row>
    <row r="23" spans="2:11" x14ac:dyDescent="0.25">
      <c r="B23" s="10"/>
      <c r="C23" s="69"/>
      <c r="D23" s="70"/>
      <c r="E23" s="69"/>
      <c r="F23" s="11"/>
      <c r="H23" s="26"/>
      <c r="I23" s="26"/>
      <c r="J23" s="26"/>
      <c r="K23" s="26"/>
    </row>
    <row r="24" spans="2:11" x14ac:dyDescent="0.25">
      <c r="B24" s="10"/>
      <c r="C24" s="69"/>
      <c r="D24" s="70"/>
      <c r="E24" s="69"/>
      <c r="F24" s="11"/>
      <c r="H24" s="26"/>
      <c r="I24" s="26"/>
      <c r="J24" s="26"/>
      <c r="K24" s="26"/>
    </row>
    <row r="25" spans="2:11" x14ac:dyDescent="0.25">
      <c r="B25" s="10"/>
      <c r="C25" s="69"/>
      <c r="D25" s="70"/>
      <c r="E25" s="69"/>
      <c r="F25" s="11"/>
      <c r="H25" s="49"/>
      <c r="I25" s="128"/>
      <c r="J25" s="128"/>
      <c r="K25" s="128"/>
    </row>
    <row r="26" spans="2:11" x14ac:dyDescent="0.25">
      <c r="B26" s="10"/>
      <c r="C26" s="69"/>
      <c r="D26" s="70"/>
      <c r="E26" s="69"/>
      <c r="F26" s="11"/>
      <c r="H26" s="50"/>
      <c r="I26" s="129"/>
      <c r="J26" s="129"/>
      <c r="K26" s="129"/>
    </row>
    <row r="27" spans="2:11" ht="15" customHeight="1" x14ac:dyDescent="0.25">
      <c r="B27" s="10"/>
      <c r="C27" s="69"/>
      <c r="D27" s="70"/>
      <c r="E27" s="69"/>
      <c r="F27" s="11"/>
      <c r="H27" s="127"/>
      <c r="I27" s="48"/>
      <c r="J27" s="48"/>
      <c r="K27" s="48"/>
    </row>
    <row r="28" spans="2:11" x14ac:dyDescent="0.25">
      <c r="B28" s="10"/>
      <c r="C28" s="69"/>
      <c r="D28" s="70"/>
      <c r="E28" s="69"/>
      <c r="F28" s="11"/>
      <c r="H28" s="127"/>
      <c r="I28" s="48"/>
      <c r="J28" s="48"/>
      <c r="K28" s="48"/>
    </row>
    <row r="29" spans="2:11" x14ac:dyDescent="0.25">
      <c r="B29" s="10"/>
      <c r="C29" s="69"/>
      <c r="D29" s="70"/>
      <c r="E29" s="69"/>
      <c r="F29" s="11"/>
      <c r="H29" s="127"/>
      <c r="I29" s="48"/>
      <c r="J29" s="48"/>
      <c r="K29" s="48"/>
    </row>
    <row r="30" spans="2:11" x14ac:dyDescent="0.25">
      <c r="B30" s="10"/>
      <c r="C30" s="69"/>
      <c r="D30" s="70"/>
      <c r="E30" s="69"/>
      <c r="F30" s="11"/>
      <c r="H30" s="26"/>
      <c r="I30" s="26"/>
      <c r="J30" s="26"/>
      <c r="K30" s="26"/>
    </row>
    <row r="31" spans="2:11" x14ac:dyDescent="0.25">
      <c r="B31" s="10"/>
      <c r="C31" s="69"/>
      <c r="D31" s="70"/>
      <c r="E31" s="69"/>
      <c r="F31" s="11"/>
      <c r="H31" s="26"/>
      <c r="I31" s="26"/>
      <c r="J31" s="26"/>
      <c r="K31" s="26"/>
    </row>
    <row r="32" spans="2:11" x14ac:dyDescent="0.25">
      <c r="B32" s="10"/>
      <c r="C32" s="69"/>
      <c r="D32" s="70"/>
      <c r="E32" s="69"/>
      <c r="F32" s="11"/>
    </row>
    <row r="33" spans="2:11" x14ac:dyDescent="0.25">
      <c r="B33" s="10"/>
      <c r="C33" s="69"/>
      <c r="D33" s="70"/>
      <c r="E33" s="69"/>
      <c r="F33" s="11"/>
      <c r="H33" s="51" t="s">
        <v>27</v>
      </c>
      <c r="I33" s="140" t="s">
        <v>35</v>
      </c>
      <c r="J33" s="141"/>
      <c r="K33" s="142"/>
    </row>
    <row r="34" spans="2:11" ht="15.75" customHeight="1" x14ac:dyDescent="0.25">
      <c r="B34" s="10"/>
      <c r="C34" s="69"/>
      <c r="D34" s="70"/>
      <c r="E34" s="69"/>
      <c r="F34" s="11"/>
      <c r="H34" s="20" t="s">
        <v>28</v>
      </c>
      <c r="I34" s="143" t="s">
        <v>37</v>
      </c>
      <c r="J34" s="144"/>
      <c r="K34" s="145"/>
    </row>
    <row r="35" spans="2:11" x14ac:dyDescent="0.25">
      <c r="B35" s="10"/>
      <c r="C35" s="69"/>
      <c r="D35" s="52"/>
      <c r="E35" s="29"/>
      <c r="F35" s="11"/>
      <c r="H35" s="112" t="s">
        <v>36</v>
      </c>
      <c r="I35" s="115" t="s">
        <v>38</v>
      </c>
      <c r="J35" s="116"/>
      <c r="K35" s="117"/>
    </row>
    <row r="36" spans="2:11" x14ac:dyDescent="0.25">
      <c r="B36" s="10"/>
      <c r="C36" s="69"/>
      <c r="D36" s="30"/>
      <c r="E36" s="29"/>
      <c r="F36" s="11"/>
      <c r="H36" s="113"/>
      <c r="I36" s="118"/>
      <c r="J36" s="119"/>
      <c r="K36" s="120"/>
    </row>
    <row r="37" spans="2:11" x14ac:dyDescent="0.25">
      <c r="B37" s="10"/>
      <c r="C37" s="69"/>
      <c r="D37" s="53"/>
      <c r="E37" s="29"/>
      <c r="F37" s="11"/>
      <c r="H37" s="114"/>
      <c r="I37" s="121"/>
      <c r="J37" s="122"/>
      <c r="K37" s="123"/>
    </row>
    <row r="38" spans="2:11" x14ac:dyDescent="0.25">
      <c r="B38" s="10"/>
      <c r="C38" s="69"/>
      <c r="D38" s="53"/>
      <c r="E38" s="29"/>
      <c r="F38" s="11"/>
      <c r="H38" s="26"/>
      <c r="I38" s="26"/>
      <c r="J38" s="26"/>
      <c r="K38" s="26"/>
    </row>
    <row r="39" spans="2:11" x14ac:dyDescent="0.25">
      <c r="B39" s="10"/>
      <c r="C39" s="69"/>
      <c r="D39" s="53"/>
      <c r="E39" s="29"/>
      <c r="F39" s="11"/>
      <c r="H39" s="26"/>
      <c r="I39" s="26"/>
      <c r="J39" s="26"/>
      <c r="K39" s="26"/>
    </row>
    <row r="40" spans="2:11" x14ac:dyDescent="0.25">
      <c r="B40" s="10"/>
      <c r="C40" s="69"/>
      <c r="D40" s="53"/>
      <c r="E40" s="69"/>
      <c r="F40" s="11"/>
      <c r="H40" s="26"/>
      <c r="I40" s="26"/>
      <c r="J40" s="26"/>
      <c r="K40" s="26"/>
    </row>
    <row r="41" spans="2:11" x14ac:dyDescent="0.25">
      <c r="B41" s="10"/>
      <c r="C41" s="69"/>
      <c r="D41" s="53"/>
      <c r="E41" s="69"/>
      <c r="F41" s="11"/>
      <c r="H41" s="26"/>
      <c r="I41" s="26"/>
      <c r="J41" s="26"/>
      <c r="K41" s="26"/>
    </row>
    <row r="42" spans="2:11" x14ac:dyDescent="0.25">
      <c r="B42" s="10"/>
      <c r="C42" s="69"/>
      <c r="D42" s="53"/>
      <c r="E42" s="69"/>
      <c r="F42" s="11"/>
    </row>
    <row r="43" spans="2:11" x14ac:dyDescent="0.25">
      <c r="B43" s="10"/>
      <c r="C43" s="69"/>
      <c r="D43" s="53"/>
      <c r="E43" s="69"/>
      <c r="F43" s="11"/>
    </row>
    <row r="44" spans="2:11" x14ac:dyDescent="0.25">
      <c r="B44" s="10"/>
      <c r="C44" s="69"/>
      <c r="D44" s="53"/>
      <c r="E44" s="69"/>
      <c r="F44" s="11"/>
    </row>
    <row r="45" spans="2:11" x14ac:dyDescent="0.25">
      <c r="B45" s="10"/>
      <c r="C45" s="69"/>
      <c r="D45" s="53"/>
      <c r="E45" s="69"/>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EH81"/>
  <sheetViews>
    <sheetView zoomScaleNormal="100" workbookViewId="0">
      <pane xSplit="2" ySplit="4" topLeftCell="C5" activePane="bottomRight" state="frozenSplit"/>
      <selection pane="topRight" activeCell="AE1" sqref="AE1"/>
      <selection pane="bottomLeft" activeCell="A23" sqref="A23"/>
      <selection pane="bottomRight" activeCell="B26" sqref="B26"/>
    </sheetView>
  </sheetViews>
  <sheetFormatPr defaultRowHeight="15" x14ac:dyDescent="0.25"/>
  <cols>
    <col min="1" max="2" width="15.7109375" style="61" customWidth="1"/>
    <col min="3" max="16384" width="9.140625" style="62"/>
  </cols>
  <sheetData>
    <row r="1" spans="1:2 16362:16362" s="60" customFormat="1" x14ac:dyDescent="0.25">
      <c r="A1" s="146" t="str">
        <f>_xlfn.CONCAT("Year ",ClassInformation!D4,ClassInformation!E4," ",ClassInformation!D5," - ","Semester 1 ",ClassInformation!D6)</f>
        <v>Year 7A [Subject] - Semester 1 2018</v>
      </c>
      <c r="B1" s="147"/>
    </row>
    <row r="2" spans="1:2 16362:16362" s="60" customFormat="1" x14ac:dyDescent="0.25">
      <c r="A2" s="146"/>
      <c r="B2" s="147"/>
    </row>
    <row r="3" spans="1:2 16362:16362" s="60" customFormat="1" x14ac:dyDescent="0.25">
      <c r="A3" s="148" t="s">
        <v>21</v>
      </c>
      <c r="B3" s="149"/>
    </row>
    <row r="4" spans="1:2 16362:16362" s="60" customFormat="1" ht="15.75" thickBot="1" x14ac:dyDescent="0.3">
      <c r="A4" s="109" t="str">
        <f>ClassInformation!C9</f>
        <v>Last Name</v>
      </c>
      <c r="B4" s="57" t="str">
        <f>ClassInformation!D9</f>
        <v>First Name</v>
      </c>
    </row>
    <row r="5" spans="1:2 16362:16362" s="28" customFormat="1" x14ac:dyDescent="0.25">
      <c r="A5" s="163" t="str">
        <f>IF(ISBLANK(ClassInformation!C10),"ZZZZZ",ClassInformation!C10)</f>
        <v>ZZZZZ</v>
      </c>
      <c r="B5" s="59" t="str">
        <f>IF(ISBLANK(ClassInformation!D10),"ZZZZZ",ClassInformation!D10)</f>
        <v>ZZZZZ</v>
      </c>
      <c r="XEH5" s="28">
        <f>ClassInformation!E10</f>
        <v>0</v>
      </c>
    </row>
    <row r="6" spans="1:2 16362:16362" s="28" customFormat="1" x14ac:dyDescent="0.25">
      <c r="A6" s="58" t="str">
        <f>IF(ISBLANK(ClassInformation!C11),"ZZZZZ",ClassInformation!C11)</f>
        <v>ZZZZZ</v>
      </c>
      <c r="B6" s="59" t="str">
        <f>IF(ISBLANK(ClassInformation!D11),"ZZZZZ",ClassInformation!D11)</f>
        <v>ZZZZZ</v>
      </c>
      <c r="XEH6" s="28">
        <f>ClassInformation!E11</f>
        <v>0</v>
      </c>
    </row>
    <row r="7" spans="1:2 16362:16362" s="28" customFormat="1" x14ac:dyDescent="0.25">
      <c r="A7" s="58" t="str">
        <f>IF(ISBLANK(ClassInformation!C12),"ZZZZZ",ClassInformation!C12)</f>
        <v>ZZZZZ</v>
      </c>
      <c r="B7" s="59" t="str">
        <f>IF(ISBLANK(ClassInformation!D12),"ZZZZZ",ClassInformation!D12)</f>
        <v>ZZZZZ</v>
      </c>
      <c r="XEH7" s="28">
        <f>ClassInformation!E12</f>
        <v>0</v>
      </c>
    </row>
    <row r="8" spans="1:2 16362:16362" s="28" customFormat="1" x14ac:dyDescent="0.25">
      <c r="A8" s="58" t="str">
        <f>IF(ISBLANK(ClassInformation!C13),"ZZZZZ",ClassInformation!C13)</f>
        <v>ZZZZZ</v>
      </c>
      <c r="B8" s="59" t="str">
        <f>IF(ISBLANK(ClassInformation!D13),"ZZZZZ",ClassInformation!D13)</f>
        <v>ZZZZZ</v>
      </c>
      <c r="XEH8" s="28">
        <f>ClassInformation!E13</f>
        <v>0</v>
      </c>
    </row>
    <row r="9" spans="1:2 16362:16362" s="28" customFormat="1" x14ac:dyDescent="0.25">
      <c r="A9" s="58" t="str">
        <f>IF(ISBLANK(ClassInformation!C14),"ZZZZZ",ClassInformation!C14)</f>
        <v>ZZZZZ</v>
      </c>
      <c r="B9" s="59" t="str">
        <f>IF(ISBLANK(ClassInformation!D14),"ZZZZZ",ClassInformation!D14)</f>
        <v>ZZZZZ</v>
      </c>
      <c r="XEH9" s="28">
        <f>ClassInformation!E14</f>
        <v>0</v>
      </c>
    </row>
    <row r="10" spans="1:2 16362:16362" s="28" customFormat="1" x14ac:dyDescent="0.25">
      <c r="A10" s="58" t="str">
        <f>IF(ISBLANK(ClassInformation!C15),"ZZZZZ",ClassInformation!C15)</f>
        <v>ZZZZZ</v>
      </c>
      <c r="B10" s="59" t="str">
        <f>IF(ISBLANK(ClassInformation!D15),"ZZZZZ",ClassInformation!D15)</f>
        <v>ZZZZZ</v>
      </c>
      <c r="XEH10" s="28">
        <f>ClassInformation!E15</f>
        <v>0</v>
      </c>
    </row>
    <row r="11" spans="1:2 16362:16362" s="28" customFormat="1" x14ac:dyDescent="0.25">
      <c r="A11" s="58" t="str">
        <f>IF(ISBLANK(ClassInformation!C16),"ZZZZZ",ClassInformation!C16)</f>
        <v>ZZZZZ</v>
      </c>
      <c r="B11" s="59" t="str">
        <f>IF(ISBLANK(ClassInformation!D16),"ZZZZZ",ClassInformation!D16)</f>
        <v>ZZZZZ</v>
      </c>
      <c r="XEH11" s="28">
        <f>ClassInformation!E16</f>
        <v>0</v>
      </c>
    </row>
    <row r="12" spans="1:2 16362:16362" s="28" customFormat="1" x14ac:dyDescent="0.25">
      <c r="A12" s="58" t="str">
        <f>IF(ISBLANK(ClassInformation!C17),"ZZZZZ",ClassInformation!C17)</f>
        <v>ZZZZZ</v>
      </c>
      <c r="B12" s="59" t="str">
        <f>IF(ISBLANK(ClassInformation!D17),"ZZZZZ",ClassInformation!D17)</f>
        <v>ZZZZZ</v>
      </c>
      <c r="XEH12" s="28">
        <f>ClassInformation!E17</f>
        <v>0</v>
      </c>
    </row>
    <row r="13" spans="1:2 16362:16362" s="28" customFormat="1" x14ac:dyDescent="0.25">
      <c r="A13" s="58" t="str">
        <f>IF(ISBLANK(ClassInformation!C18),"ZZZZZ",ClassInformation!C18)</f>
        <v>ZZZZZ</v>
      </c>
      <c r="B13" s="59" t="str">
        <f>IF(ISBLANK(ClassInformation!D18),"ZZZZZ",ClassInformation!D18)</f>
        <v>ZZZZZ</v>
      </c>
      <c r="XEH13" s="28">
        <f>ClassInformation!E18</f>
        <v>0</v>
      </c>
    </row>
    <row r="14" spans="1:2 16362:16362" s="28" customFormat="1" x14ac:dyDescent="0.25">
      <c r="A14" s="58" t="str">
        <f>IF(ISBLANK(ClassInformation!C19),"ZZZZZ",ClassInformation!C19)</f>
        <v>ZZZZZ</v>
      </c>
      <c r="B14" s="59" t="str">
        <f>IF(ISBLANK(ClassInformation!D19),"ZZZZZ",ClassInformation!D19)</f>
        <v>ZZZZZ</v>
      </c>
      <c r="XEH14" s="28">
        <f>ClassInformation!E19</f>
        <v>0</v>
      </c>
    </row>
    <row r="15" spans="1:2 16362:16362" s="28" customFormat="1" x14ac:dyDescent="0.25">
      <c r="A15" s="58" t="str">
        <f>IF(ISBLANK(ClassInformation!C20),"ZZZZZ",ClassInformation!C20)</f>
        <v>ZZZZZ</v>
      </c>
      <c r="B15" s="59" t="str">
        <f>IF(ISBLANK(ClassInformation!D20),"ZZZZZ",ClassInformation!D20)</f>
        <v>ZZZZZ</v>
      </c>
      <c r="XEH15" s="28">
        <f>ClassInformation!E20</f>
        <v>0</v>
      </c>
    </row>
    <row r="16" spans="1:2 16362:16362" s="28" customFormat="1" x14ac:dyDescent="0.25">
      <c r="A16" s="58" t="str">
        <f>IF(ISBLANK(ClassInformation!C21),"ZZZZZ",ClassInformation!C21)</f>
        <v>ZZZZZ</v>
      </c>
      <c r="B16" s="59" t="str">
        <f>IF(ISBLANK(ClassInformation!D21),"ZZZZZ",ClassInformation!D21)</f>
        <v>ZZZZZ</v>
      </c>
      <c r="XEH16" s="28">
        <f>ClassInformation!E21</f>
        <v>0</v>
      </c>
    </row>
    <row r="17" spans="1:2 16362:16362" s="28" customFormat="1" x14ac:dyDescent="0.25">
      <c r="A17" s="58" t="str">
        <f>IF(ISBLANK(ClassInformation!C22),"ZZZZZ",ClassInformation!C22)</f>
        <v>ZZZZZ</v>
      </c>
      <c r="B17" s="59" t="str">
        <f>IF(ISBLANK(ClassInformation!D22),"ZZZZZ",ClassInformation!D22)</f>
        <v>ZZZZZ</v>
      </c>
      <c r="XEH17" s="28">
        <f>ClassInformation!E22</f>
        <v>0</v>
      </c>
    </row>
    <row r="18" spans="1:2 16362:16362" s="28" customFormat="1" x14ac:dyDescent="0.25">
      <c r="A18" s="58" t="str">
        <f>IF(ISBLANK(ClassInformation!C23),"ZZZZZ",ClassInformation!C23)</f>
        <v>ZZZZZ</v>
      </c>
      <c r="B18" s="59" t="str">
        <f>IF(ISBLANK(ClassInformation!D23),"ZZZZZ",ClassInformation!D23)</f>
        <v>ZZZZZ</v>
      </c>
      <c r="XEH18" s="28">
        <f>ClassInformation!E23</f>
        <v>0</v>
      </c>
    </row>
    <row r="19" spans="1:2 16362:16362" s="28" customFormat="1" x14ac:dyDescent="0.25">
      <c r="A19" s="58" t="str">
        <f>IF(ISBLANK(ClassInformation!C24),"ZZZZZ",ClassInformation!C24)</f>
        <v>ZZZZZ</v>
      </c>
      <c r="B19" s="59" t="str">
        <f>IF(ISBLANK(ClassInformation!D24),"ZZZZZ",ClassInformation!D24)</f>
        <v>ZZZZZ</v>
      </c>
      <c r="XEH19" s="28">
        <f>ClassInformation!E24</f>
        <v>0</v>
      </c>
    </row>
    <row r="20" spans="1:2 16362:16362" s="28" customFormat="1" x14ac:dyDescent="0.25">
      <c r="A20" s="58" t="str">
        <f>IF(ISBLANK(ClassInformation!C25),"ZZZZZ",ClassInformation!C25)</f>
        <v>ZZZZZ</v>
      </c>
      <c r="B20" s="59" t="str">
        <f>IF(ISBLANK(ClassInformation!D25),"ZZZZZ",ClassInformation!D25)</f>
        <v>ZZZZZ</v>
      </c>
      <c r="XEH20" s="28">
        <f>ClassInformation!E25</f>
        <v>0</v>
      </c>
    </row>
    <row r="21" spans="1:2 16362:16362" s="28" customFormat="1" x14ac:dyDescent="0.25">
      <c r="A21" s="58" t="str">
        <f>IF(ISBLANK(ClassInformation!C26),"ZZZZZ",ClassInformation!C26)</f>
        <v>ZZZZZ</v>
      </c>
      <c r="B21" s="59" t="str">
        <f>IF(ISBLANK(ClassInformation!D26),"ZZZZZ",ClassInformation!D26)</f>
        <v>ZZZZZ</v>
      </c>
      <c r="XEH21" s="28">
        <f>ClassInformation!E26</f>
        <v>0</v>
      </c>
    </row>
    <row r="22" spans="1:2 16362:16362" s="28" customFormat="1" x14ac:dyDescent="0.25">
      <c r="A22" s="58" t="str">
        <f>IF(ISBLANK(ClassInformation!C27),"ZZZZZ",ClassInformation!C27)</f>
        <v>ZZZZZ</v>
      </c>
      <c r="B22" s="59" t="str">
        <f>IF(ISBLANK(ClassInformation!D27),"ZZZZZ",ClassInformation!D27)</f>
        <v>ZZZZZ</v>
      </c>
      <c r="XEH22" s="28">
        <f>ClassInformation!E27</f>
        <v>0</v>
      </c>
    </row>
    <row r="23" spans="1:2 16362:16362" s="28" customFormat="1" x14ac:dyDescent="0.25">
      <c r="A23" s="58" t="str">
        <f>IF(ISBLANK(ClassInformation!C28),"ZZZZZ",ClassInformation!C28)</f>
        <v>ZZZZZ</v>
      </c>
      <c r="B23" s="59" t="str">
        <f>IF(ISBLANK(ClassInformation!D28),"ZZZZZ",ClassInformation!D28)</f>
        <v>ZZZZZ</v>
      </c>
      <c r="XEH23" s="28">
        <f>ClassInformation!E28</f>
        <v>0</v>
      </c>
    </row>
    <row r="24" spans="1:2 16362:16362" s="28" customFormat="1" x14ac:dyDescent="0.25">
      <c r="A24" s="58" t="str">
        <f>IF(ISBLANK(ClassInformation!C29),"ZZZZZ",ClassInformation!C29)</f>
        <v>ZZZZZ</v>
      </c>
      <c r="B24" s="59" t="str">
        <f>IF(ISBLANK(ClassInformation!D29),"ZZZZZ",ClassInformation!D29)</f>
        <v>ZZZZZ</v>
      </c>
      <c r="XEH24" s="28">
        <f>ClassInformation!E29</f>
        <v>0</v>
      </c>
    </row>
    <row r="25" spans="1:2 16362:16362" s="28" customFormat="1" x14ac:dyDescent="0.25">
      <c r="A25" s="58" t="str">
        <f>IF(ISBLANK(ClassInformation!C30),"ZZZZZ",ClassInformation!C30)</f>
        <v>ZZZZZ</v>
      </c>
      <c r="B25" s="59" t="str">
        <f>IF(ISBLANK(ClassInformation!D30),"ZZZZZ",ClassInformation!D30)</f>
        <v>ZZZZZ</v>
      </c>
      <c r="XEH25" s="28">
        <f>ClassInformation!E30</f>
        <v>0</v>
      </c>
    </row>
    <row r="26" spans="1:2 16362:16362" s="28" customFormat="1" x14ac:dyDescent="0.25">
      <c r="A26" s="58" t="str">
        <f>IF(ISBLANK(ClassInformation!C31),"ZZZZZ",ClassInformation!C31)</f>
        <v>ZZZZZ</v>
      </c>
      <c r="B26" s="59" t="str">
        <f>IF(ISBLANK(ClassInformation!D31),"ZZZZZ",ClassInformation!D31)</f>
        <v>ZZZZZ</v>
      </c>
      <c r="XEH26" s="28">
        <f>ClassInformation!E31</f>
        <v>0</v>
      </c>
    </row>
    <row r="27" spans="1:2 16362:16362" s="28" customFormat="1" x14ac:dyDescent="0.25">
      <c r="A27" s="58" t="str">
        <f>IF(ISBLANK(ClassInformation!C32),"ZZZZZ",ClassInformation!C32)</f>
        <v>ZZZZZ</v>
      </c>
      <c r="B27" s="59" t="str">
        <f>IF(ISBLANK(ClassInformation!D32),"ZZZZZ",ClassInformation!D32)</f>
        <v>ZZZZZ</v>
      </c>
      <c r="XEH27" s="28">
        <f>ClassInformation!E32</f>
        <v>0</v>
      </c>
    </row>
    <row r="28" spans="1:2 16362:16362" s="28" customFormat="1" x14ac:dyDescent="0.25">
      <c r="A28" s="58" t="str">
        <f>IF(ISBLANK(ClassInformation!C33),"ZZZZZ",ClassInformation!C33)</f>
        <v>ZZZZZ</v>
      </c>
      <c r="B28" s="59" t="str">
        <f>IF(ISBLANK(ClassInformation!D33),"ZZZZZ",ClassInformation!D33)</f>
        <v>ZZZZZ</v>
      </c>
      <c r="XEH28" s="28">
        <f>ClassInformation!E33</f>
        <v>0</v>
      </c>
    </row>
    <row r="29" spans="1:2 16362:16362" s="28" customFormat="1" x14ac:dyDescent="0.25">
      <c r="A29" s="58" t="str">
        <f>IF(ISBLANK(ClassInformation!C34),"ZZZZZ",ClassInformation!C34)</f>
        <v>ZZZZZ</v>
      </c>
      <c r="B29" s="59" t="str">
        <f>IF(ISBLANK(ClassInformation!D34),"ZZZZZ",ClassInformation!D34)</f>
        <v>ZZZZZ</v>
      </c>
      <c r="XEH29" s="28">
        <f>ClassInformation!E34</f>
        <v>0</v>
      </c>
    </row>
    <row r="30" spans="1:2 16362:16362" s="28" customFormat="1" x14ac:dyDescent="0.25">
      <c r="A30" s="58" t="str">
        <f>IF(ISBLANK(ClassInformation!C35),"ZZZZZ",ClassInformation!C35)</f>
        <v>ZZZZZ</v>
      </c>
      <c r="B30" s="59" t="str">
        <f>IF(ISBLANK(ClassInformation!D35),"ZZZZZ",ClassInformation!D35)</f>
        <v>ZZZZZ</v>
      </c>
      <c r="XEH30" s="28">
        <f>ClassInformation!E35</f>
        <v>0</v>
      </c>
    </row>
    <row r="31" spans="1:2 16362:16362" s="28" customFormat="1" x14ac:dyDescent="0.25">
      <c r="A31" s="58" t="str">
        <f>IF(ISBLANK(ClassInformation!C36),"ZZZZZ",ClassInformation!C36)</f>
        <v>ZZZZZ</v>
      </c>
      <c r="B31" s="59" t="str">
        <f>IF(ISBLANK(ClassInformation!D36),"ZZZZZ",ClassInformation!D36)</f>
        <v>ZZZZZ</v>
      </c>
      <c r="XEH31" s="28">
        <f>ClassInformation!E36</f>
        <v>0</v>
      </c>
    </row>
    <row r="32" spans="1:2 16362:16362" s="28" customFormat="1" x14ac:dyDescent="0.25">
      <c r="A32" s="58" t="str">
        <f>IF(ISBLANK(ClassInformation!C37),"ZZZZZ",ClassInformation!C37)</f>
        <v>ZZZZZ</v>
      </c>
      <c r="B32" s="59" t="str">
        <f>IF(ISBLANK(ClassInformation!D37),"ZZZZZ",ClassInformation!D37)</f>
        <v>ZZZZZ</v>
      </c>
      <c r="XEH32" s="28">
        <f>ClassInformation!E37</f>
        <v>0</v>
      </c>
    </row>
    <row r="33" spans="1:2 16362:16362" s="28" customFormat="1" x14ac:dyDescent="0.25">
      <c r="A33" s="58" t="str">
        <f>IF(ISBLANK(ClassInformation!C38),"ZZZZZ",ClassInformation!C38)</f>
        <v>ZZZZZ</v>
      </c>
      <c r="B33" s="59" t="str">
        <f>IF(ISBLANK(ClassInformation!D38),"ZZZZZ",ClassInformation!D38)</f>
        <v>ZZZZZ</v>
      </c>
      <c r="XEH33" s="28">
        <f>ClassInformation!E38</f>
        <v>0</v>
      </c>
    </row>
    <row r="34" spans="1:2 16362:16362" s="28" customFormat="1" x14ac:dyDescent="0.25">
      <c r="A34" s="58" t="str">
        <f>IF(ISBLANK(ClassInformation!C39),"ZZZZZ",ClassInformation!C39)</f>
        <v>ZZZZZ</v>
      </c>
      <c r="B34" s="59" t="str">
        <f>IF(ISBLANK(ClassInformation!D39),"ZZZZZ",ClassInformation!D39)</f>
        <v>ZZZZZ</v>
      </c>
      <c r="XEH34" s="28">
        <f>ClassInformation!E39</f>
        <v>0</v>
      </c>
    </row>
    <row r="35" spans="1:2 16362:16362" s="28" customFormat="1" x14ac:dyDescent="0.25">
      <c r="A35" s="58" t="str">
        <f>IF(ISBLANK(ClassInformation!C40),"ZZZZZ",ClassInformation!C40)</f>
        <v>ZZZZZ</v>
      </c>
      <c r="B35" s="59" t="str">
        <f>IF(ISBLANK(ClassInformation!D40),"ZZZZZ",ClassInformation!D40)</f>
        <v>ZZZZZ</v>
      </c>
      <c r="XEH35" s="28">
        <f>ClassInformation!E40</f>
        <v>0</v>
      </c>
    </row>
    <row r="36" spans="1:2 16362:16362" s="28" customFormat="1" x14ac:dyDescent="0.25">
      <c r="A36" s="58" t="str">
        <f>IF(ISBLANK(ClassInformation!C41),"ZZZZZ",ClassInformation!C41)</f>
        <v>ZZZZZ</v>
      </c>
      <c r="B36" s="59" t="str">
        <f>IF(ISBLANK(ClassInformation!D41),"ZZZZZ",ClassInformation!D41)</f>
        <v>ZZZZZ</v>
      </c>
      <c r="XEH36" s="28">
        <f>ClassInformation!E41</f>
        <v>0</v>
      </c>
    </row>
    <row r="37" spans="1:2 16362:16362" s="28" customFormat="1" x14ac:dyDescent="0.25">
      <c r="A37" s="58" t="str">
        <f>IF(ISBLANK(ClassInformation!C42),"ZZZZZ",ClassInformation!C42)</f>
        <v>ZZZZZ</v>
      </c>
      <c r="B37" s="59" t="str">
        <f>IF(ISBLANK(ClassInformation!D42),"ZZZZZ",ClassInformation!D42)</f>
        <v>ZZZZZ</v>
      </c>
      <c r="XEH37" s="28">
        <f>ClassInformation!E42</f>
        <v>0</v>
      </c>
    </row>
    <row r="38" spans="1:2 16362:16362" s="28" customFormat="1" x14ac:dyDescent="0.25">
      <c r="A38" s="58" t="str">
        <f>IF(ISBLANK(ClassInformation!C43),"ZZZZZ",ClassInformation!C43)</f>
        <v>ZZZZZ</v>
      </c>
      <c r="B38" s="59" t="str">
        <f>IF(ISBLANK(ClassInformation!D43),"ZZZZZ",ClassInformation!D43)</f>
        <v>ZZZZZ</v>
      </c>
      <c r="XEH38" s="28">
        <f>ClassInformation!E43</f>
        <v>0</v>
      </c>
    </row>
    <row r="39" spans="1:2 16362:16362" s="28" customFormat="1" x14ac:dyDescent="0.25">
      <c r="A39" s="58" t="str">
        <f>IF(ISBLANK(ClassInformation!C44),"ZZZZZ",ClassInformation!C44)</f>
        <v>ZZZZZ</v>
      </c>
      <c r="B39" s="59" t="str">
        <f>IF(ISBLANK(ClassInformation!D44),"ZZZZZ",ClassInformation!D44)</f>
        <v>ZZZZZ</v>
      </c>
      <c r="XEH39" s="28">
        <f>ClassInformation!E44</f>
        <v>0</v>
      </c>
    </row>
    <row r="40" spans="1:2 16362:16362" s="28" customFormat="1" ht="15.75" thickBot="1" x14ac:dyDescent="0.3">
      <c r="A40" s="107" t="str">
        <f>IF(ISBLANK(ClassInformation!C45),"ZZZZZ",ClassInformation!C45)</f>
        <v>ZZZZZ</v>
      </c>
      <c r="B40" s="108" t="str">
        <f>IF(ISBLANK(ClassInformation!D45),"ZZZZZ",ClassInformation!D45)</f>
        <v>ZZZZZ</v>
      </c>
      <c r="XEH40" s="28">
        <f>ClassInformation!E45</f>
        <v>0</v>
      </c>
    </row>
    <row r="41" spans="1:2 16362:16362" x14ac:dyDescent="0.25">
      <c r="XEH41" s="28"/>
    </row>
    <row r="46" spans="1:2 16362:16362" x14ac:dyDescent="0.25">
      <c r="A46" s="28"/>
    </row>
    <row r="47" spans="1:2 16362:16362" x14ac:dyDescent="0.25">
      <c r="A47" s="28"/>
    </row>
    <row r="48" spans="1:2 16362:16362"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ref="A5:XEH40">
    <sortCondition ref="A5"/>
  </sortState>
  <mergeCells count="2">
    <mergeCell ref="A1:B2"/>
    <mergeCell ref="A3:B3"/>
  </mergeCells>
  <conditionalFormatting sqref="A5:B40">
    <cfRule type="expression" dxfId="1" priority="922">
      <formula>$XEH5="N"</formula>
    </cfRule>
    <cfRule type="expression" dxfId="0" priority="92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6C199-B34E-40E9-9F4B-B53E320FB1C0}">
  <sheetPr codeName="Sheet5">
    <tabColor theme="9" tint="0.59999389629810485"/>
  </sheetPr>
  <dimension ref="A1:XFD81"/>
  <sheetViews>
    <sheetView zoomScaleNormal="100" workbookViewId="0">
      <pane xSplit="2" ySplit="4" topLeftCell="C5" activePane="bottomRight" state="frozenSplit"/>
      <selection pane="topRight" activeCell="AE1" sqref="AE1"/>
      <selection pane="bottomLeft" activeCell="A23" sqref="A23"/>
      <selection pane="bottomRight" activeCell="G34" sqref="G34"/>
    </sheetView>
  </sheetViews>
  <sheetFormatPr defaultRowHeight="15" x14ac:dyDescent="0.25"/>
  <cols>
    <col min="1" max="2" width="15.7109375" style="61" customWidth="1"/>
    <col min="3" max="16384" width="9.140625" style="62"/>
  </cols>
  <sheetData>
    <row r="1" spans="1:2 16384:16384" s="60" customFormat="1" x14ac:dyDescent="0.25">
      <c r="A1" s="146" t="str">
        <f>_xlfn.CONCAT("Year ",ClassInformation!D4,ClassInformation!E4," ",ClassInformation!D5," - ","Semester 2 ",ClassInformation!D6)</f>
        <v>Year 7A [Subject] - Semester 2 2018</v>
      </c>
      <c r="B1" s="147"/>
    </row>
    <row r="2" spans="1:2 16384:16384" s="60" customFormat="1" x14ac:dyDescent="0.25">
      <c r="A2" s="146"/>
      <c r="B2" s="147"/>
    </row>
    <row r="3" spans="1:2 16384:16384" s="60" customFormat="1" x14ac:dyDescent="0.25">
      <c r="A3" s="148" t="s">
        <v>21</v>
      </c>
      <c r="B3" s="149"/>
    </row>
    <row r="4" spans="1:2 16384:16384" s="60" customFormat="1" ht="15.75" thickBot="1" x14ac:dyDescent="0.3">
      <c r="A4" s="109" t="str">
        <f>ClassInformation!C9</f>
        <v>Last Name</v>
      </c>
      <c r="B4" s="57" t="str">
        <f>ClassInformation!D9</f>
        <v>First Name</v>
      </c>
    </row>
    <row r="5" spans="1:2 16384:16384" s="28" customFormat="1" x14ac:dyDescent="0.25">
      <c r="A5" s="163" t="str">
        <f>IF(ISBLANK(ClassInformation!C10),"ZZZZZ",ClassInformation!C10)</f>
        <v>ZZZZZ</v>
      </c>
      <c r="B5" s="59" t="str">
        <f>IF(ISBLANK(ClassInformation!D10),"ZZZZZ",ClassInformation!D10)</f>
        <v>ZZZZZ</v>
      </c>
      <c r="XFD5" s="28">
        <f>ClassInformation!E10</f>
        <v>0</v>
      </c>
    </row>
    <row r="6" spans="1:2 16384:16384" s="28" customFormat="1" x14ac:dyDescent="0.25">
      <c r="A6" s="58" t="str">
        <f>IF(ISBLANK(ClassInformation!C11),"ZZZZZ",ClassInformation!C11)</f>
        <v>ZZZZZ</v>
      </c>
      <c r="B6" s="59" t="str">
        <f>IF(ISBLANK(ClassInformation!D11),"ZZZZZ",ClassInformation!D11)</f>
        <v>ZZZZZ</v>
      </c>
      <c r="XFD6" s="28">
        <f>ClassInformation!E11</f>
        <v>0</v>
      </c>
    </row>
    <row r="7" spans="1:2 16384:16384" s="28" customFormat="1" x14ac:dyDescent="0.25">
      <c r="A7" s="58" t="str">
        <f>IF(ISBLANK(ClassInformation!C12),"ZZZZZ",ClassInformation!C12)</f>
        <v>ZZZZZ</v>
      </c>
      <c r="B7" s="59" t="str">
        <f>IF(ISBLANK(ClassInformation!D12),"ZZZZZ",ClassInformation!D12)</f>
        <v>ZZZZZ</v>
      </c>
      <c r="XFD7" s="28">
        <f>ClassInformation!E12</f>
        <v>0</v>
      </c>
    </row>
    <row r="8" spans="1:2 16384:16384" s="28" customFormat="1" x14ac:dyDescent="0.25">
      <c r="A8" s="58" t="str">
        <f>IF(ISBLANK(ClassInformation!C13),"ZZZZZ",ClassInformation!C13)</f>
        <v>ZZZZZ</v>
      </c>
      <c r="B8" s="59" t="str">
        <f>IF(ISBLANK(ClassInformation!D13),"ZZZZZ",ClassInformation!D13)</f>
        <v>ZZZZZ</v>
      </c>
      <c r="XFD8" s="28">
        <f>ClassInformation!E13</f>
        <v>0</v>
      </c>
    </row>
    <row r="9" spans="1:2 16384:16384" s="28" customFormat="1" x14ac:dyDescent="0.25">
      <c r="A9" s="58" t="str">
        <f>IF(ISBLANK(ClassInformation!C14),"ZZZZZ",ClassInformation!C14)</f>
        <v>ZZZZZ</v>
      </c>
      <c r="B9" s="59" t="str">
        <f>IF(ISBLANK(ClassInformation!D14),"ZZZZZ",ClassInformation!D14)</f>
        <v>ZZZZZ</v>
      </c>
      <c r="XFD9" s="28">
        <f>ClassInformation!E14</f>
        <v>0</v>
      </c>
    </row>
    <row r="10" spans="1:2 16384:16384" s="28" customFormat="1" x14ac:dyDescent="0.25">
      <c r="A10" s="58" t="str">
        <f>IF(ISBLANK(ClassInformation!C15),"ZZZZZ",ClassInformation!C15)</f>
        <v>ZZZZZ</v>
      </c>
      <c r="B10" s="59" t="str">
        <f>IF(ISBLANK(ClassInformation!D15),"ZZZZZ",ClassInformation!D15)</f>
        <v>ZZZZZ</v>
      </c>
      <c r="XFD10" s="28">
        <f>ClassInformation!E15</f>
        <v>0</v>
      </c>
    </row>
    <row r="11" spans="1:2 16384:16384" s="28" customFormat="1" x14ac:dyDescent="0.25">
      <c r="A11" s="58" t="str">
        <f>IF(ISBLANK(ClassInformation!C16),"ZZZZZ",ClassInformation!C16)</f>
        <v>ZZZZZ</v>
      </c>
      <c r="B11" s="59" t="str">
        <f>IF(ISBLANK(ClassInformation!D16),"ZZZZZ",ClassInformation!D16)</f>
        <v>ZZZZZ</v>
      </c>
      <c r="XFD11" s="28">
        <f>ClassInformation!E16</f>
        <v>0</v>
      </c>
    </row>
    <row r="12" spans="1:2 16384:16384" s="28" customFormat="1" x14ac:dyDescent="0.25">
      <c r="A12" s="58" t="str">
        <f>IF(ISBLANK(ClassInformation!C17),"ZZZZZ",ClassInformation!C17)</f>
        <v>ZZZZZ</v>
      </c>
      <c r="B12" s="59" t="str">
        <f>IF(ISBLANK(ClassInformation!D17),"ZZZZZ",ClassInformation!D17)</f>
        <v>ZZZZZ</v>
      </c>
      <c r="XFD12" s="28">
        <f>ClassInformation!E17</f>
        <v>0</v>
      </c>
    </row>
    <row r="13" spans="1:2 16384:16384" s="28" customFormat="1" x14ac:dyDescent="0.25">
      <c r="A13" s="58" t="str">
        <f>IF(ISBLANK(ClassInformation!C18),"ZZZZZ",ClassInformation!C18)</f>
        <v>ZZZZZ</v>
      </c>
      <c r="B13" s="59" t="str">
        <f>IF(ISBLANK(ClassInformation!D18),"ZZZZZ",ClassInformation!D18)</f>
        <v>ZZZZZ</v>
      </c>
      <c r="XFD13" s="28">
        <f>ClassInformation!E18</f>
        <v>0</v>
      </c>
    </row>
    <row r="14" spans="1:2 16384:16384" s="28" customFormat="1" x14ac:dyDescent="0.25">
      <c r="A14" s="58" t="str">
        <f>IF(ISBLANK(ClassInformation!C19),"ZZZZZ",ClassInformation!C19)</f>
        <v>ZZZZZ</v>
      </c>
      <c r="B14" s="59" t="str">
        <f>IF(ISBLANK(ClassInformation!D19),"ZZZZZ",ClassInformation!D19)</f>
        <v>ZZZZZ</v>
      </c>
      <c r="XFD14" s="28">
        <f>ClassInformation!E19</f>
        <v>0</v>
      </c>
    </row>
    <row r="15" spans="1:2 16384:16384" s="28" customFormat="1" x14ac:dyDescent="0.25">
      <c r="A15" s="58" t="str">
        <f>IF(ISBLANK(ClassInformation!C20),"ZZZZZ",ClassInformation!C20)</f>
        <v>ZZZZZ</v>
      </c>
      <c r="B15" s="59" t="str">
        <f>IF(ISBLANK(ClassInformation!D20),"ZZZZZ",ClassInformation!D20)</f>
        <v>ZZZZZ</v>
      </c>
      <c r="XFD15" s="28">
        <f>ClassInformation!E20</f>
        <v>0</v>
      </c>
    </row>
    <row r="16" spans="1:2 16384:16384" s="28" customFormat="1" x14ac:dyDescent="0.25">
      <c r="A16" s="58" t="str">
        <f>IF(ISBLANK(ClassInformation!C21),"ZZZZZ",ClassInformation!C21)</f>
        <v>ZZZZZ</v>
      </c>
      <c r="B16" s="59" t="str">
        <f>IF(ISBLANK(ClassInformation!D21),"ZZZZZ",ClassInformation!D21)</f>
        <v>ZZZZZ</v>
      </c>
      <c r="XFD16" s="28">
        <f>ClassInformation!E21</f>
        <v>0</v>
      </c>
    </row>
    <row r="17" spans="1:2 16384:16384" s="28" customFormat="1" x14ac:dyDescent="0.25">
      <c r="A17" s="58" t="str">
        <f>IF(ISBLANK(ClassInformation!C22),"ZZZZZ",ClassInformation!C22)</f>
        <v>ZZZZZ</v>
      </c>
      <c r="B17" s="59" t="str">
        <f>IF(ISBLANK(ClassInformation!D22),"ZZZZZ",ClassInformation!D22)</f>
        <v>ZZZZZ</v>
      </c>
      <c r="XFD17" s="28">
        <f>ClassInformation!E22</f>
        <v>0</v>
      </c>
    </row>
    <row r="18" spans="1:2 16384:16384" s="28" customFormat="1" x14ac:dyDescent="0.25">
      <c r="A18" s="58" t="str">
        <f>IF(ISBLANK(ClassInformation!C23),"ZZZZZ",ClassInformation!C23)</f>
        <v>ZZZZZ</v>
      </c>
      <c r="B18" s="59" t="str">
        <f>IF(ISBLANK(ClassInformation!D23),"ZZZZZ",ClassInformation!D23)</f>
        <v>ZZZZZ</v>
      </c>
      <c r="XFD18" s="28">
        <f>ClassInformation!E23</f>
        <v>0</v>
      </c>
    </row>
    <row r="19" spans="1:2 16384:16384" s="28" customFormat="1" x14ac:dyDescent="0.25">
      <c r="A19" s="58" t="str">
        <f>IF(ISBLANK(ClassInformation!C24),"ZZZZZ",ClassInformation!C24)</f>
        <v>ZZZZZ</v>
      </c>
      <c r="B19" s="59" t="str">
        <f>IF(ISBLANK(ClassInformation!D24),"ZZZZZ",ClassInformation!D24)</f>
        <v>ZZZZZ</v>
      </c>
      <c r="XFD19" s="28">
        <f>ClassInformation!E24</f>
        <v>0</v>
      </c>
    </row>
    <row r="20" spans="1:2 16384:16384" s="28" customFormat="1" x14ac:dyDescent="0.25">
      <c r="A20" s="58" t="str">
        <f>IF(ISBLANK(ClassInformation!C25),"ZZZZZ",ClassInformation!C25)</f>
        <v>ZZZZZ</v>
      </c>
      <c r="B20" s="59" t="str">
        <f>IF(ISBLANK(ClassInformation!D25),"ZZZZZ",ClassInformation!D25)</f>
        <v>ZZZZZ</v>
      </c>
      <c r="XFD20" s="28">
        <f>ClassInformation!E25</f>
        <v>0</v>
      </c>
    </row>
    <row r="21" spans="1:2 16384:16384" s="28" customFormat="1" x14ac:dyDescent="0.25">
      <c r="A21" s="58" t="str">
        <f>IF(ISBLANK(ClassInformation!C26),"ZZZZZ",ClassInformation!C26)</f>
        <v>ZZZZZ</v>
      </c>
      <c r="B21" s="59" t="str">
        <f>IF(ISBLANK(ClassInformation!D26),"ZZZZZ",ClassInformation!D26)</f>
        <v>ZZZZZ</v>
      </c>
      <c r="XFD21" s="28">
        <f>ClassInformation!E26</f>
        <v>0</v>
      </c>
    </row>
    <row r="22" spans="1:2 16384:16384" s="28" customFormat="1" x14ac:dyDescent="0.25">
      <c r="A22" s="58" t="str">
        <f>IF(ISBLANK(ClassInformation!C27),"ZZZZZ",ClassInformation!C27)</f>
        <v>ZZZZZ</v>
      </c>
      <c r="B22" s="59" t="str">
        <f>IF(ISBLANK(ClassInformation!D27),"ZZZZZ",ClassInformation!D27)</f>
        <v>ZZZZZ</v>
      </c>
      <c r="XFD22" s="28">
        <f>ClassInformation!E27</f>
        <v>0</v>
      </c>
    </row>
    <row r="23" spans="1:2 16384:16384" s="28" customFormat="1" x14ac:dyDescent="0.25">
      <c r="A23" s="58" t="str">
        <f>IF(ISBLANK(ClassInformation!C28),"ZZZZZ",ClassInformation!C28)</f>
        <v>ZZZZZ</v>
      </c>
      <c r="B23" s="59" t="str">
        <f>IF(ISBLANK(ClassInformation!D28),"ZZZZZ",ClassInformation!D28)</f>
        <v>ZZZZZ</v>
      </c>
      <c r="XFD23" s="28">
        <f>ClassInformation!E28</f>
        <v>0</v>
      </c>
    </row>
    <row r="24" spans="1:2 16384:16384" s="28" customFormat="1" x14ac:dyDescent="0.25">
      <c r="A24" s="58" t="str">
        <f>IF(ISBLANK(ClassInformation!C29),"ZZZZZ",ClassInformation!C29)</f>
        <v>ZZZZZ</v>
      </c>
      <c r="B24" s="59" t="str">
        <f>IF(ISBLANK(ClassInformation!D29),"ZZZZZ",ClassInformation!D29)</f>
        <v>ZZZZZ</v>
      </c>
      <c r="XFD24" s="28">
        <f>ClassInformation!E29</f>
        <v>0</v>
      </c>
    </row>
    <row r="25" spans="1:2 16384:16384" s="28" customFormat="1" x14ac:dyDescent="0.25">
      <c r="A25" s="58" t="str">
        <f>IF(ISBLANK(ClassInformation!C30),"ZZZZZ",ClassInformation!C30)</f>
        <v>ZZZZZ</v>
      </c>
      <c r="B25" s="59" t="str">
        <f>IF(ISBLANK(ClassInformation!D30),"ZZZZZ",ClassInformation!D30)</f>
        <v>ZZZZZ</v>
      </c>
      <c r="XFD25" s="28">
        <f>ClassInformation!E30</f>
        <v>0</v>
      </c>
    </row>
    <row r="26" spans="1:2 16384:16384" s="28" customFormat="1" x14ac:dyDescent="0.25">
      <c r="A26" s="58" t="str">
        <f>IF(ISBLANK(ClassInformation!C31),"ZZZZZ",ClassInformation!C31)</f>
        <v>ZZZZZ</v>
      </c>
      <c r="B26" s="59" t="str">
        <f>IF(ISBLANK(ClassInformation!D31),"ZZZZZ",ClassInformation!D31)</f>
        <v>ZZZZZ</v>
      </c>
      <c r="XFD26" s="28">
        <f>ClassInformation!E31</f>
        <v>0</v>
      </c>
    </row>
    <row r="27" spans="1:2 16384:16384" s="28" customFormat="1" x14ac:dyDescent="0.25">
      <c r="A27" s="58" t="str">
        <f>IF(ISBLANK(ClassInformation!C32),"ZZZZZ",ClassInformation!C32)</f>
        <v>ZZZZZ</v>
      </c>
      <c r="B27" s="59" t="str">
        <f>IF(ISBLANK(ClassInformation!D32),"ZZZZZ",ClassInformation!D32)</f>
        <v>ZZZZZ</v>
      </c>
      <c r="XFD27" s="28">
        <f>ClassInformation!E32</f>
        <v>0</v>
      </c>
    </row>
    <row r="28" spans="1:2 16384:16384" s="28" customFormat="1" x14ac:dyDescent="0.25">
      <c r="A28" s="58" t="str">
        <f>IF(ISBLANK(ClassInformation!C33),"ZZZZZ",ClassInformation!C33)</f>
        <v>ZZZZZ</v>
      </c>
      <c r="B28" s="59" t="str">
        <f>IF(ISBLANK(ClassInformation!D33),"ZZZZZ",ClassInformation!D33)</f>
        <v>ZZZZZ</v>
      </c>
      <c r="XFD28" s="28">
        <f>ClassInformation!E33</f>
        <v>0</v>
      </c>
    </row>
    <row r="29" spans="1:2 16384:16384" s="28" customFormat="1" x14ac:dyDescent="0.25">
      <c r="A29" s="58" t="str">
        <f>IF(ISBLANK(ClassInformation!C34),"ZZZZZ",ClassInformation!C34)</f>
        <v>ZZZZZ</v>
      </c>
      <c r="B29" s="59" t="str">
        <f>IF(ISBLANK(ClassInformation!D34),"ZZZZZ",ClassInformation!D34)</f>
        <v>ZZZZZ</v>
      </c>
      <c r="XFD29" s="28">
        <f>ClassInformation!E34</f>
        <v>0</v>
      </c>
    </row>
    <row r="30" spans="1:2 16384:16384" s="28" customFormat="1" x14ac:dyDescent="0.25">
      <c r="A30" s="58" t="str">
        <f>IF(ISBLANK(ClassInformation!C35),"ZZZZZ",ClassInformation!C35)</f>
        <v>ZZZZZ</v>
      </c>
      <c r="B30" s="59" t="str">
        <f>IF(ISBLANK(ClassInformation!D35),"ZZZZZ",ClassInformation!D35)</f>
        <v>ZZZZZ</v>
      </c>
      <c r="XFD30" s="28">
        <f>ClassInformation!E35</f>
        <v>0</v>
      </c>
    </row>
    <row r="31" spans="1:2 16384:16384" s="28" customFormat="1" x14ac:dyDescent="0.25">
      <c r="A31" s="58" t="str">
        <f>IF(ISBLANK(ClassInformation!C36),"ZZZZZ",ClassInformation!C36)</f>
        <v>ZZZZZ</v>
      </c>
      <c r="B31" s="59" t="str">
        <f>IF(ISBLANK(ClassInformation!D36),"ZZZZZ",ClassInformation!D36)</f>
        <v>ZZZZZ</v>
      </c>
      <c r="XFD31" s="28">
        <f>ClassInformation!E36</f>
        <v>0</v>
      </c>
    </row>
    <row r="32" spans="1:2 16384:16384" s="28" customFormat="1" x14ac:dyDescent="0.25">
      <c r="A32" s="58" t="str">
        <f>IF(ISBLANK(ClassInformation!C37),"ZZZZZ",ClassInformation!C37)</f>
        <v>ZZZZZ</v>
      </c>
      <c r="B32" s="59" t="str">
        <f>IF(ISBLANK(ClassInformation!D37),"ZZZZZ",ClassInformation!D37)</f>
        <v>ZZZZZ</v>
      </c>
      <c r="XFD32" s="28">
        <f>ClassInformation!E37</f>
        <v>0</v>
      </c>
    </row>
    <row r="33" spans="1:2 16384:16384" s="28" customFormat="1" x14ac:dyDescent="0.25">
      <c r="A33" s="58" t="str">
        <f>IF(ISBLANK(ClassInformation!C38),"ZZZZZ",ClassInformation!C38)</f>
        <v>ZZZZZ</v>
      </c>
      <c r="B33" s="59" t="str">
        <f>IF(ISBLANK(ClassInformation!D38),"ZZZZZ",ClassInformation!D38)</f>
        <v>ZZZZZ</v>
      </c>
      <c r="XFD33" s="28">
        <f>ClassInformation!E38</f>
        <v>0</v>
      </c>
    </row>
    <row r="34" spans="1:2 16384:16384" s="28" customFormat="1" x14ac:dyDescent="0.25">
      <c r="A34" s="58" t="str">
        <f>IF(ISBLANK(ClassInformation!C39),"ZZZZZ",ClassInformation!C39)</f>
        <v>ZZZZZ</v>
      </c>
      <c r="B34" s="59" t="str">
        <f>IF(ISBLANK(ClassInformation!D39),"ZZZZZ",ClassInformation!D39)</f>
        <v>ZZZZZ</v>
      </c>
      <c r="XFD34" s="28">
        <f>ClassInformation!E39</f>
        <v>0</v>
      </c>
    </row>
    <row r="35" spans="1:2 16384:16384" s="28" customFormat="1" x14ac:dyDescent="0.25">
      <c r="A35" s="58" t="str">
        <f>IF(ISBLANK(ClassInformation!C40),"ZZZZZ",ClassInformation!C40)</f>
        <v>ZZZZZ</v>
      </c>
      <c r="B35" s="59" t="str">
        <f>IF(ISBLANK(ClassInformation!D40),"ZZZZZ",ClassInformation!D40)</f>
        <v>ZZZZZ</v>
      </c>
      <c r="XFD35" s="28">
        <f>ClassInformation!E40</f>
        <v>0</v>
      </c>
    </row>
    <row r="36" spans="1:2 16384:16384" s="28" customFormat="1" x14ac:dyDescent="0.25">
      <c r="A36" s="58" t="str">
        <f>IF(ISBLANK(ClassInformation!C41),"ZZZZZ",ClassInformation!C41)</f>
        <v>ZZZZZ</v>
      </c>
      <c r="B36" s="59" t="str">
        <f>IF(ISBLANK(ClassInformation!D41),"ZZZZZ",ClassInformation!D41)</f>
        <v>ZZZZZ</v>
      </c>
      <c r="XFD36" s="28">
        <f>ClassInformation!E41</f>
        <v>0</v>
      </c>
    </row>
    <row r="37" spans="1:2 16384:16384" s="28" customFormat="1" x14ac:dyDescent="0.25">
      <c r="A37" s="58" t="str">
        <f>IF(ISBLANK(ClassInformation!C42),"ZZZZZ",ClassInformation!C42)</f>
        <v>ZZZZZ</v>
      </c>
      <c r="B37" s="59" t="str">
        <f>IF(ISBLANK(ClassInformation!D42),"ZZZZZ",ClassInformation!D42)</f>
        <v>ZZZZZ</v>
      </c>
      <c r="XFD37" s="28">
        <f>ClassInformation!E42</f>
        <v>0</v>
      </c>
    </row>
    <row r="38" spans="1:2 16384:16384" s="28" customFormat="1" x14ac:dyDescent="0.25">
      <c r="A38" s="58" t="str">
        <f>IF(ISBLANK(ClassInformation!C43),"ZZZZZ",ClassInformation!C43)</f>
        <v>ZZZZZ</v>
      </c>
      <c r="B38" s="59" t="str">
        <f>IF(ISBLANK(ClassInformation!D43),"ZZZZZ",ClassInformation!D43)</f>
        <v>ZZZZZ</v>
      </c>
      <c r="XFD38" s="28">
        <f>ClassInformation!E43</f>
        <v>0</v>
      </c>
    </row>
    <row r="39" spans="1:2 16384:16384" s="28" customFormat="1" x14ac:dyDescent="0.25">
      <c r="A39" s="58" t="str">
        <f>IF(ISBLANK(ClassInformation!C44),"ZZZZZ",ClassInformation!C44)</f>
        <v>ZZZZZ</v>
      </c>
      <c r="B39" s="59" t="str">
        <f>IF(ISBLANK(ClassInformation!D44),"ZZZZZ",ClassInformation!D44)</f>
        <v>ZZZZZ</v>
      </c>
      <c r="XFD39" s="28">
        <f>ClassInformation!E44</f>
        <v>0</v>
      </c>
    </row>
    <row r="40" spans="1:2 16384:16384" s="28" customFormat="1" ht="15.75" thickBot="1" x14ac:dyDescent="0.3">
      <c r="A40" s="107" t="str">
        <f>IF(ISBLANK(ClassInformation!C45),"ZZZZZ",ClassInformation!C45)</f>
        <v>ZZZZZ</v>
      </c>
      <c r="B40" s="108" t="str">
        <f>IF(ISBLANK(ClassInformation!D45),"ZZZZZ",ClassInformation!D45)</f>
        <v>ZZZZZ</v>
      </c>
      <c r="XFD40" s="28">
        <f>ClassInformation!E45</f>
        <v>0</v>
      </c>
    </row>
    <row r="41" spans="1:2 16384:16384" x14ac:dyDescent="0.25">
      <c r="XFD41" s="28"/>
    </row>
    <row r="46" spans="1:2 16384:16384" x14ac:dyDescent="0.25">
      <c r="A46" s="28"/>
    </row>
    <row r="47" spans="1:2 16384:16384" x14ac:dyDescent="0.25">
      <c r="A47" s="28"/>
    </row>
    <row r="48" spans="1:2 16384:16384"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9" priority="1">
      <formula>$XFD5="N"</formula>
    </cfRule>
    <cfRule type="expression" dxfId="8" priority="2">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roup Box 1">
              <controlPr defaultSize="0" autoFill="0" autoPict="0">
                <anchor moveWithCells="1">
                  <from>
                    <xdr:col>0</xdr:col>
                    <xdr:colOff>28575</xdr:colOff>
                    <xdr:row>40</xdr:row>
                    <xdr:rowOff>47625</xdr:rowOff>
                  </from>
                  <to>
                    <xdr:col>1</xdr:col>
                    <xdr:colOff>1019175</xdr:colOff>
                    <xdr:row>44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0"/>
  <sheetViews>
    <sheetView zoomScale="85" zoomScaleNormal="85" workbookViewId="0">
      <selection activeCell="F27" sqref="F27"/>
    </sheetView>
  </sheetViews>
  <sheetFormatPr defaultRowHeight="15" x14ac:dyDescent="0.25"/>
  <cols>
    <col min="1" max="1" width="17" style="66" bestFit="1" customWidth="1"/>
    <col min="2" max="5" width="17" style="67" bestFit="1" customWidth="1"/>
    <col min="6" max="9" width="17" style="65" bestFit="1" customWidth="1"/>
    <col min="10" max="10" width="17" style="67" bestFit="1" customWidth="1"/>
    <col min="11" max="12" width="17" style="67" customWidth="1"/>
    <col min="13" max="13" width="13.28515625" style="67" bestFit="1" customWidth="1"/>
    <col min="14" max="14" width="6.7109375" style="65" customWidth="1"/>
    <col min="15" max="15" width="6.7109375" style="67" customWidth="1"/>
    <col min="16" max="16" width="12.85546875" style="67" bestFit="1" customWidth="1"/>
    <col min="17" max="17" width="6.7109375" style="65" customWidth="1"/>
    <col min="18" max="18" width="6.5703125" style="67" customWidth="1"/>
    <col min="19" max="19" width="11" style="67" bestFit="1" customWidth="1"/>
    <col min="20" max="20" width="10.42578125" style="67" bestFit="1" customWidth="1"/>
    <col min="21" max="21" width="13.42578125" style="61" bestFit="1" customWidth="1"/>
    <col min="22" max="22" width="2.85546875" style="61" customWidth="1"/>
    <col min="23" max="16384" width="9.140625" style="61"/>
  </cols>
  <sheetData>
    <row r="1" spans="1:27" x14ac:dyDescent="0.25">
      <c r="A1" s="73" t="s">
        <v>65</v>
      </c>
      <c r="B1" s="152"/>
      <c r="C1" s="152"/>
      <c r="D1" s="152"/>
      <c r="E1" s="152"/>
      <c r="F1" s="152"/>
      <c r="G1" s="152"/>
      <c r="H1" s="152"/>
      <c r="I1" s="152"/>
      <c r="J1" s="152"/>
      <c r="K1" s="152"/>
      <c r="L1" s="152"/>
      <c r="M1" s="152"/>
      <c r="N1" s="152"/>
      <c r="O1" s="152"/>
      <c r="P1" s="152"/>
      <c r="Q1" s="152"/>
      <c r="R1" s="152"/>
      <c r="S1" s="152"/>
      <c r="T1" s="152"/>
      <c r="U1" s="152"/>
      <c r="V1" s="153"/>
      <c r="W1" s="63"/>
      <c r="X1" s="63"/>
      <c r="Y1" s="63"/>
      <c r="Z1" s="63"/>
      <c r="AA1" s="63"/>
    </row>
    <row r="2" spans="1:27" x14ac:dyDescent="0.25">
      <c r="A2" s="154" t="s">
        <v>31</v>
      </c>
      <c r="B2" s="155"/>
      <c r="C2" s="155"/>
      <c r="D2" s="155"/>
      <c r="E2" s="155"/>
      <c r="F2" s="150" t="s">
        <v>33</v>
      </c>
      <c r="G2" s="155"/>
      <c r="H2" s="155"/>
      <c r="I2" s="155"/>
      <c r="J2" s="155"/>
      <c r="K2" s="150" t="s">
        <v>77</v>
      </c>
      <c r="L2" s="151"/>
      <c r="M2" s="150" t="s">
        <v>34</v>
      </c>
      <c r="N2" s="155"/>
      <c r="O2" s="155"/>
      <c r="P2" s="155"/>
      <c r="Q2" s="155"/>
      <c r="R2" s="155"/>
      <c r="S2" s="155"/>
      <c r="T2" s="155"/>
      <c r="U2" s="156"/>
      <c r="V2" s="74" t="s">
        <v>18</v>
      </c>
      <c r="X2" s="64"/>
      <c r="Y2" s="64"/>
      <c r="Z2" s="64"/>
      <c r="AA2" s="64"/>
    </row>
    <row r="3" spans="1:27" x14ac:dyDescent="0.25">
      <c r="A3" s="101" t="s">
        <v>74</v>
      </c>
      <c r="B3" s="101" t="s">
        <v>73</v>
      </c>
      <c r="C3" s="101" t="s">
        <v>73</v>
      </c>
      <c r="D3" s="101" t="s">
        <v>73</v>
      </c>
      <c r="E3" s="101" t="s">
        <v>73</v>
      </c>
      <c r="F3" s="101" t="s">
        <v>73</v>
      </c>
      <c r="G3" s="101" t="s">
        <v>73</v>
      </c>
      <c r="H3" s="101" t="s">
        <v>73</v>
      </c>
      <c r="I3" s="101" t="s">
        <v>73</v>
      </c>
      <c r="J3" s="101" t="s">
        <v>73</v>
      </c>
      <c r="K3" s="101" t="s">
        <v>73</v>
      </c>
      <c r="L3" s="101" t="s">
        <v>73</v>
      </c>
      <c r="M3" s="100" t="str">
        <f>_xlfn.TEXTJOIN(" ",TRUE,"Max",A2,":")</f>
        <v>Max UD :</v>
      </c>
      <c r="N3" s="157">
        <f>IF(OR(A4="-",B4="-",C4="-",D4="-",E4="-"),"-",SUM(A4,B4,C4,D4,E4))</f>
        <v>0</v>
      </c>
      <c r="O3" s="158"/>
      <c r="P3" s="100" t="str">
        <f>_xlfn.TEXTJOIN(" ",TRUE,"Max",F2,":")</f>
        <v>Max SD :</v>
      </c>
      <c r="Q3" s="159">
        <f>IF(OR(F4="-",G4="-",H4="-",I4="-",J4="-"),"-",SUM(F4,G4,H4,I4,J4))</f>
        <v>0</v>
      </c>
      <c r="R3" s="160"/>
      <c r="S3" s="75"/>
      <c r="T3" s="75"/>
      <c r="U3" s="75"/>
      <c r="V3" s="74" t="s">
        <v>18</v>
      </c>
    </row>
    <row r="4" spans="1:27" x14ac:dyDescent="0.25">
      <c r="A4" s="99"/>
      <c r="B4" s="98"/>
      <c r="C4" s="98"/>
      <c r="D4" s="98"/>
      <c r="E4" s="98"/>
      <c r="F4" s="98"/>
      <c r="G4" s="98"/>
      <c r="H4" s="98"/>
      <c r="I4" s="98"/>
      <c r="J4" s="98"/>
      <c r="K4" s="98"/>
      <c r="L4" s="98"/>
      <c r="M4" s="82" t="str">
        <f>_xlfn.TEXTJOIN(" ",TRUE,M2,A2)</f>
        <v>Overall UD</v>
      </c>
      <c r="N4" s="102" t="s">
        <v>32</v>
      </c>
      <c r="O4" s="103" t="s">
        <v>1</v>
      </c>
      <c r="P4" s="76" t="str">
        <f>_xlfn.TEXTJOIN(" ",TRUE,M2,F2)</f>
        <v>Overall SD</v>
      </c>
      <c r="Q4" s="104" t="s">
        <v>32</v>
      </c>
      <c r="R4" s="105" t="s">
        <v>1</v>
      </c>
      <c r="S4" s="77" t="s">
        <v>49</v>
      </c>
      <c r="T4" s="77" t="s">
        <v>50</v>
      </c>
      <c r="U4" s="77" t="s">
        <v>72</v>
      </c>
      <c r="V4" s="74" t="s">
        <v>18</v>
      </c>
    </row>
    <row r="5" spans="1:27" x14ac:dyDescent="0.25">
      <c r="A5" s="68"/>
      <c r="B5" s="68"/>
      <c r="C5" s="68"/>
      <c r="D5" s="68"/>
      <c r="E5" s="68"/>
      <c r="F5" s="79"/>
      <c r="G5" s="68"/>
      <c r="H5" s="68"/>
      <c r="I5" s="68"/>
      <c r="J5" s="68"/>
      <c r="K5" s="79"/>
      <c r="L5" s="68"/>
      <c r="M5" s="110" t="str">
        <f t="shared" ref="M5:M40" si="0">IF(COUNTIF(A5:E5,"*-*")&gt;0,"-",IF(COUNTBLANK(A5:E5)=5,"",IF(N$3="-","-",SUM(A5:E5))))</f>
        <v/>
      </c>
      <c r="N5" s="94" t="str">
        <f>IF(M5="","",IF(M5="-","-",M5/N$3))</f>
        <v/>
      </c>
      <c r="O5" s="83" t="str">
        <f>IF(N5="","",VLOOKUP(N5,Table1[],2,TRUE))</f>
        <v/>
      </c>
      <c r="P5" s="89" t="str">
        <f t="shared" ref="P5:P40" si="1">IF(COUNTIF(F5:J5,"*-*")&gt;0,"-",IF(COUNTBLANK(F5:J5)=5,"",IF(Q$3="-","-",SUM(F5:J5))))</f>
        <v/>
      </c>
      <c r="Q5" s="96" t="str">
        <f>IF(P5="","",IF(P5="-", "-",P5/Q$3))</f>
        <v/>
      </c>
      <c r="R5" s="84" t="str">
        <f>IF(Q5="","",VLOOKUP(Q5,Table1[],2,TRUE))</f>
        <v/>
      </c>
      <c r="S5" s="92" t="str">
        <f>IF(AND(N5="",Q5=""),"",IF(OR(N5="-",Q5="-"),"-",IF(AND(N$3&lt;&gt;0,Q$3&lt;&gt;0),VLOOKUP(AVERAGE(N5,Q5),Table1[],2,TRUE),IF(AND(N$3&lt;&gt;0,Q$3=0),O5,R5))))</f>
        <v/>
      </c>
      <c r="T5" s="72"/>
      <c r="U5" s="72" t="str">
        <f>IF(ISBLANK(T5),S5,T5)</f>
        <v/>
      </c>
      <c r="V5" s="74" t="s">
        <v>18</v>
      </c>
    </row>
    <row r="6" spans="1:27" x14ac:dyDescent="0.25">
      <c r="A6" s="68"/>
      <c r="B6" s="68"/>
      <c r="C6" s="68"/>
      <c r="D6" s="68"/>
      <c r="E6" s="68"/>
      <c r="F6" s="79"/>
      <c r="G6" s="68"/>
      <c r="H6" s="68"/>
      <c r="I6" s="68"/>
      <c r="J6" s="68"/>
      <c r="K6" s="79"/>
      <c r="L6" s="68"/>
      <c r="M6" s="110" t="str">
        <f t="shared" si="0"/>
        <v/>
      </c>
      <c r="N6" s="94" t="str">
        <f t="shared" ref="N6:N39" si="2">IF(M6="","",IF(M6="-","-",M6/N$3))</f>
        <v/>
      </c>
      <c r="O6" s="83" t="str">
        <f>IF(M6="","",VLOOKUP(N6,Table1[],2,TRUE))</f>
        <v/>
      </c>
      <c r="P6" s="90" t="str">
        <f t="shared" si="1"/>
        <v/>
      </c>
      <c r="Q6" s="96" t="str">
        <f>IF(P6="","",IF(P6="-", "-",P6/Q$3))</f>
        <v/>
      </c>
      <c r="R6" s="84" t="str">
        <f>IF(P6="","",VLOOKUP(Q6,Table1[],2,TRUE))</f>
        <v/>
      </c>
      <c r="S6" s="92" t="str">
        <f>IF(AND(N6="",Q6=""),"",IF(OR(N6="-",Q6="-"),"-",IF(AND(N$3&lt;&gt;0,Q$3&lt;&gt;0),VLOOKUP(AVERAGE(N6,Q6),Table1[],2,TRUE),IF(AND(N$3&lt;&gt;0,Q$3=0),O6,R6))))</f>
        <v/>
      </c>
      <c r="T6" s="72"/>
      <c r="U6" s="72" t="str">
        <f t="shared" ref="U6:U40" si="3">IF(ISBLANK(T6),S6,T6)</f>
        <v/>
      </c>
      <c r="V6" s="74" t="s">
        <v>18</v>
      </c>
    </row>
    <row r="7" spans="1:27" x14ac:dyDescent="0.25">
      <c r="A7" s="68"/>
      <c r="B7" s="68"/>
      <c r="C7" s="68"/>
      <c r="D7" s="68"/>
      <c r="E7" s="68"/>
      <c r="F7" s="79"/>
      <c r="G7" s="68"/>
      <c r="H7" s="68"/>
      <c r="I7" s="68"/>
      <c r="J7" s="68"/>
      <c r="K7" s="79"/>
      <c r="L7" s="68"/>
      <c r="M7" s="110" t="str">
        <f t="shared" si="0"/>
        <v/>
      </c>
      <c r="N7" s="94" t="str">
        <f t="shared" si="2"/>
        <v/>
      </c>
      <c r="O7" s="83" t="str">
        <f>IF(M7="","",VLOOKUP(N7,Table1[],2,TRUE))</f>
        <v/>
      </c>
      <c r="P7" s="90" t="str">
        <f t="shared" si="1"/>
        <v/>
      </c>
      <c r="Q7" s="96" t="str">
        <f t="shared" ref="Q7:Q39" si="4">IF(P7="","",IF(P7="-", "-",P7/Q$3))</f>
        <v/>
      </c>
      <c r="R7" s="84" t="str">
        <f>IF(P7="","",VLOOKUP(Q7,Table1[],2,TRUE))</f>
        <v/>
      </c>
      <c r="S7" s="92" t="str">
        <f>IF(AND(N7="",Q7=""),"",IF(OR(N7="-",Q7="-"),"-",IF(AND(N$3&lt;&gt;0,Q$3&lt;&gt;0),VLOOKUP(AVERAGE(N7,Q7),Table1[],2,TRUE),IF(AND(N$3&lt;&gt;0,Q$3=0),O7,R7))))</f>
        <v/>
      </c>
      <c r="T7" s="72"/>
      <c r="U7" s="72" t="str">
        <f t="shared" si="3"/>
        <v/>
      </c>
      <c r="V7" s="74" t="s">
        <v>18</v>
      </c>
    </row>
    <row r="8" spans="1:27" x14ac:dyDescent="0.25">
      <c r="A8" s="68"/>
      <c r="B8" s="68"/>
      <c r="C8" s="68"/>
      <c r="D8" s="68"/>
      <c r="E8" s="68"/>
      <c r="F8" s="79"/>
      <c r="G8" s="68"/>
      <c r="H8" s="68"/>
      <c r="I8" s="68"/>
      <c r="J8" s="68"/>
      <c r="K8" s="79"/>
      <c r="L8" s="68"/>
      <c r="M8" s="110"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7" x14ac:dyDescent="0.25">
      <c r="A9" s="68"/>
      <c r="B9" s="68"/>
      <c r="C9" s="68"/>
      <c r="D9" s="68"/>
      <c r="E9" s="68"/>
      <c r="F9" s="79"/>
      <c r="G9" s="68"/>
      <c r="H9" s="68"/>
      <c r="I9" s="68"/>
      <c r="J9" s="68"/>
      <c r="K9" s="79"/>
      <c r="L9" s="68"/>
      <c r="M9" s="110"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7" x14ac:dyDescent="0.25">
      <c r="A10" s="68"/>
      <c r="B10" s="68"/>
      <c r="C10" s="68"/>
      <c r="D10" s="68"/>
      <c r="E10" s="68"/>
      <c r="F10" s="79"/>
      <c r="G10" s="68"/>
      <c r="H10" s="68"/>
      <c r="I10" s="68"/>
      <c r="J10" s="68"/>
      <c r="K10" s="79"/>
      <c r="L10" s="68"/>
      <c r="M10" s="110"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7" x14ac:dyDescent="0.25">
      <c r="A11" s="68"/>
      <c r="B11" s="68"/>
      <c r="C11" s="68"/>
      <c r="D11" s="68"/>
      <c r="E11" s="68"/>
      <c r="F11" s="79"/>
      <c r="G11" s="68"/>
      <c r="H11" s="68"/>
      <c r="I11" s="68"/>
      <c r="J11" s="68"/>
      <c r="K11" s="79"/>
      <c r="L11" s="68"/>
      <c r="M11" s="110"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7" x14ac:dyDescent="0.25">
      <c r="A12" s="68"/>
      <c r="B12" s="68"/>
      <c r="C12" s="68"/>
      <c r="D12" s="68"/>
      <c r="E12" s="68"/>
      <c r="F12" s="79"/>
      <c r="G12" s="68"/>
      <c r="H12" s="68"/>
      <c r="I12" s="68"/>
      <c r="J12" s="68"/>
      <c r="K12" s="79"/>
      <c r="L12" s="68"/>
      <c r="M12" s="110"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7" x14ac:dyDescent="0.25">
      <c r="A13" s="68"/>
      <c r="B13" s="68"/>
      <c r="C13" s="68"/>
      <c r="D13" s="68"/>
      <c r="E13" s="68"/>
      <c r="F13" s="79"/>
      <c r="G13" s="68"/>
      <c r="H13" s="68"/>
      <c r="I13" s="68"/>
      <c r="J13" s="68"/>
      <c r="K13" s="79"/>
      <c r="L13" s="68"/>
      <c r="M13" s="110"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7" x14ac:dyDescent="0.25">
      <c r="A14" s="68"/>
      <c r="B14" s="68"/>
      <c r="C14" s="68"/>
      <c r="D14" s="68"/>
      <c r="E14" s="68"/>
      <c r="F14" s="79"/>
      <c r="G14" s="68"/>
      <c r="H14" s="68"/>
      <c r="I14" s="68"/>
      <c r="J14" s="68"/>
      <c r="K14" s="79"/>
      <c r="L14" s="68"/>
      <c r="M14" s="110"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7" x14ac:dyDescent="0.25">
      <c r="A15" s="68"/>
      <c r="B15" s="68"/>
      <c r="C15" s="68"/>
      <c r="D15" s="68"/>
      <c r="E15" s="68"/>
      <c r="F15" s="79"/>
      <c r="G15" s="68"/>
      <c r="H15" s="68"/>
      <c r="I15" s="68"/>
      <c r="J15" s="68"/>
      <c r="K15" s="79"/>
      <c r="L15" s="68"/>
      <c r="M15" s="110"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7" x14ac:dyDescent="0.25">
      <c r="A16" s="68"/>
      <c r="B16" s="68"/>
      <c r="C16" s="68"/>
      <c r="D16" s="68"/>
      <c r="E16" s="68"/>
      <c r="F16" s="79"/>
      <c r="G16" s="68"/>
      <c r="H16" s="68"/>
      <c r="I16" s="68"/>
      <c r="J16" s="68"/>
      <c r="K16" s="79"/>
      <c r="L16" s="68"/>
      <c r="M16" s="110"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10"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10"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10"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10"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10"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10"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10"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10"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10"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10"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10"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10"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10"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10"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10"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10"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10"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10"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10"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10"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10"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10"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10"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6"/>
      <c r="M40" s="111"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sheetData>
  <sheetProtection sheet="1" objects="1" scenarios="1"/>
  <mergeCells count="7">
    <mergeCell ref="N3:O3"/>
    <mergeCell ref="Q3:R3"/>
    <mergeCell ref="K2:L2"/>
    <mergeCell ref="B1:V1"/>
    <mergeCell ref="A2:E2"/>
    <mergeCell ref="F2:J2"/>
    <mergeCell ref="M2:U2"/>
  </mergeCells>
  <conditionalFormatting sqref="R5:U40 O5:O40">
    <cfRule type="expression" dxfId="7" priority="8" stopIfTrue="1">
      <formula>OR(ISNUMBER(SEARCH("D",O5)),ISNUMBER(SEARCH("E",O5)))</formula>
    </cfRule>
  </conditionalFormatting>
  <conditionalFormatting sqref="A5:J40">
    <cfRule type="expression" dxfId="6" priority="2" stopIfTrue="1">
      <formula>NOT(ISBLANK(A5))</formula>
    </cfRule>
    <cfRule type="expression" dxfId="5" priority="3"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CFF76C-090D-4B81-88B7-FFA379B8AAA3}">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P741"/>
  <sheetViews>
    <sheetView zoomScale="115" zoomScaleNormal="115" workbookViewId="0">
      <selection activeCell="E49" sqref="E49"/>
    </sheetView>
  </sheetViews>
  <sheetFormatPr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3" t="s">
        <v>65</v>
      </c>
      <c r="B1" s="152" t="s">
        <v>79</v>
      </c>
      <c r="C1" s="152"/>
      <c r="D1" s="152"/>
      <c r="E1" s="152"/>
      <c r="F1" s="152"/>
      <c r="G1" s="152"/>
      <c r="H1" s="152"/>
      <c r="I1" s="152"/>
      <c r="J1" s="152"/>
      <c r="K1" s="152"/>
      <c r="L1" s="152"/>
      <c r="M1" s="152"/>
      <c r="N1" s="152"/>
      <c r="O1" s="152"/>
      <c r="P1" s="152"/>
      <c r="Q1" s="152"/>
      <c r="R1" s="152"/>
      <c r="S1" s="152"/>
      <c r="T1" s="152"/>
      <c r="U1" s="152"/>
      <c r="V1" s="153"/>
    </row>
    <row r="2" spans="1:22" x14ac:dyDescent="0.25">
      <c r="A2" s="154" t="s">
        <v>31</v>
      </c>
      <c r="B2" s="155"/>
      <c r="C2" s="155"/>
      <c r="D2" s="155"/>
      <c r="E2" s="155"/>
      <c r="F2" s="150" t="s">
        <v>33</v>
      </c>
      <c r="G2" s="155"/>
      <c r="H2" s="155"/>
      <c r="I2" s="155"/>
      <c r="J2" s="155"/>
      <c r="K2" s="150" t="s">
        <v>77</v>
      </c>
      <c r="L2" s="151"/>
      <c r="M2" s="150" t="s">
        <v>34</v>
      </c>
      <c r="N2" s="155"/>
      <c r="O2" s="155"/>
      <c r="P2" s="155"/>
      <c r="Q2" s="155"/>
      <c r="R2" s="155"/>
      <c r="S2" s="155"/>
      <c r="T2" s="155"/>
      <c r="U2" s="156"/>
      <c r="V2" s="74" t="s">
        <v>18</v>
      </c>
    </row>
    <row r="3" spans="1:22" ht="15" customHeight="1" x14ac:dyDescent="0.25">
      <c r="A3" s="101" t="s">
        <v>80</v>
      </c>
      <c r="B3" s="101" t="s">
        <v>81</v>
      </c>
      <c r="C3" s="101" t="s">
        <v>73</v>
      </c>
      <c r="D3" s="101" t="s">
        <v>73</v>
      </c>
      <c r="E3" s="101" t="s">
        <v>73</v>
      </c>
      <c r="F3" s="101" t="s">
        <v>33</v>
      </c>
      <c r="G3" s="101" t="s">
        <v>73</v>
      </c>
      <c r="H3" s="101" t="s">
        <v>73</v>
      </c>
      <c r="I3" s="101" t="s">
        <v>73</v>
      </c>
      <c r="J3" s="101" t="s">
        <v>73</v>
      </c>
      <c r="K3" s="101" t="s">
        <v>73</v>
      </c>
      <c r="L3" s="101" t="s">
        <v>73</v>
      </c>
      <c r="M3" s="100" t="str">
        <f>_xlfn.TEXTJOIN(" ",TRUE,"Max",A2,":")</f>
        <v>Max UD :</v>
      </c>
      <c r="N3" s="157">
        <f>IF(OR(A4="-",B4="-",C4="-",D4="-",E4="-"),"-",SUM(A4,B4,C4,D4,E4))</f>
        <v>100</v>
      </c>
      <c r="O3" s="158"/>
      <c r="P3" s="100" t="str">
        <f>_xlfn.TEXTJOIN(" ",TRUE,"Max",F2,":")</f>
        <v>Max SD :</v>
      </c>
      <c r="Q3" s="159">
        <f>IF(OR(F4="-",G4="-",H4="-",I4="-",J4="-"),"-",SUM(F4,G4,H4,I4,J4))</f>
        <v>100</v>
      </c>
      <c r="R3" s="160"/>
      <c r="S3" s="75"/>
      <c r="T3" s="75"/>
      <c r="U3" s="75"/>
      <c r="V3" s="74" t="s">
        <v>18</v>
      </c>
    </row>
    <row r="4" spans="1:22" ht="15" customHeight="1" x14ac:dyDescent="0.25">
      <c r="A4" s="164">
        <v>25</v>
      </c>
      <c r="B4" s="165">
        <v>75</v>
      </c>
      <c r="C4" s="165"/>
      <c r="D4" s="165"/>
      <c r="E4" s="165"/>
      <c r="F4" s="165">
        <v>100</v>
      </c>
      <c r="G4" s="165"/>
      <c r="H4" s="165"/>
      <c r="I4" s="165"/>
      <c r="J4" s="165"/>
      <c r="K4" s="165"/>
      <c r="L4" s="165"/>
      <c r="M4" s="82" t="str">
        <f>_xlfn.TEXTJOIN(" ",TRUE,M2,A2)</f>
        <v>Overall UD</v>
      </c>
      <c r="N4" s="102" t="s">
        <v>32</v>
      </c>
      <c r="O4" s="103" t="s">
        <v>1</v>
      </c>
      <c r="P4" s="76" t="str">
        <f>_xlfn.TEXTJOIN(" ",TRUE,M2,F2)</f>
        <v>Overall SD</v>
      </c>
      <c r="Q4" s="104" t="s">
        <v>32</v>
      </c>
      <c r="R4" s="105" t="s">
        <v>1</v>
      </c>
      <c r="S4" s="77" t="s">
        <v>49</v>
      </c>
      <c r="T4" s="77" t="s">
        <v>50</v>
      </c>
      <c r="U4" s="77" t="s">
        <v>72</v>
      </c>
      <c r="V4" s="74" t="s">
        <v>18</v>
      </c>
    </row>
    <row r="5" spans="1:22" ht="15" customHeight="1" x14ac:dyDescent="0.25">
      <c r="A5" s="68">
        <v>20</v>
      </c>
      <c r="B5" s="68">
        <v>63</v>
      </c>
      <c r="C5" s="68"/>
      <c r="D5" s="68"/>
      <c r="E5" s="68"/>
      <c r="F5" s="79">
        <v>73</v>
      </c>
      <c r="G5" s="68"/>
      <c r="H5" s="68"/>
      <c r="I5" s="68"/>
      <c r="J5" s="68"/>
      <c r="K5" s="79"/>
      <c r="L5" s="68"/>
      <c r="M5" s="110">
        <f t="shared" ref="M5:M40" si="0">IF(COUNTIF(A5:E5,"*-*")&gt;0,"-",IF(COUNTBLANK(A5:E5)=5,"",IF(N$3="-","-",SUM(A5:E5))))</f>
        <v>83</v>
      </c>
      <c r="N5" s="94">
        <f>IF(M5="","",IF(M5="-","-",M5/N$3))</f>
        <v>0.83</v>
      </c>
      <c r="O5" s="83" t="str">
        <f>IF(N5="","",VLOOKUP(N5,Table1[],2,TRUE))</f>
        <v>A-</v>
      </c>
      <c r="P5" s="89">
        <f t="shared" ref="P5:P40" si="1">IF(COUNTIF(F5:J5,"*-*")&gt;0,"-",IF(COUNTBLANK(F5:J5)=5,"",IF(Q$3="-","-",SUM(F5:J5))))</f>
        <v>73</v>
      </c>
      <c r="Q5" s="96">
        <f>IF(P5="","",IF(P5="-", "-",P5/Q$3))</f>
        <v>0.73</v>
      </c>
      <c r="R5" s="84" t="str">
        <f>IF(Q5="","",VLOOKUP(Q5,Table1[],2,TRUE))</f>
        <v>B</v>
      </c>
      <c r="S5" s="92" t="str">
        <f>IF(AND(N5="",Q5=""),"",IF(OR(N5="-",Q5="-"),"-",IF(AND(N$3&lt;&gt;0,Q$3&lt;&gt;0),VLOOKUP(AVERAGE(N5,Q5),Table1[],2,TRUE),IF(AND(N$3&lt;&gt;0,Q$3=0),O5,R5))))</f>
        <v>B+</v>
      </c>
      <c r="T5" s="72"/>
      <c r="U5" s="72" t="str">
        <f>IF(ISBLANK(T5),S5,T5)</f>
        <v>B+</v>
      </c>
      <c r="V5" s="74" t="s">
        <v>18</v>
      </c>
    </row>
    <row r="6" spans="1:22" ht="15" customHeight="1" x14ac:dyDescent="0.25">
      <c r="A6" s="68" t="s">
        <v>18</v>
      </c>
      <c r="B6" s="68" t="s">
        <v>18</v>
      </c>
      <c r="C6" s="68"/>
      <c r="D6" s="68"/>
      <c r="E6" s="68"/>
      <c r="F6" s="79">
        <v>42</v>
      </c>
      <c r="G6" s="68"/>
      <c r="H6" s="68"/>
      <c r="I6" s="68"/>
      <c r="J6" s="68"/>
      <c r="K6" s="79"/>
      <c r="L6" s="68"/>
      <c r="M6" s="110" t="str">
        <f t="shared" si="0"/>
        <v>-</v>
      </c>
      <c r="N6" s="94" t="str">
        <f t="shared" ref="N6:N39" si="2">IF(M6="","",IF(M6="-","-",M6/N$3))</f>
        <v>-</v>
      </c>
      <c r="O6" s="83" t="str">
        <f>IF(M6="","",VLOOKUP(N6,Table1[],2,TRUE))</f>
        <v>-</v>
      </c>
      <c r="P6" s="90">
        <f t="shared" si="1"/>
        <v>42</v>
      </c>
      <c r="Q6" s="96">
        <f>IF(P6="","",IF(P6="-", "-",P6/Q$3))</f>
        <v>0.42</v>
      </c>
      <c r="R6" s="84" t="str">
        <f>IF(P6="","",VLOOKUP(Q6,Table1[],2,TRUE))</f>
        <v>D+</v>
      </c>
      <c r="S6" s="92" t="str">
        <f>IF(AND(N6="",Q6=""),"",IF(OR(N6="-",Q6="-"),"-",IF(AND(N$3&lt;&gt;0,Q$3&lt;&gt;0),VLOOKUP(AVERAGE(N6,Q6),Table1[],2,TRUE),IF(AND(N$3&lt;&gt;0,Q$3=0),O6,R6))))</f>
        <v>-</v>
      </c>
      <c r="T6" s="161"/>
      <c r="U6" s="72" t="str">
        <f t="shared" ref="U6:U40" si="3">IF(ISBLANK(T6),S6,T6)</f>
        <v>-</v>
      </c>
      <c r="V6" s="74" t="s">
        <v>18</v>
      </c>
    </row>
    <row r="7" spans="1:22" ht="15" customHeight="1" x14ac:dyDescent="0.25">
      <c r="A7" s="68">
        <v>15</v>
      </c>
      <c r="B7" s="68" t="s">
        <v>18</v>
      </c>
      <c r="C7" s="68"/>
      <c r="D7" s="68"/>
      <c r="E7" s="68"/>
      <c r="F7" s="79">
        <v>84</v>
      </c>
      <c r="G7" s="68"/>
      <c r="H7" s="68"/>
      <c r="I7" s="68"/>
      <c r="J7" s="68"/>
      <c r="K7" s="79"/>
      <c r="L7" s="68"/>
      <c r="M7" s="110" t="str">
        <f t="shared" si="0"/>
        <v>-</v>
      </c>
      <c r="N7" s="94" t="str">
        <f t="shared" si="2"/>
        <v>-</v>
      </c>
      <c r="O7" s="83" t="str">
        <f>IF(M7="","",VLOOKUP(N7,Table1[],2,TRUE))</f>
        <v>-</v>
      </c>
      <c r="P7" s="90">
        <f t="shared" si="1"/>
        <v>84</v>
      </c>
      <c r="Q7" s="96">
        <f t="shared" ref="Q7:Q39" si="4">IF(P7="","",IF(P7="-", "-",P7/Q$3))</f>
        <v>0.84</v>
      </c>
      <c r="R7" s="84" t="str">
        <f>IF(P7="","",VLOOKUP(Q7,Table1[],2,TRUE))</f>
        <v>A-</v>
      </c>
      <c r="S7" s="92" t="str">
        <f>IF(AND(N7="",Q7=""),"",IF(OR(N7="-",Q7="-"),"-",IF(AND(N$3&lt;&gt;0,Q$3&lt;&gt;0),VLOOKUP(AVERAGE(N7,Q7),Table1[],2,TRUE),IF(AND(N$3&lt;&gt;0,Q$3=0),O7,R7))))</f>
        <v>-</v>
      </c>
      <c r="T7" s="161" t="s">
        <v>11</v>
      </c>
      <c r="U7" s="72" t="str">
        <f t="shared" si="3"/>
        <v>C+</v>
      </c>
      <c r="V7" s="74" t="s">
        <v>18</v>
      </c>
    </row>
    <row r="8" spans="1:22" ht="15" customHeight="1" x14ac:dyDescent="0.25">
      <c r="A8" s="68"/>
      <c r="B8" s="68"/>
      <c r="C8" s="68"/>
      <c r="D8" s="68"/>
      <c r="E8" s="68"/>
      <c r="F8" s="79"/>
      <c r="G8" s="68"/>
      <c r="H8" s="68"/>
      <c r="I8" s="68"/>
      <c r="J8" s="68"/>
      <c r="K8" s="79"/>
      <c r="L8" s="68"/>
      <c r="M8" s="110"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2" ht="15" customHeight="1" x14ac:dyDescent="0.25">
      <c r="A9" s="68"/>
      <c r="B9" s="68"/>
      <c r="C9" s="68"/>
      <c r="D9" s="68"/>
      <c r="E9" s="68"/>
      <c r="F9" s="79"/>
      <c r="G9" s="68"/>
      <c r="H9" s="68"/>
      <c r="I9" s="68"/>
      <c r="J9" s="68"/>
      <c r="K9" s="79"/>
      <c r="L9" s="68"/>
      <c r="M9" s="110"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2" ht="15" customHeight="1" x14ac:dyDescent="0.25">
      <c r="A10" s="68"/>
      <c r="B10" s="68"/>
      <c r="C10" s="68"/>
      <c r="D10" s="68"/>
      <c r="E10" s="68"/>
      <c r="F10" s="79"/>
      <c r="G10" s="68"/>
      <c r="H10" s="68"/>
      <c r="I10" s="68"/>
      <c r="J10" s="68"/>
      <c r="K10" s="79"/>
      <c r="L10" s="68"/>
      <c r="M10" s="110"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2" ht="15" customHeight="1" x14ac:dyDescent="0.25">
      <c r="A11" s="68"/>
      <c r="B11" s="68"/>
      <c r="C11" s="68"/>
      <c r="D11" s="68"/>
      <c r="E11" s="68"/>
      <c r="F11" s="79"/>
      <c r="G11" s="68"/>
      <c r="H11" s="68"/>
      <c r="I11" s="68"/>
      <c r="J11" s="68"/>
      <c r="K11" s="79"/>
      <c r="L11" s="68"/>
      <c r="M11" s="110"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2" ht="15" customHeight="1" x14ac:dyDescent="0.25">
      <c r="A12" s="68"/>
      <c r="B12" s="68"/>
      <c r="C12" s="68"/>
      <c r="D12" s="68"/>
      <c r="E12" s="68"/>
      <c r="F12" s="79"/>
      <c r="G12" s="68"/>
      <c r="H12" s="68"/>
      <c r="I12" s="68"/>
      <c r="J12" s="68"/>
      <c r="K12" s="79"/>
      <c r="L12" s="68"/>
      <c r="M12" s="110"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2" ht="15" customHeight="1" x14ac:dyDescent="0.25">
      <c r="A13" s="68"/>
      <c r="B13" s="68"/>
      <c r="C13" s="68"/>
      <c r="D13" s="68"/>
      <c r="E13" s="68"/>
      <c r="F13" s="79"/>
      <c r="G13" s="68"/>
      <c r="H13" s="68"/>
      <c r="I13" s="68"/>
      <c r="J13" s="68"/>
      <c r="K13" s="79"/>
      <c r="L13" s="68"/>
      <c r="M13" s="110"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2" x14ac:dyDescent="0.25">
      <c r="A14" s="68"/>
      <c r="B14" s="68"/>
      <c r="C14" s="68"/>
      <c r="D14" s="68"/>
      <c r="E14" s="68"/>
      <c r="F14" s="79"/>
      <c r="G14" s="68"/>
      <c r="H14" s="68"/>
      <c r="I14" s="68"/>
      <c r="J14" s="68"/>
      <c r="K14" s="79"/>
      <c r="L14" s="68"/>
      <c r="M14" s="110"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2" x14ac:dyDescent="0.25">
      <c r="A15" s="68"/>
      <c r="B15" s="68"/>
      <c r="C15" s="68"/>
      <c r="D15" s="68"/>
      <c r="E15" s="68"/>
      <c r="F15" s="79"/>
      <c r="G15" s="68"/>
      <c r="H15" s="68"/>
      <c r="I15" s="68"/>
      <c r="J15" s="68"/>
      <c r="K15" s="79"/>
      <c r="L15" s="68"/>
      <c r="M15" s="110"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2" x14ac:dyDescent="0.25">
      <c r="A16" s="68"/>
      <c r="B16" s="68"/>
      <c r="C16" s="68"/>
      <c r="D16" s="68"/>
      <c r="E16" s="68"/>
      <c r="F16" s="79"/>
      <c r="G16" s="68"/>
      <c r="H16" s="68"/>
      <c r="I16" s="68"/>
      <c r="J16" s="68"/>
      <c r="K16" s="79"/>
      <c r="L16" s="68"/>
      <c r="M16" s="110"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10"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10"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10"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10"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10"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10"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10"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10"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10"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10"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10"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10"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10"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10"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10"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10"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10"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10"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10"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10"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10"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10"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10"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6"/>
      <c r="M40" s="111"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sheetProtection sheet="1" objects="1" scenarios="1"/>
  <mergeCells count="7">
    <mergeCell ref="F2:J2"/>
    <mergeCell ref="K2:L2"/>
    <mergeCell ref="B1:V1"/>
    <mergeCell ref="M2:U2"/>
    <mergeCell ref="N3:O3"/>
    <mergeCell ref="Q3:R3"/>
    <mergeCell ref="A2:E2"/>
  </mergeCells>
  <conditionalFormatting sqref="R5:U40 O5:O40">
    <cfRule type="expression" dxfId="4" priority="3" stopIfTrue="1">
      <formula>OR(ISNUMBER(SEARCH("D",O5)),ISNUMBER(SEARCH("E",O5)))</formula>
    </cfRule>
  </conditionalFormatting>
  <conditionalFormatting sqref="A5:J40">
    <cfRule type="expression" dxfId="3" priority="1" stopIfTrue="1">
      <formula>NOT(ISBLANK(A5))</formula>
    </cfRule>
  </conditionalFormatting>
  <conditionalFormatting sqref="A5:J7">
    <cfRule type="expression" dxfId="2"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381000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tabSelected="1" zoomScaleNormal="100" workbookViewId="0">
      <selection activeCell="M30" sqref="M30"/>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62"/>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opLeftCell="A10" zoomScaleNormal="100" workbookViewId="0">
      <selection activeCell="C39" sqref="C39"/>
    </sheetView>
  </sheetViews>
  <sheetFormatPr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71">
        <v>43810</v>
      </c>
      <c r="E13" s="47" t="s">
        <v>71</v>
      </c>
    </row>
    <row r="14" spans="2:7" ht="60" x14ac:dyDescent="0.25">
      <c r="B14" s="45" t="s">
        <v>75</v>
      </c>
      <c r="C14" s="45" t="s">
        <v>43</v>
      </c>
      <c r="D14" s="71">
        <v>43811</v>
      </c>
      <c r="E14" s="47" t="s">
        <v>76</v>
      </c>
    </row>
    <row r="15" spans="2:7" ht="45" x14ac:dyDescent="0.25">
      <c r="B15" s="45" t="s">
        <v>78</v>
      </c>
      <c r="C15" s="45" t="s">
        <v>43</v>
      </c>
      <c r="D15" s="71">
        <v>43895</v>
      </c>
      <c r="E15" s="47" t="s">
        <v>82</v>
      </c>
    </row>
    <row r="16" spans="2:7" x14ac:dyDescent="0.25">
      <c r="B16" s="45"/>
      <c r="C16" s="45"/>
      <c r="D16" s="45"/>
      <c r="E16" s="47"/>
    </row>
    <row r="17" spans="2:5" x14ac:dyDescent="0.25">
      <c r="B17" s="45"/>
      <c r="C17" s="45"/>
      <c r="D17" s="45"/>
      <c r="E17" s="47"/>
    </row>
    <row r="18" spans="2:5" x14ac:dyDescent="0.25">
      <c r="B18" s="45"/>
      <c r="C18" s="45"/>
      <c r="D18" s="45"/>
      <c r="E18" s="47"/>
    </row>
    <row r="19" spans="2:5" x14ac:dyDescent="0.25">
      <c r="B19" s="45"/>
      <c r="C19" s="45"/>
      <c r="D19" s="45"/>
      <c r="E19" s="47"/>
    </row>
    <row r="20" spans="2:5" x14ac:dyDescent="0.25">
      <c r="B20" s="45"/>
      <c r="C20" s="45"/>
      <c r="D20" s="45"/>
      <c r="E20" s="47"/>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2020-03-05T04:00:09Z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