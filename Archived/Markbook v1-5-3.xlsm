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74837BA0-65D6-932C-5D65-3B800EBDC722}"/>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E5328651-8FFA-44EB-B527-2B39422B98B3}" xr6:coauthVersionLast="31" xr6:coauthVersionMax="41" xr10:uidLastSave="{00000000-0000-0000-0000-000000000000}"/>
  <bookViews>
    <workbookView xWindow="1170" yWindow="1170" windowWidth="12825" windowHeight="11055" tabRatio="723" activeTab="1" xr2:uid="{819FE5EB-A8BE-46E7-8C57-623FF87BA6E9}"/>
  </bookViews>
  <sheets>
    <sheet name="ClassInformation" sheetId="3" r:id="rId1"/>
    <sheet name="Semester1" sheetId="4" r:id="rId2"/>
    <sheet name="Semester2" sheetId="13" r:id="rId3"/>
    <sheet name="AssessmentTemplate" sheetId="8" r:id="rId4"/>
    <sheet name="TemplateInstruction" sheetId="9" r:id="rId5"/>
    <sheet name="GradeScheme" sheetId="2" r:id="rId6"/>
    <sheet name="Changelog" sheetId="11" r:id="rId7"/>
  </sheets>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40" i="4" l="1"/>
  <c r="AB40" i="4" s="1"/>
  <c r="W40" i="4"/>
  <c r="X40" i="4" s="1"/>
  <c r="Z39" i="4"/>
  <c r="AB39" i="4" s="1"/>
  <c r="W39" i="4"/>
  <c r="X39" i="4" s="1"/>
  <c r="Z38" i="4"/>
  <c r="AB38" i="4" s="1"/>
  <c r="W38" i="4"/>
  <c r="X38" i="4" s="1"/>
  <c r="Z37" i="4"/>
  <c r="AB37" i="4" s="1"/>
  <c r="W37" i="4"/>
  <c r="X37" i="4" s="1"/>
  <c r="Z36" i="4"/>
  <c r="AB36" i="4" s="1"/>
  <c r="W36" i="4"/>
  <c r="X36" i="4" s="1"/>
  <c r="Z35" i="4"/>
  <c r="AB35" i="4" s="1"/>
  <c r="W35" i="4"/>
  <c r="X35" i="4" s="1"/>
  <c r="Z34" i="4"/>
  <c r="AB34" i="4" s="1"/>
  <c r="W34" i="4"/>
  <c r="X34" i="4" s="1"/>
  <c r="Z33" i="4"/>
  <c r="AB33" i="4" s="1"/>
  <c r="W33" i="4"/>
  <c r="X33" i="4" s="1"/>
  <c r="Z32" i="4"/>
  <c r="AB32" i="4" s="1"/>
  <c r="W32" i="4"/>
  <c r="X32" i="4" s="1"/>
  <c r="Z31" i="4"/>
  <c r="AB31" i="4" s="1"/>
  <c r="W31" i="4"/>
  <c r="X31" i="4" s="1"/>
  <c r="Z30" i="4"/>
  <c r="AB30" i="4" s="1"/>
  <c r="W30" i="4"/>
  <c r="X30" i="4" s="1"/>
  <c r="Z29" i="4"/>
  <c r="AB29" i="4" s="1"/>
  <c r="W29" i="4"/>
  <c r="X29" i="4" s="1"/>
  <c r="Z28" i="4"/>
  <c r="AB28" i="4" s="1"/>
  <c r="W28" i="4"/>
  <c r="X28" i="4" s="1"/>
  <c r="Z27" i="4"/>
  <c r="AB27" i="4" s="1"/>
  <c r="W27" i="4"/>
  <c r="X27" i="4" s="1"/>
  <c r="Z26" i="4"/>
  <c r="AB26" i="4" s="1"/>
  <c r="W26" i="4"/>
  <c r="X26" i="4" s="1"/>
  <c r="Z25" i="4"/>
  <c r="AB25" i="4" s="1"/>
  <c r="W25" i="4"/>
  <c r="X25" i="4" s="1"/>
  <c r="Z24" i="4"/>
  <c r="AB24" i="4" s="1"/>
  <c r="W24" i="4"/>
  <c r="X24" i="4" s="1"/>
  <c r="Z23" i="4"/>
  <c r="AB23" i="4" s="1"/>
  <c r="W23" i="4"/>
  <c r="X23" i="4" s="1"/>
  <c r="Z22" i="4"/>
  <c r="AB22" i="4" s="1"/>
  <c r="W22" i="4"/>
  <c r="X22" i="4" s="1"/>
  <c r="Z21" i="4"/>
  <c r="AB21" i="4" s="1"/>
  <c r="W21" i="4"/>
  <c r="X21" i="4" s="1"/>
  <c r="Z20" i="4"/>
  <c r="W20" i="4"/>
  <c r="X20" i="4" s="1"/>
  <c r="Z19" i="4"/>
  <c r="W19" i="4"/>
  <c r="X19" i="4" s="1"/>
  <c r="Z18" i="4"/>
  <c r="W18" i="4"/>
  <c r="X18" i="4" s="1"/>
  <c r="Z17" i="4"/>
  <c r="W17" i="4"/>
  <c r="X17" i="4" s="1"/>
  <c r="Z16" i="4"/>
  <c r="W16" i="4"/>
  <c r="X16" i="4" s="1"/>
  <c r="Z15" i="4"/>
  <c r="W15" i="4"/>
  <c r="X15" i="4" s="1"/>
  <c r="Z14" i="4"/>
  <c r="W14" i="4"/>
  <c r="X14" i="4" s="1"/>
  <c r="Z13" i="4"/>
  <c r="W13" i="4"/>
  <c r="X13" i="4" s="1"/>
  <c r="Z12" i="4"/>
  <c r="W12" i="4"/>
  <c r="X12" i="4" s="1"/>
  <c r="Z11" i="4"/>
  <c r="W11" i="4"/>
  <c r="X11" i="4" s="1"/>
  <c r="Z10" i="4"/>
  <c r="W10" i="4"/>
  <c r="X10" i="4" s="1"/>
  <c r="Z9" i="4"/>
  <c r="W9" i="4"/>
  <c r="X9" i="4" s="1"/>
  <c r="Z8" i="4"/>
  <c r="W8" i="4"/>
  <c r="X8" i="4" s="1"/>
  <c r="Z7" i="4"/>
  <c r="W7" i="4"/>
  <c r="X7" i="4" s="1"/>
  <c r="Z6" i="4"/>
  <c r="W6" i="4"/>
  <c r="X6" i="4" s="1"/>
  <c r="Z5" i="4"/>
  <c r="AA5" i="4" s="1"/>
  <c r="AB5" i="4" s="1"/>
  <c r="W5" i="4"/>
  <c r="X5" i="4" s="1"/>
  <c r="Z4" i="4"/>
  <c r="W4" i="4"/>
  <c r="AA3" i="4"/>
  <c r="Z3" i="4"/>
  <c r="X3" i="4"/>
  <c r="W3" i="4"/>
  <c r="U3" i="4"/>
  <c r="S3" i="4"/>
  <c r="Q3" i="4"/>
  <c r="O3" i="4"/>
  <c r="M3" i="4"/>
  <c r="K3" i="4"/>
  <c r="I3" i="4"/>
  <c r="G3" i="4"/>
  <c r="E3" i="4"/>
  <c r="C3" i="4"/>
  <c r="Y40" i="8"/>
  <c r="Y5" i="8"/>
  <c r="Y7" i="8"/>
  <c r="Y8" i="8"/>
  <c r="Y9" i="8"/>
  <c r="Y10" i="8"/>
  <c r="Y11" i="8"/>
  <c r="Y12" i="8"/>
  <c r="Y13" i="8"/>
  <c r="Y14" i="8"/>
  <c r="Y15" i="8"/>
  <c r="Y16" i="8"/>
  <c r="Y17" i="8"/>
  <c r="Y18" i="8"/>
  <c r="Y19" i="8"/>
  <c r="Y20" i="8"/>
  <c r="Y21" i="8"/>
  <c r="Y22" i="8"/>
  <c r="Y23" i="8"/>
  <c r="Y24" i="8"/>
  <c r="Y25" i="8"/>
  <c r="Y26" i="8"/>
  <c r="Y27" i="8"/>
  <c r="Y28" i="8"/>
  <c r="Y29" i="8"/>
  <c r="Y30" i="8"/>
  <c r="Y31" i="8"/>
  <c r="Y32" i="8"/>
  <c r="Y33" i="8"/>
  <c r="Y34" i="8"/>
  <c r="Y35" i="8"/>
  <c r="Y36" i="8"/>
  <c r="Y37" i="8"/>
  <c r="Y38" i="8"/>
  <c r="Y39" i="8"/>
  <c r="Y6" i="8"/>
  <c r="V40" i="8"/>
  <c r="V6" i="8"/>
  <c r="V7" i="8"/>
  <c r="V8" i="8"/>
  <c r="V9" i="8"/>
  <c r="V10" i="8"/>
  <c r="V11" i="8"/>
  <c r="V12" i="8"/>
  <c r="V13" i="8"/>
  <c r="V14" i="8"/>
  <c r="V15" i="8"/>
  <c r="V16" i="8"/>
  <c r="V17" i="8"/>
  <c r="V18" i="8"/>
  <c r="V19" i="8"/>
  <c r="V20" i="8"/>
  <c r="V21" i="8"/>
  <c r="V22" i="8"/>
  <c r="V23" i="8"/>
  <c r="V24" i="8"/>
  <c r="V25" i="8"/>
  <c r="V26" i="8"/>
  <c r="V27" i="8"/>
  <c r="V28" i="8"/>
  <c r="V29" i="8"/>
  <c r="V30" i="8"/>
  <c r="V31" i="8"/>
  <c r="V32" i="8"/>
  <c r="V33" i="8"/>
  <c r="V34" i="8"/>
  <c r="V35" i="8"/>
  <c r="V36" i="8"/>
  <c r="V37" i="8"/>
  <c r="V38" i="8"/>
  <c r="V39" i="8"/>
  <c r="V5" i="8"/>
  <c r="AA5" i="8"/>
  <c r="X4" i="8"/>
  <c r="U4" i="8"/>
  <c r="X3" i="8"/>
  <c r="U3"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4" i="8"/>
  <c r="U35" i="8"/>
  <c r="U36" i="8"/>
  <c r="U37" i="8"/>
  <c r="U38" i="8"/>
  <c r="U39" i="8"/>
  <c r="U40" i="8"/>
  <c r="X5" i="8"/>
  <c r="U5" i="8"/>
  <c r="E3" i="8"/>
  <c r="G3" i="8"/>
  <c r="I3" i="8"/>
  <c r="K3" i="8"/>
  <c r="M3" i="8"/>
  <c r="O3" i="8"/>
  <c r="Q3" i="8"/>
  <c r="S3" i="8"/>
  <c r="C3" i="8"/>
  <c r="A3" i="8"/>
  <c r="Y38" i="4" l="1"/>
  <c r="Y11" i="4"/>
  <c r="Y27" i="4"/>
  <c r="Y5" i="4"/>
  <c r="AC5" i="4" s="1"/>
  <c r="AE5" i="4" s="1"/>
  <c r="Y6" i="4"/>
  <c r="Y19" i="4"/>
  <c r="Y35" i="4"/>
  <c r="Y18" i="4"/>
  <c r="Y34" i="4"/>
  <c r="Y15" i="4"/>
  <c r="Y23" i="4"/>
  <c r="Y31" i="4"/>
  <c r="Y10" i="4"/>
  <c r="Y26" i="4"/>
  <c r="Y14" i="4"/>
  <c r="Y22" i="4"/>
  <c r="Y30" i="4"/>
  <c r="Y9" i="4"/>
  <c r="Y13" i="4"/>
  <c r="Y17" i="4"/>
  <c r="Y21" i="4"/>
  <c r="Y25" i="4"/>
  <c r="Y29" i="4"/>
  <c r="Y33" i="4"/>
  <c r="Y37" i="4"/>
  <c r="Y8" i="4"/>
  <c r="Y12" i="4"/>
  <c r="Y16" i="4"/>
  <c r="Y20" i="4"/>
  <c r="Y24" i="4"/>
  <c r="Y28" i="4"/>
  <c r="Y32" i="4"/>
  <c r="Y36" i="4"/>
  <c r="Y40" i="4"/>
  <c r="Y7" i="4"/>
  <c r="Y39" i="4"/>
  <c r="AB9" i="4"/>
  <c r="AA9" i="4"/>
  <c r="AC9" i="4" s="1"/>
  <c r="AE9" i="4" s="1"/>
  <c r="AB17" i="4"/>
  <c r="AA17" i="4"/>
  <c r="AC17" i="4" s="1"/>
  <c r="AE17" i="4" s="1"/>
  <c r="AB7" i="4"/>
  <c r="AA7" i="4"/>
  <c r="AC7" i="4" s="1"/>
  <c r="AE7" i="4" s="1"/>
  <c r="AB11" i="4"/>
  <c r="AA11" i="4"/>
  <c r="AC11" i="4" s="1"/>
  <c r="AE11" i="4" s="1"/>
  <c r="AB15" i="4"/>
  <c r="AA15" i="4"/>
  <c r="AC15" i="4" s="1"/>
  <c r="AE15" i="4" s="1"/>
  <c r="AB19" i="4"/>
  <c r="AA19" i="4"/>
  <c r="AC19" i="4" s="1"/>
  <c r="AE19" i="4" s="1"/>
  <c r="AB13" i="4"/>
  <c r="AA13" i="4"/>
  <c r="AC13" i="4" s="1"/>
  <c r="AE13" i="4" s="1"/>
  <c r="AB8" i="4"/>
  <c r="AA8" i="4"/>
  <c r="AC8" i="4" s="1"/>
  <c r="AE8" i="4" s="1"/>
  <c r="AB12" i="4"/>
  <c r="AA12" i="4"/>
  <c r="AC12" i="4" s="1"/>
  <c r="AE12" i="4" s="1"/>
  <c r="AB16" i="4"/>
  <c r="AA16" i="4"/>
  <c r="AC16" i="4" s="1"/>
  <c r="AE16" i="4" s="1"/>
  <c r="AB20" i="4"/>
  <c r="AA20" i="4"/>
  <c r="AC20" i="4" s="1"/>
  <c r="AE20" i="4" s="1"/>
  <c r="AB6" i="4"/>
  <c r="AA6" i="4"/>
  <c r="AC6" i="4" s="1"/>
  <c r="AE6" i="4" s="1"/>
  <c r="AB10" i="4"/>
  <c r="AA10" i="4"/>
  <c r="AC10" i="4" s="1"/>
  <c r="AE10" i="4" s="1"/>
  <c r="AB14" i="4"/>
  <c r="AA14" i="4"/>
  <c r="AC14" i="4" s="1"/>
  <c r="AE14" i="4" s="1"/>
  <c r="AB18" i="4"/>
  <c r="AA18" i="4"/>
  <c r="AC18" i="4" s="1"/>
  <c r="AE18" i="4" s="1"/>
  <c r="AA22" i="4"/>
  <c r="AC22" i="4" s="1"/>
  <c r="AE22" i="4" s="1"/>
  <c r="AA24" i="4"/>
  <c r="AC24" i="4" s="1"/>
  <c r="AE24" i="4" s="1"/>
  <c r="AA26" i="4"/>
  <c r="AC26" i="4" s="1"/>
  <c r="AE26" i="4" s="1"/>
  <c r="AA28" i="4"/>
  <c r="AC28" i="4" s="1"/>
  <c r="AE28" i="4" s="1"/>
  <c r="AA30" i="4"/>
  <c r="AC30" i="4" s="1"/>
  <c r="AE30" i="4" s="1"/>
  <c r="AA31" i="4"/>
  <c r="AC31" i="4" s="1"/>
  <c r="AE31" i="4" s="1"/>
  <c r="AA32" i="4"/>
  <c r="AC32" i="4" s="1"/>
  <c r="AE32" i="4" s="1"/>
  <c r="AA33" i="4"/>
  <c r="AC33" i="4" s="1"/>
  <c r="AE33" i="4" s="1"/>
  <c r="AA34" i="4"/>
  <c r="AC34" i="4" s="1"/>
  <c r="AE34" i="4" s="1"/>
  <c r="AA35" i="4"/>
  <c r="AC35" i="4" s="1"/>
  <c r="AE35" i="4" s="1"/>
  <c r="AA36" i="4"/>
  <c r="AC36" i="4" s="1"/>
  <c r="AE36" i="4" s="1"/>
  <c r="AA37" i="4"/>
  <c r="AC37" i="4" s="1"/>
  <c r="AE37" i="4" s="1"/>
  <c r="AA38" i="4"/>
  <c r="AC38" i="4" s="1"/>
  <c r="AE38" i="4" s="1"/>
  <c r="AA39" i="4"/>
  <c r="AC39" i="4" s="1"/>
  <c r="AE39" i="4" s="1"/>
  <c r="AA40" i="4"/>
  <c r="AC40" i="4" s="1"/>
  <c r="AE40" i="4" s="1"/>
  <c r="AA21" i="4"/>
  <c r="AC21" i="4" s="1"/>
  <c r="AE21" i="4" s="1"/>
  <c r="AA23" i="4"/>
  <c r="AC23" i="4" s="1"/>
  <c r="AE23" i="4" s="1"/>
  <c r="AA25" i="4"/>
  <c r="AC25" i="4" s="1"/>
  <c r="AE25" i="4" s="1"/>
  <c r="AA27" i="4"/>
  <c r="AC27" i="4" s="1"/>
  <c r="AE27" i="4" s="1"/>
  <c r="AA29" i="4"/>
  <c r="AC29" i="4" s="1"/>
  <c r="AE29" i="4" s="1"/>
  <c r="V3" i="8"/>
  <c r="Y3" i="8"/>
  <c r="A1" i="13"/>
  <c r="B40" i="13" l="1"/>
  <c r="A40" i="13"/>
  <c r="B39" i="13"/>
  <c r="A39" i="13"/>
  <c r="B38" i="13"/>
  <c r="A38" i="13"/>
  <c r="B37" i="13"/>
  <c r="A37" i="13"/>
  <c r="B36" i="13"/>
  <c r="A36" i="13"/>
  <c r="B35" i="13"/>
  <c r="A35" i="13"/>
  <c r="B34" i="13"/>
  <c r="A34" i="13"/>
  <c r="B33" i="13"/>
  <c r="A33" i="13"/>
  <c r="B32" i="13"/>
  <c r="A32" i="13"/>
  <c r="B31" i="13"/>
  <c r="A31" i="13"/>
  <c r="B30" i="13"/>
  <c r="A30" i="13"/>
  <c r="B29" i="13"/>
  <c r="A29" i="13"/>
  <c r="B28" i="13"/>
  <c r="A28" i="13"/>
  <c r="B27" i="13"/>
  <c r="A27" i="13"/>
  <c r="B26" i="13"/>
  <c r="A26" i="13"/>
  <c r="B25" i="13"/>
  <c r="A25" i="13"/>
  <c r="B24" i="13"/>
  <c r="A24" i="13"/>
  <c r="B23" i="13"/>
  <c r="A23" i="13"/>
  <c r="B22" i="13"/>
  <c r="A22" i="13"/>
  <c r="B21" i="13"/>
  <c r="A21" i="13"/>
  <c r="B20" i="13"/>
  <c r="A20" i="13"/>
  <c r="B19" i="13"/>
  <c r="A19" i="13"/>
  <c r="B18" i="13"/>
  <c r="A18" i="13"/>
  <c r="B17" i="13"/>
  <c r="A17" i="13"/>
  <c r="B16" i="13"/>
  <c r="A16" i="13"/>
  <c r="B15" i="13"/>
  <c r="A15" i="13"/>
  <c r="B14" i="13"/>
  <c r="A14" i="13"/>
  <c r="B13" i="13"/>
  <c r="A13" i="13"/>
  <c r="B12" i="13"/>
  <c r="A12" i="13"/>
  <c r="B11" i="13"/>
  <c r="A11" i="13"/>
  <c r="B10" i="13"/>
  <c r="A10" i="13"/>
  <c r="B9" i="13"/>
  <c r="A9" i="13"/>
  <c r="B8" i="13"/>
  <c r="A8" i="13"/>
  <c r="B7" i="13"/>
  <c r="A7" i="13"/>
  <c r="B6" i="13"/>
  <c r="A6" i="13"/>
  <c r="B5" i="13"/>
  <c r="A5" i="13"/>
  <c r="B4" i="13"/>
  <c r="A4" i="13"/>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Z5" i="8" l="1"/>
  <c r="Z6" i="8"/>
  <c r="Z7" i="8"/>
  <c r="Z8" i="8"/>
  <c r="Z9" i="8"/>
  <c r="Z10" i="8"/>
  <c r="Z11" i="8"/>
  <c r="W12" i="8"/>
  <c r="Z12" i="8"/>
  <c r="W13" i="8"/>
  <c r="Z13" i="8"/>
  <c r="W14" i="8"/>
  <c r="Z14" i="8"/>
  <c r="W15" i="8"/>
  <c r="Z15" i="8"/>
  <c r="W16" i="8"/>
  <c r="Z16" i="8"/>
  <c r="W17" i="8"/>
  <c r="Z17" i="8"/>
  <c r="W18" i="8"/>
  <c r="Z18" i="8"/>
  <c r="W19" i="8"/>
  <c r="Z19" i="8"/>
  <c r="W20" i="8"/>
  <c r="Z20" i="8"/>
  <c r="Z21" i="8"/>
  <c r="W22" i="8"/>
  <c r="Z22" i="8"/>
  <c r="Z23" i="8"/>
  <c r="W24" i="8"/>
  <c r="Z24" i="8"/>
  <c r="Z25" i="8"/>
  <c r="W26" i="8"/>
  <c r="Z26" i="8"/>
  <c r="Z27" i="8"/>
  <c r="W28" i="8"/>
  <c r="Z28" i="8"/>
  <c r="Z29" i="8"/>
  <c r="W30" i="8"/>
  <c r="Z30" i="8"/>
  <c r="Z31" i="8"/>
  <c r="W32" i="8"/>
  <c r="Z32" i="8"/>
  <c r="Z33" i="8"/>
  <c r="W34" i="8"/>
  <c r="Z34" i="8"/>
  <c r="Z35" i="8"/>
  <c r="W36" i="8"/>
  <c r="Z36" i="8"/>
  <c r="Z37" i="8"/>
  <c r="W38" i="8"/>
  <c r="Z38" i="8"/>
  <c r="Z39" i="8"/>
  <c r="W40" i="8"/>
  <c r="Z40" i="8"/>
  <c r="AA31" i="8" l="1"/>
  <c r="AC31" i="8" s="1"/>
  <c r="AA27" i="8"/>
  <c r="AC27" i="8" s="1"/>
  <c r="AA23" i="8"/>
  <c r="AC23" i="8" s="1"/>
  <c r="AA39" i="8"/>
  <c r="AC39" i="8" s="1"/>
  <c r="AA35" i="8"/>
  <c r="AC35" i="8" s="1"/>
  <c r="AA37" i="8"/>
  <c r="AC37" i="8" s="1"/>
  <c r="AA33" i="8"/>
  <c r="AC33" i="8" s="1"/>
  <c r="AA29" i="8"/>
  <c r="AC29" i="8" s="1"/>
  <c r="AA25" i="8"/>
  <c r="AC25" i="8" s="1"/>
  <c r="AA21" i="8"/>
  <c r="AC21" i="8" s="1"/>
  <c r="AA19" i="8"/>
  <c r="AC19" i="8" s="1"/>
  <c r="AA17" i="8"/>
  <c r="AC17" i="8" s="1"/>
  <c r="AA16" i="8"/>
  <c r="AC16" i="8" s="1"/>
  <c r="AA15" i="8"/>
  <c r="AC15" i="8" s="1"/>
  <c r="AA14" i="8"/>
  <c r="AC14" i="8" s="1"/>
  <c r="AA13" i="8"/>
  <c r="AC13" i="8" s="1"/>
  <c r="AA12" i="8"/>
  <c r="AC12" i="8" s="1"/>
  <c r="AA20" i="8"/>
  <c r="AC20" i="8" s="1"/>
  <c r="AA18" i="8"/>
  <c r="AC18" i="8" s="1"/>
  <c r="AA40" i="8"/>
  <c r="AC40" i="8" s="1"/>
  <c r="W39" i="8"/>
  <c r="AA38" i="8"/>
  <c r="AC38" i="8" s="1"/>
  <c r="W37" i="8"/>
  <c r="AA36" i="8"/>
  <c r="AC36" i="8" s="1"/>
  <c r="W35" i="8"/>
  <c r="AA34" i="8"/>
  <c r="AC34" i="8" s="1"/>
  <c r="W33" i="8"/>
  <c r="AA32" i="8"/>
  <c r="AC32" i="8" s="1"/>
  <c r="W31" i="8"/>
  <c r="AA30" i="8"/>
  <c r="AC30" i="8" s="1"/>
  <c r="W29" i="8"/>
  <c r="AA28" i="8"/>
  <c r="AC28" i="8" s="1"/>
  <c r="W27" i="8"/>
  <c r="AA26" i="8"/>
  <c r="AC26" i="8" s="1"/>
  <c r="W25" i="8"/>
  <c r="AA24" i="8"/>
  <c r="AC24" i="8" s="1"/>
  <c r="W23" i="8"/>
  <c r="AA22" i="8"/>
  <c r="AC22" i="8" s="1"/>
  <c r="W21" i="8"/>
  <c r="AA11" i="8"/>
  <c r="AC11" i="8" s="1"/>
  <c r="AA10" i="8"/>
  <c r="AC10" i="8" s="1"/>
  <c r="W10" i="8"/>
  <c r="AA9" i="8"/>
  <c r="AC9" i="8" s="1"/>
  <c r="AA8" i="8"/>
  <c r="AC8" i="8" s="1"/>
  <c r="AA7" i="8"/>
  <c r="AC7" i="8" s="1"/>
  <c r="AA6" i="8"/>
  <c r="AC6" i="8" s="1"/>
  <c r="W5" i="8"/>
  <c r="AC5" i="8"/>
  <c r="W8" i="8" l="1"/>
  <c r="W7" i="8"/>
  <c r="W9" i="8"/>
  <c r="W11" i="8"/>
  <c r="W6" i="8"/>
  <c r="B4" i="4"/>
  <c r="A4" i="4"/>
  <c r="A1" i="4" l="1"/>
  <c r="AL40" i="9" l="1"/>
  <c r="AN40" i="9" s="1"/>
  <c r="AI40" i="9"/>
  <c r="AK40" i="9" s="1"/>
  <c r="AL39" i="9"/>
  <c r="AN39" i="9" s="1"/>
  <c r="AI39" i="9"/>
  <c r="AK39" i="9" s="1"/>
  <c r="AL38" i="9"/>
  <c r="AN38" i="9" s="1"/>
  <c r="AI38" i="9"/>
  <c r="AK38" i="9" s="1"/>
  <c r="AL37" i="9"/>
  <c r="AN37" i="9" s="1"/>
  <c r="AI37" i="9"/>
  <c r="AK37" i="9" s="1"/>
  <c r="AL36" i="9"/>
  <c r="AN36" i="9" s="1"/>
  <c r="AI36" i="9"/>
  <c r="AK36" i="9" s="1"/>
  <c r="AL35" i="9"/>
  <c r="AN35" i="9" s="1"/>
  <c r="AI35" i="9"/>
  <c r="AK35" i="9" s="1"/>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AJ5" i="9" l="1"/>
  <c r="AK5" i="9" s="1"/>
  <c r="AO5" i="9" s="1"/>
  <c r="AQ5" i="9" s="1"/>
  <c r="AM16" i="9"/>
  <c r="AM24" i="9"/>
  <c r="AM8" i="9"/>
  <c r="AM6" i="9"/>
  <c r="AM12" i="9"/>
  <c r="AM20" i="9"/>
  <c r="Q38" i="9"/>
  <c r="N5" i="9"/>
  <c r="AM10" i="9"/>
  <c r="AM14" i="9"/>
  <c r="AM18" i="9"/>
  <c r="AM22" i="9"/>
  <c r="AJ40" i="9"/>
  <c r="AJ39" i="9"/>
  <c r="AJ38" i="9"/>
  <c r="AJ37" i="9"/>
  <c r="AJ36" i="9"/>
  <c r="AJ35" i="9"/>
  <c r="AJ34" i="9"/>
  <c r="AJ33" i="9"/>
  <c r="AJ32" i="9"/>
  <c r="AJ31" i="9"/>
  <c r="AJ30" i="9"/>
  <c r="AJ29" i="9"/>
  <c r="AJ28" i="9"/>
  <c r="AJ27" i="9"/>
  <c r="AJ26" i="9"/>
  <c r="AO26" i="9" s="1"/>
  <c r="AQ26" i="9" s="1"/>
  <c r="AJ25" i="9"/>
  <c r="AJ24" i="9"/>
  <c r="AO24" i="9" s="1"/>
  <c r="AQ24" i="9" s="1"/>
  <c r="AJ23" i="9"/>
  <c r="AJ22" i="9"/>
  <c r="AO22" i="9" s="1"/>
  <c r="AQ22" i="9" s="1"/>
  <c r="AJ21" i="9"/>
  <c r="AJ20" i="9"/>
  <c r="AO20" i="9" s="1"/>
  <c r="AQ20" i="9" s="1"/>
  <c r="AJ19" i="9"/>
  <c r="AJ18" i="9"/>
  <c r="AO18" i="9" s="1"/>
  <c r="AQ18" i="9" s="1"/>
  <c r="AJ17" i="9"/>
  <c r="AJ16" i="9"/>
  <c r="AJ15" i="9"/>
  <c r="AJ14" i="9"/>
  <c r="AO14" i="9" s="1"/>
  <c r="AQ14" i="9" s="1"/>
  <c r="AJ13" i="9"/>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S36" i="9" l="1"/>
  <c r="U36" i="9" s="1"/>
  <c r="AO13" i="9"/>
  <c r="AQ13" i="9" s="1"/>
  <c r="AO21" i="9"/>
  <c r="AQ21" i="9" s="1"/>
  <c r="AO29" i="9"/>
  <c r="AQ29" i="9" s="1"/>
  <c r="AO33" i="9"/>
  <c r="AQ33" i="9" s="1"/>
  <c r="AO37" i="9"/>
  <c r="AQ37" i="9" s="1"/>
  <c r="S21" i="9"/>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alcChain>
</file>

<file path=xl/sharedStrings.xml><?xml version="1.0" encoding="utf-8"?>
<sst xmlns="http://schemas.openxmlformats.org/spreadsheetml/2006/main" count="320" uniqueCount="133">
  <si>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</si>
  <si>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</si>
  <si>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</si>
  <si>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</si>
  <si>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</si>
  <si>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</si>
  <si>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</si>
  <si>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</si>
  <si>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</si>
  <si>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</si>
  <si>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</si>
  <si>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</si>
  <si>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</si>
  <si>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</si>
  <si>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</si>
  <si>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</si>
  <si>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</si>
  <si>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</si>
  <si>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</si>
  <si>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</si>
  <si>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</si>
  <si>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</si>
  <si>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</si>
  <si>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</si>
  <si>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</si>
  <si>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</si>
  <si>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</si>
  <si>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</si>
  <si>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</si>
  <si>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</si>
  <si>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</si>
  <si>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</si>
  <si>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</si>
  <si>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</si>
  <si>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</si>
  <si>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</si>
  <si>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</si>
  <si>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</si>
  <si>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</si>
  <si>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</si>
  <si>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</si>
  <si>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</si>
  <si>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</si>
  <si>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</si>
  <si>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</si>
  <si>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</si>
  <si>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</si>
  <si>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</si>
  <si>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</si>
  <si>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</si>
  <si>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</si>
  <si>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</si>
  <si>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</si>
  <si>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</si>
  <si>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</si>
  <si>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</si>
  <si>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</si>
  <si>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</si>
  <si>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</si>
  <si>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</si>
  <si>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</si>
  <si>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</si>
  <si>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</si>
  <si>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</si>
  <si>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</si>
  <si>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</si>
  <si>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</si>
  <si>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</si>
  <si>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</si>
  <si>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</si>
  <si>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</si>
  <si>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</si>
  <si>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</si>
  <si>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Amery</t>
  </si>
  <si>
    <t>Kyeesha</t>
  </si>
  <si>
    <t>Y</t>
  </si>
  <si>
    <t>Barratt</t>
  </si>
  <si>
    <t>Oliver</t>
  </si>
  <si>
    <t>Bulacan</t>
  </si>
  <si>
    <t>Jed</t>
  </si>
  <si>
    <t>Chapman</t>
  </si>
  <si>
    <t>Michelle</t>
  </si>
  <si>
    <t>Comber</t>
  </si>
  <si>
    <t>Gabi</t>
  </si>
  <si>
    <t>Cook</t>
  </si>
  <si>
    <t>Kaylee</t>
  </si>
  <si>
    <t>Davis</t>
  </si>
  <si>
    <t>Billy</t>
  </si>
  <si>
    <t>Fitzsimmons</t>
  </si>
  <si>
    <t>Sullivan</t>
  </si>
  <si>
    <t>Franciscus</t>
  </si>
  <si>
    <t>Sonny</t>
  </si>
  <si>
    <t>Hamilton</t>
  </si>
  <si>
    <t>Ella</t>
  </si>
  <si>
    <t>Harris</t>
  </si>
  <si>
    <t>Emily</t>
  </si>
  <si>
    <t>Harvey</t>
  </si>
  <si>
    <t>Isabel</t>
  </si>
  <si>
    <t>Macdonald</t>
  </si>
  <si>
    <t>Dominic</t>
  </si>
  <si>
    <t>Milton</t>
  </si>
  <si>
    <t>Charlie</t>
  </si>
  <si>
    <t>Olguin</t>
  </si>
  <si>
    <t>Scarlett</t>
  </si>
  <si>
    <t>Pardon</t>
  </si>
  <si>
    <t>Harmony</t>
  </si>
  <si>
    <t>Romero</t>
  </si>
  <si>
    <t>Rubens</t>
  </si>
  <si>
    <t>Sarzynska</t>
  </si>
  <si>
    <t>Nikola</t>
  </si>
  <si>
    <t>Thangeswaran</t>
  </si>
  <si>
    <t>Shesuthan</t>
  </si>
  <si>
    <t>Thompson</t>
  </si>
  <si>
    <t>Benjamin</t>
  </si>
  <si>
    <t>Yakimoff-Minge</t>
  </si>
  <si>
    <t>Lliam</t>
  </si>
  <si>
    <t>Taylor</t>
  </si>
  <si>
    <t>Rohan</t>
  </si>
  <si>
    <t>Manolis</t>
  </si>
  <si>
    <t>India</t>
  </si>
  <si>
    <t>Cubacub</t>
  </si>
  <si>
    <t>Raffi</t>
  </si>
  <si>
    <t>Assess:</t>
  </si>
  <si>
    <t>Coulahan</t>
  </si>
  <si>
    <t>Zechariah</t>
  </si>
  <si>
    <t>[Subject]</t>
  </si>
  <si>
    <t>[Teacher]</t>
  </si>
  <si>
    <t>1.5.2</t>
  </si>
  <si>
    <t>unknown</t>
  </si>
  <si>
    <t>1.5.3</t>
  </si>
  <si>
    <t>Formatting Changes and Changes to formula to be compatible with Office Pro Plus</t>
  </si>
  <si>
    <t>Overall Grade</t>
  </si>
  <si>
    <t>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</si>
</sst>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96">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right style="medium">
        <color indexed="64"/>
      </right>
      <top style="thin">
        <color indexed="64"/>
      </top>
      <bottom style="thin">
        <color theme="0" tint="-0.249977111117893"/>
      </bottom>
      <diagonal/>
    </border>
    <border>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right style="thin">
        <color theme="0" tint="-0.24994659260841701"/>
      </right>
      <top style="thin">
        <color theme="0" tint="-0.249977111117893"/>
      </top>
      <bottom style="medium">
        <color theme="1"/>
      </bottom>
      <diagonal/>
    </border>
    <border>
      <left/>
      <right style="thin">
        <color theme="0" tint="-0.249977111117893"/>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1"/>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37">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21"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164" fontId="0" fillId="10" borderId="34" xfId="0" applyNumberFormat="1" applyFill="1" applyBorder="1" applyAlignment="1">
      <alignment horizontal="center" vertical="center"/>
    </xf>
    <xf numFmtId="0" fontId="3" fillId="2" borderId="52"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3" fillId="2" borderId="3" xfId="3" applyBorder="1"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1" xfId="0" applyBorder="1" applyAlignment="1">
      <alignment horizontal="center"/>
    </xf>
    <xf numFmtId="0" fontId="0" fillId="0" borderId="0" xfId="0" applyBorder="1" applyAlignment="1">
      <alignment horizontal="center"/>
    </xf>
    <xf numFmtId="0" fontId="0" fillId="0" borderId="0" xfId="0" applyBorder="1" applyAlignment="1" applyProtection="1">
      <alignment horizontal="center"/>
    </xf>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18" xfId="0" applyFont="1" applyBorder="1" applyAlignment="1" applyProtection="1">
      <alignment horizontal="center"/>
    </xf>
    <xf numFmtId="0" fontId="4" fillId="0" borderId="0" xfId="0" applyFont="1" applyAlignment="1">
      <alignment horizontal="center"/>
    </xf>
    <xf numFmtId="0" fontId="9" fillId="11" borderId="52" xfId="0" applyFont="1" applyFill="1" applyBorder="1" applyAlignment="1" applyProtection="1">
      <alignment horizontal="center"/>
    </xf>
    <xf numFmtId="0" fontId="0" fillId="0" borderId="0" xfId="0" applyAlignment="1">
      <alignment horizontal="center" wrapText="1"/>
    </xf>
    <xf numFmtId="0" fontId="0" fillId="0" borderId="40" xfId="0" applyBorder="1" applyAlignment="1" applyProtection="1">
      <alignment horizontal="center"/>
    </xf>
    <xf numFmtId="0" fontId="6" fillId="2" borderId="37" xfId="3" applyFont="1" applyBorder="1" applyAlignment="1" applyProtection="1">
      <alignment horizontal="center"/>
    </xf>
    <xf numFmtId="0" fontId="0" fillId="3" borderId="30" xfId="0" applyFill="1" applyBorder="1" applyAlignment="1">
      <alignment horizontal="center"/>
    </xf>
    <xf numFmtId="0" fontId="4" fillId="7" borderId="45" xfId="7" applyFont="1" applyFill="1" applyBorder="1" applyAlignment="1" applyProtection="1">
      <alignment horizontal="center"/>
    </xf>
    <xf numFmtId="0" fontId="4" fillId="8" borderId="56" xfId="8" applyFont="1" applyFill="1" applyBorder="1" applyAlignment="1" applyProtection="1">
      <alignment horizontal="center"/>
    </xf>
    <xf numFmtId="9" fontId="4" fillId="8" borderId="46" xfId="8" applyNumberFormat="1" applyFont="1" applyFill="1" applyBorder="1" applyAlignment="1" applyProtection="1">
      <alignment horizontal="center"/>
    </xf>
    <xf numFmtId="0" fontId="4" fillId="8" borderId="57"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1" borderId="49" xfId="0" applyFont="1" applyFill="1" applyBorder="1" applyAlignment="1" applyProtection="1">
      <alignment horizontal="center"/>
    </xf>
    <xf numFmtId="9" fontId="0" fillId="0" borderId="0" xfId="4" applyFont="1" applyBorder="1" applyAlignment="1">
      <alignment horizontal="center"/>
    </xf>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6" fillId="2" borderId="37" xfId="3" applyFont="1" applyBorder="1" applyAlignment="1" applyProtection="1">
      <alignment horizontal="center" vertical="center"/>
    </xf>
    <xf numFmtId="0" fontId="6" fillId="2" borderId="36" xfId="3" applyFont="1" applyBorder="1" applyAlignment="1" applyProtection="1">
      <alignment horizontal="center" vertical="center"/>
    </xf>
    <xf numFmtId="0" fontId="6" fillId="2" borderId="53" xfId="3" applyFont="1"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40"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2" fillId="0" borderId="35" xfId="5" applyBorder="1" applyAlignment="1" applyProtection="1">
      <alignment horizontal="center"/>
    </xf>
    <xf numFmtId="0" fontId="2" fillId="0" borderId="74" xfId="5" applyBorder="1" applyAlignment="1" applyProtection="1">
      <alignment horizontal="center"/>
    </xf>
    <xf numFmtId="0" fontId="4" fillId="7" borderId="47" xfId="4" applyNumberFormat="1" applyFont="1" applyFill="1" applyBorder="1" applyAlignment="1" applyProtection="1">
      <alignment horizontal="center"/>
    </xf>
    <xf numFmtId="0" fontId="4" fillId="7" borderId="76" xfId="4" applyNumberFormat="1" applyFont="1" applyFill="1" applyBorder="1" applyAlignment="1" applyProtection="1">
      <alignment horizontal="center"/>
    </xf>
    <xf numFmtId="0" fontId="4" fillId="6" borderId="47" xfId="8" applyFont="1" applyBorder="1" applyAlignment="1" applyProtection="1">
      <alignment horizontal="center"/>
    </xf>
    <xf numFmtId="0" fontId="4" fillId="6" borderId="48" xfId="8" applyFont="1" applyBorder="1" applyAlignment="1" applyProtection="1">
      <alignment horizont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2" fillId="0" borderId="35" xfId="5" applyBorder="1" applyAlignment="1">
      <alignment horizontal="center"/>
    </xf>
    <xf numFmtId="0" fontId="2" fillId="0" borderId="37" xfId="5" applyBorder="1" applyAlignment="1">
      <alignment horizontal="center"/>
    </xf>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6" fillId="2" borderId="37" xfId="3" applyFont="1" applyBorder="1" applyAlignment="1">
      <alignment horizontal="center"/>
    </xf>
    <xf numFmtId="0" fontId="6" fillId="2" borderId="36" xfId="3" applyFont="1" applyBorder="1" applyAlignment="1">
      <alignment horizontal="center"/>
    </xf>
    <xf numFmtId="0" fontId="2" fillId="0" borderId="40" xfId="5" applyBorder="1" applyAlignment="1">
      <alignment horizontal="center"/>
    </xf>
    <xf numFmtId="0" fontId="2" fillId="0" borderId="36"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xf numFmtId="164" fontId="0" fillId="0" borderId="77" xfId="0" applyNumberFormat="1" applyFill="1" applyBorder="1" applyAlignment="1" applyProtection="1">
      <alignment horizontal="center" vertical="center"/>
    </xf>
    <xf numFmtId="164" fontId="0" fillId="0" borderId="78" xfId="0" applyNumberFormat="1" applyFill="1" applyBorder="1" applyAlignment="1" applyProtection="1">
      <alignment horizontal="center" vertical="center"/>
    </xf>
    <xf numFmtId="0" fontId="6" fillId="2" borderId="35" xfId="3" applyFont="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58" xfId="0" applyNumberFormat="1" applyFill="1" applyBorder="1" applyAlignment="1" applyProtection="1">
      <alignment horizontal="left" vertical="center"/>
      <protection locked="0"/>
    </xf>
    <xf numFmtId="0" fontId="5" fillId="4" borderId="75" xfId="6" applyBorder="1" applyAlignment="1" applyProtection="1">
      <alignment horizontal="center" vertical="center"/>
    </xf>
    <xf numFmtId="0" fontId="0" fillId="4" borderId="75" xfId="6" applyFont="1" applyBorder="1" applyAlignment="1" applyProtection="1">
      <alignment horizontal="center" vertical="center"/>
    </xf>
    <xf numFmtId="0" fontId="4" fillId="0" borderId="18" xfId="0" applyFont="1" applyBorder="1" applyAlignment="1" applyProtection="1">
      <alignment horizontal="center"/>
    </xf>
    <xf numFmtId="0" fontId="9" fillId="11" borderId="52" xfId="0" applyFont="1" applyFill="1" applyBorder="1" applyAlignment="1" applyProtection="1">
      <alignment horizontal="center"/>
    </xf>
    <xf numFmtId="0" fontId="0" fillId="0" borderId="40" xfId="0" applyBorder="1" applyAlignment="1" applyProtection="1">
      <alignment horizontal="center"/>
    </xf>
    <xf numFmtId="0" fontId="6" fillId="2" borderId="37" xfId="3" applyFont="1" applyBorder="1" applyAlignment="1" applyProtection="1">
      <alignment horizontal="center"/>
    </xf>
    <xf numFmtId="0" fontId="0" fillId="3" borderId="30" xfId="0" applyFill="1" applyBorder="1" applyAlignment="1">
      <alignment horizontal="center"/>
    </xf>
    <xf numFmtId="0" fontId="4" fillId="7" borderId="45" xfId="7" applyFont="1" applyFill="1" applyBorder="1" applyAlignment="1" applyProtection="1">
      <alignment horizontal="center"/>
    </xf>
    <xf numFmtId="0" fontId="4" fillId="8" borderId="56" xfId="8" applyFont="1" applyFill="1" applyBorder="1" applyAlignment="1" applyProtection="1">
      <alignment horizontal="center"/>
    </xf>
    <xf numFmtId="9" fontId="4" fillId="8" borderId="46" xfId="8" applyNumberFormat="1" applyFont="1" applyFill="1" applyBorder="1" applyAlignment="1" applyProtection="1">
      <alignment horizontal="center"/>
    </xf>
    <xf numFmtId="0" fontId="4" fillId="8" borderId="57"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1" borderId="49" xfId="0" applyFont="1" applyFill="1" applyBorder="1" applyAlignment="1" applyProtection="1">
      <alignment horizontal="center"/>
    </xf>
    <xf numFmtId="164" fontId="0" fillId="0" borderId="80" xfId="0" applyNumberFormat="1" applyFill="1" applyBorder="1" applyAlignment="1" applyProtection="1">
      <alignment horizontal="center" vertical="center"/>
    </xf>
    <xf numFmtId="164" fontId="0" fillId="0" borderId="81" xfId="0" applyNumberFormat="1" applyFill="1" applyBorder="1" applyAlignment="1" applyProtection="1">
      <alignment horizontal="center" vertical="center"/>
    </xf>
    <xf numFmtId="164" fontId="0" fillId="0" borderId="82" xfId="0" applyNumberFormat="1" applyFill="1" applyBorder="1" applyAlignment="1" applyProtection="1">
      <alignment horizontal="center" vertical="center"/>
    </xf>
    <xf numFmtId="164" fontId="0" fillId="0" borderId="83" xfId="0" applyNumberFormat="1" applyFill="1" applyBorder="1" applyAlignment="1" applyProtection="1">
      <alignment horizontal="center" vertical="center"/>
    </xf>
    <xf numFmtId="164" fontId="0" fillId="0" borderId="84" xfId="0" applyNumberFormat="1" applyFill="1" applyBorder="1" applyAlignment="1" applyProtection="1">
      <alignment horizontal="center" vertical="center"/>
    </xf>
    <xf numFmtId="164" fontId="0" fillId="0" borderId="85" xfId="0" applyNumberFormat="1" applyFill="1" applyBorder="1" applyAlignment="1" applyProtection="1">
      <alignment horizontal="center" vertical="center"/>
    </xf>
    <xf numFmtId="164" fontId="0" fillId="0" borderId="86" xfId="0" applyNumberFormat="1" applyFill="1" applyBorder="1" applyAlignment="1" applyProtection="1">
      <alignment horizontal="center" vertical="center"/>
    </xf>
    <xf numFmtId="0" fontId="5" fillId="7" borderId="87" xfId="7" applyFill="1" applyBorder="1" applyAlignment="1" applyProtection="1">
      <alignment horizontal="center"/>
    </xf>
    <xf numFmtId="0" fontId="4" fillId="7" borderId="88" xfId="7" applyFont="1" applyFill="1" applyBorder="1" applyAlignment="1" applyProtection="1">
      <alignment horizontal="center"/>
    </xf>
    <xf numFmtId="0" fontId="5" fillId="7" borderId="79" xfId="7" applyFill="1" applyBorder="1" applyAlignment="1" applyProtection="1">
      <alignment horizontal="center"/>
    </xf>
    <xf numFmtId="9" fontId="4" fillId="7" borderId="89" xfId="4" applyFont="1" applyFill="1" applyBorder="1" applyAlignment="1" applyProtection="1">
      <alignment horizontal="center"/>
    </xf>
    <xf numFmtId="164" fontId="5" fillId="8" borderId="75" xfId="8" applyNumberFormat="1" applyFill="1" applyBorder="1" applyAlignment="1" applyProtection="1">
      <alignment horizontal="center" vertical="center"/>
    </xf>
    <xf numFmtId="0" fontId="5" fillId="7" borderId="90" xfId="7" applyFill="1" applyBorder="1" applyAlignment="1" applyProtection="1">
      <alignment horizontal="center"/>
    </xf>
    <xf numFmtId="0" fontId="5" fillId="7" borderId="91" xfId="7" applyFill="1" applyBorder="1" applyAlignment="1" applyProtection="1">
      <alignment horizontal="center"/>
    </xf>
    <xf numFmtId="164" fontId="5" fillId="8" borderId="92" xfId="8" applyNumberFormat="1" applyFill="1" applyBorder="1" applyAlignment="1" applyProtection="1">
      <alignment horizontal="center" vertical="center"/>
    </xf>
    <xf numFmtId="0" fontId="5" fillId="4" borderId="92" xfId="6" applyBorder="1" applyAlignment="1" applyProtection="1">
      <alignment horizontal="center" vertical="center"/>
    </xf>
    <xf numFmtId="0" fontId="5" fillId="4" borderId="93" xfId="6" applyBorder="1" applyAlignment="1" applyProtection="1">
      <alignment horizontal="center" vertical="center"/>
    </xf>
    <xf numFmtId="164" fontId="5" fillId="8" borderId="55" xfId="8" applyNumberFormat="1" applyFill="1" applyBorder="1" applyAlignment="1" applyProtection="1">
      <alignment horizontal="center" vertical="center"/>
    </xf>
    <xf numFmtId="164" fontId="5" fillId="8" borderId="94" xfId="8" applyNumberFormat="1" applyFill="1" applyBorder="1" applyAlignment="1" applyProtection="1">
      <alignment horizontal="center" vertical="center"/>
    </xf>
    <xf numFmtId="164" fontId="5" fillId="8" borderId="95" xfId="8" applyNumberFormat="1" applyFill="1" applyBorder="1" applyAlignment="1" applyProtection="1">
      <alignment horizontal="center" vertical="center"/>
    </xf>
    <xf numFmtId="0" fontId="5" fillId="4" borderId="94" xfId="6" applyBorder="1" applyAlignment="1" applyProtection="1">
      <alignment horizontal="center" vertical="center"/>
    </xf>
    <xf numFmtId="0" fontId="5" fillId="4" borderId="95" xfId="6" applyBorder="1" applyAlignment="1" applyProtection="1">
      <alignment horizontal="center" vertical="center"/>
    </xf>
    <xf numFmtId="9" fontId="5" fillId="7" borderId="79" xfId="4" applyFill="1" applyBorder="1" applyAlignment="1" applyProtection="1">
      <alignment horizontal="center"/>
    </xf>
    <xf numFmtId="9" fontId="5" fillId="7" borderId="91" xfId="4" applyFill="1" applyBorder="1" applyAlignment="1" applyProtection="1">
      <alignment horizontal="center"/>
    </xf>
    <xf numFmtId="9" fontId="5" fillId="8" borderId="75" xfId="4" applyFill="1" applyBorder="1" applyAlignment="1" applyProtection="1">
      <alignment horizontal="center" vertical="center"/>
    </xf>
    <xf numFmtId="9" fontId="5" fillId="8" borderId="92" xfId="4" applyFill="1" applyBorder="1" applyAlignment="1" applyProtection="1">
      <alignment horizontal="center" vertic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32">
    <dxf>
      <fill>
        <patternFill>
          <bgColor rgb="FFFFCCFF"/>
        </patternFill>
      </fill>
    </dxf>
    <dxf>
      <fill>
        <patternFill patternType="none">
          <bgColor auto="1"/>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font>
    </dxf>
    <dxf>
      <font>
        <strike val="0"/>
        <color theme="0"/>
      </font>
    </dxf>
    <dxf>
      <font>
        <strike/>
      </font>
    </dxf>
    <dxf>
      <font>
        <strike val="0"/>
        <color theme="0"/>
      </font>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47624</xdr:rowOff>
        </xdr:from>
        <xdr:to>
          <xdr:col>1</xdr:col>
          <xdr:colOff>1019175</xdr:colOff>
          <xdr:row>47</xdr:row>
          <xdr:rowOff>190499</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133350</xdr:rowOff>
    </xdr:from>
    <xdr:to>
      <xdr:col>0</xdr:col>
      <xdr:colOff>676275</xdr:colOff>
      <xdr:row>44</xdr:row>
      <xdr:rowOff>99580</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47624</xdr:rowOff>
        </xdr:from>
        <xdr:to>
          <xdr:col>1</xdr:col>
          <xdr:colOff>1019175</xdr:colOff>
          <xdr:row>48</xdr:row>
          <xdr:rowOff>163286</xdr:rowOff>
        </xdr:to>
        <xdr:sp macro="" textlink="">
          <xdr:nvSpPr>
            <xdr:cNvPr id="17409" name="Group Box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133350</xdr:rowOff>
    </xdr:from>
    <xdr:to>
      <xdr:col>0</xdr:col>
      <xdr:colOff>676275</xdr:colOff>
      <xdr:row>44</xdr:row>
      <xdr:rowOff>99580</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929493" y="376917"/>
          <a:ext cx="146127" cy="375560"/>
          <a:chOff x="4370613" y="2128157"/>
          <a:chExt cx="146127" cy="375560"/>
        </a:xfrm>
      </xdr:grpSpPr>
      <xdr:sp macro="[0]!AddAssessment" textlink="">
        <xdr:nvSpPr>
          <xdr:cNvPr id="7" name="Trapezoid 6">
            <a:extLst>
              <a:ext uri="{FF2B5EF4-FFF2-40B4-BE49-F238E27FC236}">
                <a16:creationId xmlns:a16="http://schemas.microsoft.com/office/drawing/2014/main" id="{00000000-0008-0000-0200-000007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8" name="Cross 7">
            <a:extLst>
              <a:ext uri="{FF2B5EF4-FFF2-40B4-BE49-F238E27FC236}">
                <a16:creationId xmlns:a16="http://schemas.microsoft.com/office/drawing/2014/main" id="{00000000-0008-0000-0200-000008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12247" y="376918"/>
          <a:ext cx="146127" cy="375560"/>
          <a:chOff x="4659085" y="2122715"/>
          <a:chExt cx="146127" cy="375560"/>
        </a:xfrm>
      </xdr:grpSpPr>
      <xdr:sp macro="[0]!DeleteLastAssess" textlink="">
        <xdr:nvSpPr>
          <xdr:cNvPr id="10" name="Trapezoid 9">
            <a:extLst>
              <a:ext uri="{FF2B5EF4-FFF2-40B4-BE49-F238E27FC236}">
                <a16:creationId xmlns:a16="http://schemas.microsoft.com/office/drawing/2014/main" id="{00000000-0008-0000-0200-00000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11" name="Minus Sign 10">
            <a:extLst>
              <a:ext uri="{FF2B5EF4-FFF2-40B4-BE49-F238E27FC236}">
                <a16:creationId xmlns:a16="http://schemas.microsoft.com/office/drawing/2014/main" id="{00000000-0008-0000-0200-00000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4.xml><?xml version="1.0" encoding="utf-8"?>
<xdr:wsDr xmlns:xdr="http://schemas.openxmlformats.org/drawingml/2006/spreadsheetDrawing" xmlns:a="http://schemas.openxmlformats.org/drawingml/2006/main">
  <xdr:oneCellAnchor>
    <xdr:from>
      <xdr:col>9</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00000000-0008-0000-0400-000056000000}"/>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1">
  <autoFilter ref="A1:C18" xr:uid="{498E8186-74A7-4E6E-AE4A-D794E9C8B595}"/>
  <tableColumns count="3">
    <tableColumn id="1" xr3:uid="{5861E389-9F05-4056-B978-22BEA3DA1355}" name="Score" dataDxfId="30" dataCellStyle="Percent"/>
    <tableColumn id="2" xr3:uid="{9526CEDD-EB3F-43D3-A6D9-A4B81BDDC393}" name="Grade" dataDxfId="29"/>
    <tableColumn id="3" xr3:uid="{63910571-226F-4D3A-AE65-3CF97BD66F23}" name="Points" dataDxfId="28"/>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zoomScaleNormal="100" workbookViewId="0">
      <selection activeCell="M30" sqref="M30"/>
    </sheetView>
  </sheetViews>
  <sheetFormatPr defaultRowHeight="15" x14ac:dyDescent="0.25"/>
  <cols>
    <col min="1" max="1" width="9.140625" style="54"/>
    <col min="2" max="2" width="4.7109375" style="54" customWidth="1"/>
    <col min="3" max="5" width="15.7109375" style="54" customWidth="1"/>
    <col min="6" max="6" width="4.7109375" style="54" customWidth="1"/>
    <col min="7" max="7" width="3.7109375" style="54" customWidth="1"/>
    <col min="8" max="12" width="9.140625" style="54"/>
    <col min="13" max="13" width="12.140625" style="54" customWidth="1"/>
    <col min="14" max="14" width="11.140625" style="54" bestFit="1" customWidth="1"/>
    <col min="15" max="16384" width="9.140625" style="54"/>
  </cols>
  <sheetData>
    <row r="1" spans="2:11" ht="15.75" thickBot="1" x14ac:dyDescent="0.3">
      <c r="B1" s="55"/>
      <c r="C1" s="55"/>
      <c r="D1" s="55"/>
      <c r="E1" s="55"/>
      <c r="F1" s="55"/>
      <c r="H1" s="55"/>
      <c r="I1" s="55"/>
      <c r="J1" s="55"/>
      <c r="K1" s="55"/>
    </row>
    <row r="2" spans="2:11" x14ac:dyDescent="0.25">
      <c r="B2" s="137"/>
      <c r="C2" s="138"/>
      <c r="D2" s="138"/>
      <c r="E2" s="138"/>
      <c r="F2" s="139"/>
      <c r="H2" s="142"/>
      <c r="I2" s="142"/>
      <c r="J2" s="142"/>
      <c r="K2" s="142"/>
    </row>
    <row r="3" spans="2:11" ht="20.25" customHeight="1" thickBot="1" x14ac:dyDescent="0.35">
      <c r="B3" s="10"/>
      <c r="C3" s="152" t="s">
        <v>26</v>
      </c>
      <c r="D3" s="152"/>
      <c r="E3" s="152"/>
      <c r="F3" s="11"/>
      <c r="H3" s="59"/>
      <c r="I3" s="59"/>
      <c r="J3" s="59"/>
      <c r="K3" s="59"/>
    </row>
    <row r="4" spans="2:11" ht="15.75" thickTop="1" x14ac:dyDescent="0.25">
      <c r="B4" s="10"/>
      <c r="C4" s="13" t="s">
        <v>30</v>
      </c>
      <c r="D4" s="64">
        <v>7</v>
      </c>
      <c r="E4" s="65" t="s">
        <v>16</v>
      </c>
      <c r="F4" s="11"/>
      <c r="H4" s="59"/>
      <c r="I4" s="59"/>
      <c r="J4" s="59"/>
      <c r="K4" s="59"/>
    </row>
    <row r="5" spans="2:11" x14ac:dyDescent="0.25">
      <c r="B5" s="10"/>
      <c r="C5" s="14" t="s">
        <v>24</v>
      </c>
      <c r="D5" s="146" t="s">
        <v>125</v>
      </c>
      <c r="E5" s="147"/>
      <c r="F5" s="11"/>
      <c r="H5" s="59"/>
      <c r="I5" s="59"/>
      <c r="J5" s="59"/>
      <c r="K5" s="59"/>
    </row>
    <row r="6" spans="2:11" x14ac:dyDescent="0.25">
      <c r="B6" s="10"/>
      <c r="C6" s="14" t="s">
        <v>29</v>
      </c>
      <c r="D6" s="148">
        <v>2018</v>
      </c>
      <c r="E6" s="149"/>
      <c r="F6" s="11"/>
      <c r="H6" s="59"/>
      <c r="I6" s="59"/>
      <c r="J6" s="59"/>
      <c r="K6" s="59"/>
    </row>
    <row r="7" spans="2:11" x14ac:dyDescent="0.25">
      <c r="B7" s="10"/>
      <c r="C7" s="14" t="s">
        <v>25</v>
      </c>
      <c r="D7" s="150" t="s">
        <v>126</v>
      </c>
      <c r="E7" s="151"/>
      <c r="F7" s="11"/>
      <c r="H7" s="59"/>
      <c r="I7" s="59"/>
      <c r="J7" s="59"/>
      <c r="K7" s="59"/>
    </row>
    <row r="8" spans="2:11" x14ac:dyDescent="0.25">
      <c r="B8" s="10"/>
      <c r="C8" s="143" t="s">
        <v>22</v>
      </c>
      <c r="D8" s="144"/>
      <c r="E8" s="145"/>
      <c r="F8" s="11"/>
      <c r="H8" s="59"/>
      <c r="I8" s="59"/>
      <c r="J8" s="59"/>
      <c r="K8" s="59"/>
    </row>
    <row r="9" spans="2:11" x14ac:dyDescent="0.25">
      <c r="B9" s="10"/>
      <c r="C9" s="15" t="s">
        <v>19</v>
      </c>
      <c r="D9" s="15" t="s">
        <v>20</v>
      </c>
      <c r="E9" s="12" t="s">
        <v>23</v>
      </c>
      <c r="F9" s="11"/>
      <c r="H9" s="59"/>
      <c r="I9" s="59"/>
      <c r="J9" s="59"/>
      <c r="K9" s="59"/>
    </row>
    <row r="10" spans="2:11" x14ac:dyDescent="0.25">
      <c r="B10" s="10"/>
      <c r="C10" s="195" t="s">
        <v>73</v>
      </c>
      <c r="D10" s="196" t="s">
        <v>74</v>
      </c>
      <c r="E10" s="195" t="s">
        <v>75</v>
      </c>
      <c r="F10" s="11"/>
      <c r="H10" s="59"/>
      <c r="I10" s="59"/>
      <c r="J10" s="59"/>
      <c r="K10" s="59"/>
    </row>
    <row r="11" spans="2:11" x14ac:dyDescent="0.25">
      <c r="B11" s="10"/>
      <c r="C11" s="195" t="s">
        <v>76</v>
      </c>
      <c r="D11" s="196" t="s">
        <v>77</v>
      </c>
      <c r="E11" s="195" t="s">
        <v>75</v>
      </c>
      <c r="F11" s="11"/>
      <c r="H11" s="59"/>
      <c r="I11" s="59"/>
      <c r="J11" s="59"/>
      <c r="K11" s="59"/>
    </row>
    <row r="12" spans="2:11" x14ac:dyDescent="0.25">
      <c r="B12" s="10"/>
      <c r="C12" s="195" t="s">
        <v>78</v>
      </c>
      <c r="D12" s="196" t="s">
        <v>79</v>
      </c>
      <c r="E12" s="195" t="s">
        <v>75</v>
      </c>
      <c r="F12" s="11"/>
      <c r="H12" s="59"/>
      <c r="I12" s="59"/>
      <c r="J12" s="59"/>
      <c r="K12" s="59"/>
    </row>
    <row r="13" spans="2:11" x14ac:dyDescent="0.25">
      <c r="B13" s="10"/>
      <c r="C13" s="195" t="s">
        <v>80</v>
      </c>
      <c r="D13" s="196" t="s">
        <v>81</v>
      </c>
      <c r="E13" s="195" t="s">
        <v>75</v>
      </c>
      <c r="F13" s="11"/>
      <c r="H13" s="59"/>
      <c r="I13" s="59"/>
      <c r="J13" s="59"/>
      <c r="K13" s="59"/>
    </row>
    <row r="14" spans="2:11" x14ac:dyDescent="0.25">
      <c r="B14" s="10"/>
      <c r="C14" s="195" t="s">
        <v>82</v>
      </c>
      <c r="D14" s="196" t="s">
        <v>83</v>
      </c>
      <c r="E14" s="195" t="s">
        <v>75</v>
      </c>
      <c r="F14" s="11"/>
      <c r="H14" s="59"/>
      <c r="I14" s="59"/>
      <c r="J14" s="59"/>
      <c r="K14" s="59"/>
    </row>
    <row r="15" spans="2:11" x14ac:dyDescent="0.25">
      <c r="B15" s="10"/>
      <c r="C15" s="195" t="s">
        <v>84</v>
      </c>
      <c r="D15" s="196" t="s">
        <v>85</v>
      </c>
      <c r="E15" s="195" t="s">
        <v>75</v>
      </c>
      <c r="F15" s="11"/>
      <c r="H15" s="59"/>
      <c r="I15" s="59"/>
      <c r="J15" s="59"/>
      <c r="K15" s="59"/>
    </row>
    <row r="16" spans="2:11" x14ac:dyDescent="0.25">
      <c r="B16" s="10"/>
      <c r="C16" s="195" t="s">
        <v>123</v>
      </c>
      <c r="D16" s="196" t="s">
        <v>124</v>
      </c>
      <c r="E16" s="195" t="s">
        <v>75</v>
      </c>
      <c r="F16" s="11"/>
      <c r="H16" s="59"/>
      <c r="I16" s="59"/>
      <c r="J16" s="59"/>
      <c r="K16" s="59"/>
    </row>
    <row r="17" spans="2:11" x14ac:dyDescent="0.25">
      <c r="B17" s="10"/>
      <c r="C17" s="195" t="s">
        <v>120</v>
      </c>
      <c r="D17" s="196" t="s">
        <v>121</v>
      </c>
      <c r="E17" s="195" t="s">
        <v>75</v>
      </c>
      <c r="F17" s="11"/>
      <c r="H17" s="59"/>
      <c r="I17" s="59"/>
      <c r="J17" s="59"/>
      <c r="K17" s="59"/>
    </row>
    <row r="18" spans="2:11" x14ac:dyDescent="0.25">
      <c r="B18" s="10"/>
      <c r="C18" s="195" t="s">
        <v>86</v>
      </c>
      <c r="D18" s="196" t="s">
        <v>87</v>
      </c>
      <c r="E18" s="195" t="s">
        <v>75</v>
      </c>
      <c r="F18" s="11"/>
      <c r="H18" s="59"/>
      <c r="I18" s="59"/>
      <c r="J18" s="59"/>
      <c r="K18" s="59"/>
    </row>
    <row r="19" spans="2:11" x14ac:dyDescent="0.25">
      <c r="B19" s="10"/>
      <c r="C19" s="195" t="s">
        <v>88</v>
      </c>
      <c r="D19" s="196" t="s">
        <v>89</v>
      </c>
      <c r="E19" s="195" t="s">
        <v>75</v>
      </c>
      <c r="F19" s="11"/>
      <c r="H19" s="59"/>
      <c r="I19" s="59"/>
      <c r="J19" s="59"/>
      <c r="K19" s="59"/>
    </row>
    <row r="20" spans="2:11" x14ac:dyDescent="0.25">
      <c r="B20" s="10"/>
      <c r="C20" s="195" t="s">
        <v>90</v>
      </c>
      <c r="D20" s="196" t="s">
        <v>91</v>
      </c>
      <c r="E20" s="195" t="s">
        <v>75</v>
      </c>
      <c r="F20" s="11"/>
      <c r="H20" s="59"/>
      <c r="I20" s="59"/>
      <c r="J20" s="59"/>
      <c r="K20" s="59"/>
    </row>
    <row r="21" spans="2:11" x14ac:dyDescent="0.25">
      <c r="B21" s="10"/>
      <c r="C21" s="195" t="s">
        <v>92</v>
      </c>
      <c r="D21" s="196" t="s">
        <v>93</v>
      </c>
      <c r="E21" s="195" t="s">
        <v>75</v>
      </c>
      <c r="F21" s="11"/>
      <c r="H21" s="59"/>
      <c r="I21" s="59"/>
      <c r="J21" s="59"/>
      <c r="K21" s="59"/>
    </row>
    <row r="22" spans="2:11" x14ac:dyDescent="0.25">
      <c r="B22" s="10"/>
      <c r="C22" s="195" t="s">
        <v>94</v>
      </c>
      <c r="D22" s="196" t="s">
        <v>95</v>
      </c>
      <c r="E22" s="195" t="s">
        <v>75</v>
      </c>
      <c r="F22" s="11"/>
      <c r="H22" s="59"/>
      <c r="I22" s="59"/>
      <c r="J22" s="59"/>
      <c r="K22" s="59"/>
    </row>
    <row r="23" spans="2:11" x14ac:dyDescent="0.25">
      <c r="B23" s="10"/>
      <c r="C23" s="195" t="s">
        <v>96</v>
      </c>
      <c r="D23" s="196" t="s">
        <v>97</v>
      </c>
      <c r="E23" s="195" t="s">
        <v>75</v>
      </c>
      <c r="F23" s="11"/>
      <c r="H23" s="59"/>
      <c r="I23" s="59"/>
      <c r="J23" s="59"/>
      <c r="K23" s="59"/>
    </row>
    <row r="24" spans="2:11" x14ac:dyDescent="0.25">
      <c r="B24" s="10"/>
      <c r="C24" s="195" t="s">
        <v>98</v>
      </c>
      <c r="D24" s="196" t="s">
        <v>99</v>
      </c>
      <c r="E24" s="195" t="s">
        <v>75</v>
      </c>
      <c r="F24" s="11"/>
      <c r="H24" s="59"/>
      <c r="I24" s="59"/>
      <c r="J24" s="59"/>
      <c r="K24" s="59"/>
    </row>
    <row r="25" spans="2:11" x14ac:dyDescent="0.25">
      <c r="B25" s="10"/>
      <c r="C25" s="195" t="s">
        <v>118</v>
      </c>
      <c r="D25" s="196" t="s">
        <v>119</v>
      </c>
      <c r="E25" s="195" t="s">
        <v>75</v>
      </c>
      <c r="F25" s="11"/>
      <c r="H25" s="93"/>
      <c r="I25" s="141"/>
      <c r="J25" s="141"/>
      <c r="K25" s="141"/>
    </row>
    <row r="26" spans="2:11" x14ac:dyDescent="0.25">
      <c r="B26" s="10"/>
      <c r="C26" s="195" t="s">
        <v>100</v>
      </c>
      <c r="D26" s="196" t="s">
        <v>101</v>
      </c>
      <c r="E26" s="195" t="s">
        <v>75</v>
      </c>
      <c r="F26" s="11"/>
      <c r="H26" s="94"/>
      <c r="I26" s="142"/>
      <c r="J26" s="142"/>
      <c r="K26" s="142"/>
    </row>
    <row r="27" spans="2:11" ht="15" customHeight="1" x14ac:dyDescent="0.25">
      <c r="B27" s="10"/>
      <c r="C27" s="195" t="s">
        <v>102</v>
      </c>
      <c r="D27" s="196" t="s">
        <v>103</v>
      </c>
      <c r="E27" s="195" t="s">
        <v>75</v>
      </c>
      <c r="F27" s="11"/>
      <c r="H27" s="140"/>
      <c r="I27" s="92"/>
      <c r="J27" s="92"/>
      <c r="K27" s="92"/>
    </row>
    <row r="28" spans="2:11" x14ac:dyDescent="0.25">
      <c r="B28" s="10"/>
      <c r="C28" s="195" t="s">
        <v>104</v>
      </c>
      <c r="D28" s="196" t="s">
        <v>105</v>
      </c>
      <c r="E28" s="195" t="s">
        <v>75</v>
      </c>
      <c r="F28" s="11"/>
      <c r="H28" s="140"/>
      <c r="I28" s="92"/>
      <c r="J28" s="92"/>
      <c r="K28" s="92"/>
    </row>
    <row r="29" spans="2:11" x14ac:dyDescent="0.25">
      <c r="B29" s="10"/>
      <c r="C29" s="195" t="s">
        <v>106</v>
      </c>
      <c r="D29" s="196" t="s">
        <v>107</v>
      </c>
      <c r="E29" s="195" t="s">
        <v>75</v>
      </c>
      <c r="F29" s="11"/>
      <c r="H29" s="140"/>
      <c r="I29" s="92"/>
      <c r="J29" s="92"/>
      <c r="K29" s="92"/>
    </row>
    <row r="30" spans="2:11" x14ac:dyDescent="0.25">
      <c r="B30" s="10"/>
      <c r="C30" s="195" t="s">
        <v>108</v>
      </c>
      <c r="D30" s="196" t="s">
        <v>109</v>
      </c>
      <c r="E30" s="195" t="s">
        <v>75</v>
      </c>
      <c r="F30" s="11"/>
      <c r="H30" s="59"/>
      <c r="I30" s="59"/>
      <c r="J30" s="59"/>
      <c r="K30" s="59"/>
    </row>
    <row r="31" spans="2:11" x14ac:dyDescent="0.25">
      <c r="B31" s="10"/>
      <c r="C31" s="195" t="s">
        <v>116</v>
      </c>
      <c r="D31" s="196" t="s">
        <v>117</v>
      </c>
      <c r="E31" s="195" t="s">
        <v>75</v>
      </c>
      <c r="F31" s="11"/>
      <c r="H31" s="59"/>
      <c r="I31" s="59"/>
      <c r="J31" s="59"/>
      <c r="K31" s="59"/>
    </row>
    <row r="32" spans="2:11" x14ac:dyDescent="0.25">
      <c r="B32" s="10"/>
      <c r="C32" s="195" t="s">
        <v>110</v>
      </c>
      <c r="D32" s="196" t="s">
        <v>111</v>
      </c>
      <c r="E32" s="195" t="s">
        <v>75</v>
      </c>
      <c r="F32" s="11"/>
    </row>
    <row r="33" spans="2:11" x14ac:dyDescent="0.25">
      <c r="B33" s="10"/>
      <c r="C33" s="195" t="s">
        <v>112</v>
      </c>
      <c r="D33" s="196" t="s">
        <v>113</v>
      </c>
      <c r="E33" s="195" t="s">
        <v>75</v>
      </c>
      <c r="F33" s="11"/>
      <c r="H33" s="95" t="s">
        <v>27</v>
      </c>
      <c r="I33" s="153" t="s">
        <v>36</v>
      </c>
      <c r="J33" s="154"/>
      <c r="K33" s="155"/>
    </row>
    <row r="34" spans="2:11" ht="15.75" customHeight="1" x14ac:dyDescent="0.25">
      <c r="B34" s="10"/>
      <c r="C34" s="195" t="s">
        <v>114</v>
      </c>
      <c r="D34" s="196" t="s">
        <v>115</v>
      </c>
      <c r="E34" s="195" t="s">
        <v>75</v>
      </c>
      <c r="F34" s="11"/>
      <c r="H34" s="53" t="s">
        <v>28</v>
      </c>
      <c r="I34" s="156" t="s">
        <v>38</v>
      </c>
      <c r="J34" s="157"/>
      <c r="K34" s="158"/>
    </row>
    <row r="35" spans="2:11" x14ac:dyDescent="0.25">
      <c r="B35" s="10"/>
      <c r="C35" s="62" t="s">
        <v>73</v>
      </c>
      <c r="D35" s="96" t="s">
        <v>16</v>
      </c>
      <c r="E35" s="62" t="s">
        <v>75</v>
      </c>
      <c r="F35" s="11"/>
      <c r="H35" s="125" t="s">
        <v>37</v>
      </c>
      <c r="I35" s="128" t="s">
        <v>39</v>
      </c>
      <c r="J35" s="129"/>
      <c r="K35" s="130"/>
    </row>
    <row r="36" spans="2:11" x14ac:dyDescent="0.25">
      <c r="B36" s="10"/>
      <c r="C36" s="98"/>
      <c r="D36" s="63"/>
      <c r="E36" s="62"/>
      <c r="F36" s="11"/>
      <c r="H36" s="126"/>
      <c r="I36" s="131"/>
      <c r="J36" s="132"/>
      <c r="K36" s="133"/>
    </row>
    <row r="37" spans="2:11" x14ac:dyDescent="0.25">
      <c r="B37" s="10"/>
      <c r="C37" s="97"/>
      <c r="D37" s="97"/>
      <c r="E37" s="62"/>
      <c r="F37" s="11"/>
      <c r="H37" s="127"/>
      <c r="I37" s="134"/>
      <c r="J37" s="135"/>
      <c r="K37" s="136"/>
    </row>
    <row r="38" spans="2:11" x14ac:dyDescent="0.25">
      <c r="B38" s="10"/>
      <c r="C38" s="97"/>
      <c r="D38" s="97"/>
      <c r="E38" s="62"/>
      <c r="F38" s="11"/>
      <c r="H38" s="59"/>
      <c r="I38" s="59"/>
      <c r="J38" s="59"/>
      <c r="K38" s="59"/>
    </row>
    <row r="39" spans="2:11" x14ac:dyDescent="0.25">
      <c r="B39" s="10"/>
      <c r="C39" s="97"/>
      <c r="D39" s="97"/>
      <c r="E39" s="62"/>
      <c r="F39" s="11"/>
      <c r="H39" s="59"/>
      <c r="I39" s="59"/>
      <c r="J39" s="59"/>
      <c r="K39" s="59"/>
    </row>
    <row r="40" spans="2:11" x14ac:dyDescent="0.25">
      <c r="B40" s="10"/>
      <c r="C40" s="97"/>
      <c r="D40" s="97"/>
      <c r="E40" s="62"/>
      <c r="F40" s="11"/>
      <c r="H40" s="59"/>
      <c r="I40" s="59"/>
      <c r="J40" s="59"/>
      <c r="K40" s="59"/>
    </row>
    <row r="41" spans="2:11" x14ac:dyDescent="0.25">
      <c r="B41" s="10"/>
      <c r="C41" s="97"/>
      <c r="D41" s="97"/>
      <c r="E41" s="62"/>
      <c r="F41" s="11"/>
      <c r="H41" s="59"/>
      <c r="I41" s="59"/>
      <c r="J41" s="59"/>
      <c r="K41" s="59"/>
    </row>
    <row r="42" spans="2:11" x14ac:dyDescent="0.25">
      <c r="B42" s="10"/>
      <c r="C42" s="97"/>
      <c r="D42" s="97"/>
      <c r="E42" s="62"/>
      <c r="F42" s="11"/>
    </row>
    <row r="43" spans="2:11" x14ac:dyDescent="0.25">
      <c r="B43" s="10"/>
      <c r="C43" s="97"/>
      <c r="D43" s="97"/>
      <c r="E43" s="62"/>
      <c r="F43" s="11"/>
    </row>
    <row r="44" spans="2:11" x14ac:dyDescent="0.25">
      <c r="B44" s="10"/>
      <c r="C44" s="97"/>
      <c r="D44" s="97"/>
      <c r="E44" s="62"/>
      <c r="F44" s="11"/>
    </row>
    <row r="45" spans="2:11" x14ac:dyDescent="0.25">
      <c r="B45" s="10"/>
      <c r="C45" s="97"/>
      <c r="D45" s="97"/>
      <c r="E45" s="62"/>
      <c r="F45" s="11"/>
    </row>
    <row r="46" spans="2:11" ht="15.75" thickBot="1" x14ac:dyDescent="0.3">
      <c r="B46" s="99"/>
      <c r="C46" s="100"/>
      <c r="D46" s="100"/>
      <c r="E46" s="100"/>
      <c r="F46" s="101"/>
    </row>
  </sheetData>
  <sheetProtection sheet="1" objects="1" scenarios="1"/>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DO40"/>
  <sheetViews>
    <sheetView tabSelected="1" zoomScale="85" zoomScaleNormal="85" workbookViewId="0">
      <pane xSplit="2" ySplit="4" topLeftCell="C5" activePane="bottomRight" state="frozenSplit"/>
      <selection pane="topRight" activeCell="AE1" sqref="AE1"/>
      <selection pane="bottomLeft" activeCell="A23" sqref="A23"/>
      <selection pane="bottomRight" activeCell="O8" sqref="O8:P8"/>
    </sheetView>
  </sheetViews>
  <sheetFormatPr defaultRowHeight="15" x14ac:dyDescent="0.25"/>
  <cols>
    <col min="1" max="2" width="15.7109375" style="109" customWidth="1"/>
    <col min="3" max="3" width="12.7109375" style="110" bestFit="1" customWidth="1"/>
    <col min="4" max="4" width="9.140625" style="110"/>
    <col min="5" max="5" width="12.7109375" style="110" bestFit="1" customWidth="1"/>
    <col min="6" max="6" width="9.140625" style="110"/>
    <col min="7" max="7" width="12.7109375" style="110" bestFit="1" customWidth="1"/>
    <col min="8" max="8" width="9.140625" style="110"/>
    <col min="9" max="9" width="12.7109375" style="110" bestFit="1" customWidth="1"/>
    <col min="10" max="10" width="9.140625" style="110"/>
    <col min="11" max="11" width="12.7109375" style="110" bestFit="1" customWidth="1"/>
    <col min="12" max="12" width="9.140625" style="110"/>
    <col min="13" max="13" width="12.7109375" style="110" bestFit="1" customWidth="1"/>
    <col min="14" max="14" width="9.140625" style="110"/>
    <col min="15" max="15" width="12.7109375" style="110" bestFit="1" customWidth="1"/>
    <col min="16" max="16" width="9.140625" style="110"/>
    <col min="17" max="17" width="12.7109375" style="110" bestFit="1" customWidth="1"/>
    <col min="18" max="18" width="9.140625" style="110"/>
    <col min="19" max="19" width="12.7109375" style="110" bestFit="1" customWidth="1"/>
    <col min="20" max="20" width="9.140625" style="110"/>
    <col min="21" max="21" width="12.7109375" style="110" bestFit="1" customWidth="1"/>
    <col min="22" max="22" width="9.140625" style="110"/>
    <col min="23" max="23" width="10.5703125" style="110" bestFit="1" customWidth="1"/>
    <col min="24" max="24" width="4.7109375" style="110" bestFit="1" customWidth="1"/>
    <col min="25" max="25" width="6.42578125" style="110" bestFit="1" customWidth="1"/>
    <col min="26" max="26" width="10.140625" style="110" bestFit="1" customWidth="1"/>
    <col min="27" max="27" width="4.7109375" style="110" bestFit="1" customWidth="1"/>
    <col min="28" max="28" width="6.42578125" style="110" bestFit="1" customWidth="1"/>
    <col min="29" max="29" width="11" style="110" bestFit="1" customWidth="1"/>
    <col min="30" max="30" width="10.42578125" style="110" bestFit="1" customWidth="1"/>
    <col min="31" max="31" width="13.42578125" style="110" bestFit="1" customWidth="1"/>
    <col min="32" max="32" width="1.85546875" style="110" bestFit="1" customWidth="1"/>
    <col min="33" max="16384" width="9.140625" style="110"/>
  </cols>
  <sheetData>
    <row r="1" spans="1:32" s="108" customFormat="1" x14ac:dyDescent="0.25">
      <c r="A1" s="159" t="str">
        <f>_xlfn.CONCAT("Year ",ClassInformation!D4,ClassInformation!E4," ",ClassInformation!D5," - ","Semester 1 ",ClassInformation!D6)</f>
        <v>Year 7A [Subject] - Semester 1 2018</v>
      </c>
      <c r="B1" s="160"/>
      <c r="C1" s="200" t="s">
        <v>122</v>
      </c>
      <c r="D1" s="165"/>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7"/>
    </row>
    <row r="2" spans="1:32" s="108" customFormat="1" x14ac:dyDescent="0.25">
      <c r="A2" s="159"/>
      <c r="B2" s="160"/>
      <c r="C2" s="168" t="s">
        <v>32</v>
      </c>
      <c r="D2" s="169"/>
      <c r="E2" s="169"/>
      <c r="F2" s="169"/>
      <c r="G2" s="169"/>
      <c r="H2" s="169"/>
      <c r="I2" s="169"/>
      <c r="J2" s="169"/>
      <c r="K2" s="169"/>
      <c r="L2" s="170"/>
      <c r="M2" s="171" t="s">
        <v>34</v>
      </c>
      <c r="N2" s="169"/>
      <c r="O2" s="169"/>
      <c r="P2" s="169"/>
      <c r="Q2" s="169"/>
      <c r="R2" s="169"/>
      <c r="S2" s="169"/>
      <c r="T2" s="169"/>
      <c r="U2" s="169"/>
      <c r="V2" s="170"/>
      <c r="W2" s="171" t="s">
        <v>35</v>
      </c>
      <c r="X2" s="169"/>
      <c r="Y2" s="169"/>
      <c r="Z2" s="169"/>
      <c r="AA2" s="169"/>
      <c r="AB2" s="169"/>
      <c r="AC2" s="169"/>
      <c r="AD2" s="169"/>
      <c r="AE2" s="172"/>
      <c r="AF2" s="201" t="s">
        <v>18</v>
      </c>
    </row>
    <row r="3" spans="1:32" s="108" customFormat="1" x14ac:dyDescent="0.25">
      <c r="A3" s="161" t="s">
        <v>21</v>
      </c>
      <c r="B3" s="162"/>
      <c r="C3" s="202" t="str">
        <f>_xlfn.TEXTJOIN(" ", TRUE, "Max",C4,": ")</f>
        <v xml:space="preserve">Max UD : </v>
      </c>
      <c r="D3" s="203">
        <v>80</v>
      </c>
      <c r="E3" s="202" t="str">
        <f t="shared" ref="E3" si="0">_xlfn.TEXTJOIN(" ", TRUE, "Max",E4,": ")</f>
        <v xml:space="preserve">Max AD : </v>
      </c>
      <c r="F3" s="203">
        <v>20</v>
      </c>
      <c r="G3" s="202" t="str">
        <f t="shared" ref="G3" si="1">_xlfn.TEXTJOIN(" ", TRUE, "Max",G4,": ")</f>
        <v xml:space="preserve">Max [Mark] : </v>
      </c>
      <c r="H3" s="203"/>
      <c r="I3" s="202" t="str">
        <f t="shared" ref="I3" si="2">_xlfn.TEXTJOIN(" ", TRUE, "Max",I4,": ")</f>
        <v xml:space="preserve">Max [Mark] : </v>
      </c>
      <c r="J3" s="203"/>
      <c r="K3" s="202" t="str">
        <f t="shared" ref="K3" si="3">_xlfn.TEXTJOIN(" ", TRUE, "Max",K4,": ")</f>
        <v xml:space="preserve">Max [Mark] : </v>
      </c>
      <c r="L3" s="203"/>
      <c r="M3" s="202" t="str">
        <f t="shared" ref="M3" si="4">_xlfn.TEXTJOIN(" ", TRUE, "Max",M4,": ")</f>
        <v xml:space="preserve">Max [Mark] : </v>
      </c>
      <c r="N3" s="203"/>
      <c r="O3" s="202" t="str">
        <f t="shared" ref="O3" si="5">_xlfn.TEXTJOIN(" ", TRUE, "Max",O4,": ")</f>
        <v xml:space="preserve">Max [Mark] : </v>
      </c>
      <c r="P3" s="203"/>
      <c r="Q3" s="202" t="str">
        <f t="shared" ref="Q3" si="6">_xlfn.TEXTJOIN(" ", TRUE, "Max",Q4,": ")</f>
        <v xml:space="preserve">Max [Mark] : </v>
      </c>
      <c r="R3" s="203"/>
      <c r="S3" s="202" t="str">
        <f t="shared" ref="S3" si="7">_xlfn.TEXTJOIN(" ", TRUE, "Max",S4,": ")</f>
        <v xml:space="preserve">Max [Mark] : </v>
      </c>
      <c r="T3" s="203"/>
      <c r="U3" s="202" t="str">
        <f t="shared" ref="U3" si="8">_xlfn.TEXTJOIN(" ", TRUE, "Max",U4,": ")</f>
        <v xml:space="preserve">Max [Mark] : </v>
      </c>
      <c r="V3" s="203"/>
      <c r="W3" s="202" t="str">
        <f>_xlfn.TEXTJOIN(" ",TRUE,"Max",C2,":")</f>
        <v>Max UD :</v>
      </c>
      <c r="X3" s="173">
        <f>IF(OR(D3="-",F3="-",H3="-",J3="-",L3="-"),"-",SUM(D3,F3,H3,J3,L3))</f>
        <v>100</v>
      </c>
      <c r="Y3" s="174"/>
      <c r="Z3" s="202" t="str">
        <f>_xlfn.TEXTJOIN(" ",TRUE,"Max",M2,":")</f>
        <v>Max SD :</v>
      </c>
      <c r="AA3" s="175">
        <f>IF(OR(N3="-",P3="-",R3="-",T3="-",V3="-"),"-",SUM(N3,P3,R3,T3,V3))</f>
        <v>0</v>
      </c>
      <c r="AB3" s="176"/>
      <c r="AC3" s="204"/>
      <c r="AD3" s="204"/>
      <c r="AE3" s="204"/>
      <c r="AF3" s="201" t="s">
        <v>18</v>
      </c>
    </row>
    <row r="4" spans="1:32" s="108" customFormat="1" ht="15.75" thickBot="1" x14ac:dyDescent="0.3">
      <c r="A4" s="104" t="str">
        <f>ClassInformation!C9</f>
        <v>Last Name</v>
      </c>
      <c r="B4" s="105" t="str">
        <f>ClassInformation!D9</f>
        <v>First Name</v>
      </c>
      <c r="C4" s="163" t="s">
        <v>32</v>
      </c>
      <c r="D4" s="164"/>
      <c r="E4" s="194" t="s">
        <v>132</v>
      </c>
      <c r="F4" s="164"/>
      <c r="G4" s="194" t="s">
        <v>40</v>
      </c>
      <c r="H4" s="164"/>
      <c r="I4" s="194" t="s">
        <v>40</v>
      </c>
      <c r="J4" s="164"/>
      <c r="K4" s="194" t="s">
        <v>40</v>
      </c>
      <c r="L4" s="164"/>
      <c r="M4" s="194" t="s">
        <v>40</v>
      </c>
      <c r="N4" s="164"/>
      <c r="O4" s="194" t="s">
        <v>40</v>
      </c>
      <c r="P4" s="164"/>
      <c r="Q4" s="194" t="s">
        <v>40</v>
      </c>
      <c r="R4" s="164"/>
      <c r="S4" s="194" t="s">
        <v>40</v>
      </c>
      <c r="T4" s="164"/>
      <c r="U4" s="194" t="s">
        <v>40</v>
      </c>
      <c r="V4" s="164"/>
      <c r="W4" s="219" t="str">
        <f>_xlfn.TEXTJOIN(" ",TRUE,W2,C2)</f>
        <v>Overall UD</v>
      </c>
      <c r="X4" s="221" t="s">
        <v>33</v>
      </c>
      <c r="Y4" s="205" t="s">
        <v>1</v>
      </c>
      <c r="Z4" s="206" t="str">
        <f>_xlfn.TEXTJOIN(" ",TRUE,W2,M2)</f>
        <v>Overall SD</v>
      </c>
      <c r="AA4" s="207" t="s">
        <v>33</v>
      </c>
      <c r="AB4" s="208" t="s">
        <v>1</v>
      </c>
      <c r="AC4" s="209" t="s">
        <v>55</v>
      </c>
      <c r="AD4" s="209" t="s">
        <v>56</v>
      </c>
      <c r="AE4" s="209" t="s">
        <v>131</v>
      </c>
      <c r="AF4" s="201" t="s">
        <v>18</v>
      </c>
    </row>
    <row r="5" spans="1:32" s="61" customFormat="1" x14ac:dyDescent="0.25">
      <c r="A5" s="106" t="str">
        <f>IF(ISBLANK(ClassInformation!C10),"ZZZZZ",ClassInformation!C10)</f>
        <v>Amery</v>
      </c>
      <c r="B5" s="107" t="str">
        <f>IF(ISBLANK(ClassInformation!D10),"ZZZZZ",ClassInformation!D10)</f>
        <v>Kyeesha</v>
      </c>
      <c r="C5" s="193"/>
      <c r="D5" s="192"/>
      <c r="E5" s="193"/>
      <c r="F5" s="192"/>
      <c r="G5" s="193"/>
      <c r="H5" s="192"/>
      <c r="I5" s="193"/>
      <c r="J5" s="192"/>
      <c r="K5" s="193"/>
      <c r="L5" s="192"/>
      <c r="M5" s="211"/>
      <c r="N5" s="212"/>
      <c r="O5" s="193"/>
      <c r="P5" s="192"/>
      <c r="Q5" s="193"/>
      <c r="R5" s="192"/>
      <c r="S5" s="193"/>
      <c r="T5" s="192"/>
      <c r="U5" s="193"/>
      <c r="V5" s="192"/>
      <c r="W5" s="218" t="str">
        <f>IF(COUNTIF(C5:L5,"*-*")&gt;0,"-",IF(COUNTBLANK(C5:L5)=10,"",IF(X$3="-","-",SUM(C5:L5))))</f>
        <v/>
      </c>
      <c r="X5" s="233" t="str">
        <f>IF(W5="","",IF(W5="-","-",W5/X$3))</f>
        <v/>
      </c>
      <c r="Y5" s="220" t="str">
        <f>IF(X5="","",VLOOKUP(X5,Table1[],2,TRUE))</f>
        <v/>
      </c>
      <c r="Z5" s="228" t="str">
        <f>IF(COUNTIF(M5:V5,"*-*")&gt;0,"-",IF(COUNTBLANK(M5:V5)=10,"",IF(AA$3="-","-",SUM(M5:V5))))</f>
        <v/>
      </c>
      <c r="AA5" s="235" t="str">
        <f>IF(Z5="","",IF(Z5="-", "-",Z5/AA$3))</f>
        <v/>
      </c>
      <c r="AB5" s="222" t="str">
        <f>IF(AA5="","",VLOOKUP(AA5,Table1[],2,TRUE))</f>
        <v/>
      </c>
      <c r="AC5" s="231" t="str">
        <f>IF(AND(X5="",AA5=""),"",IF(OR(X5="-",AA5="-"),"-",IF(AND(X$3&lt;&gt;0,AA$3&lt;&gt;0),VLOOKUP(AVERAGE(X5,AA5),Table1[],2,TRUE),IF(AND(X$3&lt;&gt;0,AA$3=0),Y5,AB5))))</f>
        <v/>
      </c>
      <c r="AD5" s="199"/>
      <c r="AE5" s="198" t="str">
        <f>IF(ISBLANK(AD5),AC5,AD5)</f>
        <v/>
      </c>
      <c r="AF5" s="201" t="s">
        <v>18</v>
      </c>
    </row>
    <row r="6" spans="1:32" s="61" customFormat="1" x14ac:dyDescent="0.25">
      <c r="A6" s="106" t="str">
        <f>IF(ISBLANK(ClassInformation!C11),"ZZZZZ",ClassInformation!C11)</f>
        <v>Barratt</v>
      </c>
      <c r="B6" s="107" t="str">
        <f>IF(ISBLANK(ClassInformation!D11),"ZZZZZ",ClassInformation!D11)</f>
        <v>Oliver</v>
      </c>
      <c r="C6" s="193"/>
      <c r="D6" s="192"/>
      <c r="E6" s="193"/>
      <c r="F6" s="192"/>
      <c r="G6" s="193"/>
      <c r="H6" s="192"/>
      <c r="I6" s="193"/>
      <c r="J6" s="192"/>
      <c r="K6" s="193"/>
      <c r="L6" s="192"/>
      <c r="M6" s="211"/>
      <c r="N6" s="212"/>
      <c r="O6" s="193"/>
      <c r="P6" s="192"/>
      <c r="Q6" s="193"/>
      <c r="R6" s="192"/>
      <c r="S6" s="193"/>
      <c r="T6" s="192"/>
      <c r="U6" s="193"/>
      <c r="V6" s="192"/>
      <c r="W6" s="218" t="str">
        <f t="shared" ref="W6:W40" si="9">IF(COUNTIF(C6:L6,"*-*")&gt;0,"-",IF(COUNTBLANK(C6:L6)=10,"",IF(X$3="-","-",SUM(C6:L6))))</f>
        <v/>
      </c>
      <c r="X6" s="233" t="str">
        <f t="shared" ref="X6:X39" si="10">IF(W6="","",IF(W6="-","-",W6/X$3))</f>
        <v/>
      </c>
      <c r="Y6" s="220" t="str">
        <f>IF(W6="","",VLOOKUP(X6,Table1[],2,TRUE))</f>
        <v/>
      </c>
      <c r="Z6" s="229" t="str">
        <f t="shared" ref="Z6:Z40" si="11">IF(COUNTIF(M6:V6,"*-*")&gt;0,"-",IF(COUNTBLANK(M6:V6)=10,"",IF(AA$3="-","-",SUM(M6:V6))))</f>
        <v/>
      </c>
      <c r="AA6" s="235" t="str">
        <f>IF(Z6="","",IF(Z6="-", "-",Z6/AA$3))</f>
        <v/>
      </c>
      <c r="AB6" s="222" t="str">
        <f>IF(Z6="","",VLOOKUP(AA6,Table1[],2,TRUE))</f>
        <v/>
      </c>
      <c r="AC6" s="231" t="str">
        <f>IF(AND(X6="",AA6=""),"",IF(OR(X6="-",AA6="-"),"-",IF(AND(X$3&lt;&gt;0,AA$3&lt;&gt;0),VLOOKUP(AVERAGE(X6,AA6),Table1[],2,TRUE),IF(AND(X$3&lt;&gt;0,AA$3=0),Y6,AB6))))</f>
        <v/>
      </c>
      <c r="AD6" s="198"/>
      <c r="AE6" s="198" t="str">
        <f t="shared" ref="AE6:AE40" si="12">IF(ISBLANK(AD6),AC6,AD6)</f>
        <v/>
      </c>
      <c r="AF6" s="201" t="s">
        <v>18</v>
      </c>
    </row>
    <row r="7" spans="1:32" s="61" customFormat="1" x14ac:dyDescent="0.25">
      <c r="A7" s="106" t="str">
        <f>IF(ISBLANK(ClassInformation!C12),"ZZZZZ",ClassInformation!C12)</f>
        <v>Bulacan</v>
      </c>
      <c r="B7" s="107" t="str">
        <f>IF(ISBLANK(ClassInformation!D12),"ZZZZZ",ClassInformation!D12)</f>
        <v>Jed</v>
      </c>
      <c r="C7" s="193"/>
      <c r="D7" s="192"/>
      <c r="E7" s="193"/>
      <c r="F7" s="192"/>
      <c r="G7" s="193"/>
      <c r="H7" s="192"/>
      <c r="I7" s="193"/>
      <c r="J7" s="192"/>
      <c r="K7" s="193"/>
      <c r="L7" s="192"/>
      <c r="M7" s="211"/>
      <c r="N7" s="212"/>
      <c r="O7" s="193"/>
      <c r="P7" s="192"/>
      <c r="Q7" s="193"/>
      <c r="R7" s="192"/>
      <c r="S7" s="193"/>
      <c r="T7" s="192"/>
      <c r="U7" s="193"/>
      <c r="V7" s="192"/>
      <c r="W7" s="218" t="str">
        <f t="shared" si="9"/>
        <v/>
      </c>
      <c r="X7" s="233" t="str">
        <f t="shared" si="10"/>
        <v/>
      </c>
      <c r="Y7" s="220" t="str">
        <f>IF(W7="","",VLOOKUP(X7,Table1[],2,TRUE))</f>
        <v/>
      </c>
      <c r="Z7" s="229" t="str">
        <f t="shared" si="11"/>
        <v/>
      </c>
      <c r="AA7" s="235" t="str">
        <f t="shared" ref="AA7:AA39" si="13">IF(Z7="","",IF(Z7="-", "-",Z7/AA$3))</f>
        <v/>
      </c>
      <c r="AB7" s="222" t="str">
        <f>IF(Z7="","",VLOOKUP(AA7,Table1[],2,TRUE))</f>
        <v/>
      </c>
      <c r="AC7" s="231" t="str">
        <f>IF(AND(X7="",AA7=""),"",IF(OR(X7="-",AA7="-"),"-",IF(AND(X$3&lt;&gt;0,AA$3&lt;&gt;0),VLOOKUP(AVERAGE(X7,AA7),Table1[],2,TRUE),IF(AND(X$3&lt;&gt;0,AA$3=0),Y7,AB7))))</f>
        <v/>
      </c>
      <c r="AD7" s="198"/>
      <c r="AE7" s="198" t="str">
        <f t="shared" si="12"/>
        <v/>
      </c>
      <c r="AF7" s="201" t="s">
        <v>18</v>
      </c>
    </row>
    <row r="8" spans="1:32" s="61" customFormat="1" x14ac:dyDescent="0.25">
      <c r="A8" s="106" t="str">
        <f>IF(ISBLANK(ClassInformation!C13),"ZZZZZ",ClassInformation!C13)</f>
        <v>Chapman</v>
      </c>
      <c r="B8" s="107" t="str">
        <f>IF(ISBLANK(ClassInformation!D13),"ZZZZZ",ClassInformation!D13)</f>
        <v>Michelle</v>
      </c>
      <c r="C8" s="193"/>
      <c r="D8" s="192"/>
      <c r="E8" s="193"/>
      <c r="F8" s="192"/>
      <c r="G8" s="193"/>
      <c r="H8" s="192"/>
      <c r="I8" s="193"/>
      <c r="J8" s="192"/>
      <c r="K8" s="193"/>
      <c r="L8" s="192"/>
      <c r="M8" s="211"/>
      <c r="N8" s="212"/>
      <c r="O8" s="193"/>
      <c r="P8" s="192"/>
      <c r="Q8" s="193"/>
      <c r="R8" s="192"/>
      <c r="S8" s="193"/>
      <c r="T8" s="192"/>
      <c r="U8" s="193"/>
      <c r="V8" s="192"/>
      <c r="W8" s="218" t="str">
        <f t="shared" si="9"/>
        <v/>
      </c>
      <c r="X8" s="233" t="str">
        <f t="shared" si="10"/>
        <v/>
      </c>
      <c r="Y8" s="220" t="str">
        <f>IF(W8="","",VLOOKUP(X8,Table1[],2,TRUE))</f>
        <v/>
      </c>
      <c r="Z8" s="229" t="str">
        <f t="shared" si="11"/>
        <v/>
      </c>
      <c r="AA8" s="235" t="str">
        <f t="shared" si="13"/>
        <v/>
      </c>
      <c r="AB8" s="222" t="str">
        <f>IF(Z8="","",VLOOKUP(AA8,Table1[],2,TRUE))</f>
        <v/>
      </c>
      <c r="AC8" s="231" t="str">
        <f>IF(AND(X8="",AA8=""),"",IF(OR(X8="-",AA8="-"),"-",IF(AND(X$3&lt;&gt;0,AA$3&lt;&gt;0),VLOOKUP(AVERAGE(X8,AA8),Table1[],2,TRUE),IF(AND(X$3&lt;&gt;0,AA$3=0),Y8,AB8))))</f>
        <v/>
      </c>
      <c r="AD8" s="198"/>
      <c r="AE8" s="198" t="str">
        <f t="shared" si="12"/>
        <v/>
      </c>
      <c r="AF8" s="201" t="s">
        <v>18</v>
      </c>
    </row>
    <row r="9" spans="1:32" s="61" customFormat="1" x14ac:dyDescent="0.25">
      <c r="A9" s="106" t="str">
        <f>IF(ISBLANK(ClassInformation!C14),"ZZZZZ",ClassInformation!C14)</f>
        <v>Comber</v>
      </c>
      <c r="B9" s="107" t="str">
        <f>IF(ISBLANK(ClassInformation!D14),"ZZZZZ",ClassInformation!D14)</f>
        <v>Gabi</v>
      </c>
      <c r="C9" s="193"/>
      <c r="D9" s="192"/>
      <c r="E9" s="193"/>
      <c r="F9" s="192"/>
      <c r="G9" s="193"/>
      <c r="H9" s="192"/>
      <c r="I9" s="193"/>
      <c r="J9" s="192"/>
      <c r="K9" s="193"/>
      <c r="L9" s="192"/>
      <c r="M9" s="211"/>
      <c r="N9" s="212"/>
      <c r="O9" s="193"/>
      <c r="P9" s="192"/>
      <c r="Q9" s="193"/>
      <c r="R9" s="192"/>
      <c r="S9" s="193"/>
      <c r="T9" s="192"/>
      <c r="U9" s="193"/>
      <c r="V9" s="192"/>
      <c r="W9" s="218" t="str">
        <f t="shared" si="9"/>
        <v/>
      </c>
      <c r="X9" s="233" t="str">
        <f t="shared" si="10"/>
        <v/>
      </c>
      <c r="Y9" s="220" t="str">
        <f>IF(W9="","",VLOOKUP(X9,Table1[],2,TRUE))</f>
        <v/>
      </c>
      <c r="Z9" s="229" t="str">
        <f t="shared" si="11"/>
        <v/>
      </c>
      <c r="AA9" s="235" t="str">
        <f t="shared" si="13"/>
        <v/>
      </c>
      <c r="AB9" s="222" t="str">
        <f>IF(Z9="","",VLOOKUP(AA9,Table1[],2,TRUE))</f>
        <v/>
      </c>
      <c r="AC9" s="231" t="str">
        <f>IF(AND(X9="",AA9=""),"",IF(OR(X9="-",AA9="-"),"-",IF(AND(X$3&lt;&gt;0,AA$3&lt;&gt;0),VLOOKUP(AVERAGE(X9,AA9),Table1[],2,TRUE),IF(AND(X$3&lt;&gt;0,AA$3=0),Y9,AB9))))</f>
        <v/>
      </c>
      <c r="AD9" s="198"/>
      <c r="AE9" s="198" t="str">
        <f t="shared" si="12"/>
        <v/>
      </c>
      <c r="AF9" s="201" t="s">
        <v>18</v>
      </c>
    </row>
    <row r="10" spans="1:32" s="61" customFormat="1" x14ac:dyDescent="0.25">
      <c r="A10" s="106" t="str">
        <f>IF(ISBLANK(ClassInformation!C15),"ZZZZZ",ClassInformation!C15)</f>
        <v>Cook</v>
      </c>
      <c r="B10" s="107" t="str">
        <f>IF(ISBLANK(ClassInformation!D15),"ZZZZZ",ClassInformation!D15)</f>
        <v>Kaylee</v>
      </c>
      <c r="C10" s="193"/>
      <c r="D10" s="192"/>
      <c r="E10" s="193"/>
      <c r="F10" s="192"/>
      <c r="G10" s="193"/>
      <c r="H10" s="192"/>
      <c r="I10" s="193"/>
      <c r="J10" s="192"/>
      <c r="K10" s="193"/>
      <c r="L10" s="192"/>
      <c r="M10" s="211"/>
      <c r="N10" s="212"/>
      <c r="O10" s="193"/>
      <c r="P10" s="192"/>
      <c r="Q10" s="193"/>
      <c r="R10" s="192"/>
      <c r="S10" s="193"/>
      <c r="T10" s="192"/>
      <c r="U10" s="193"/>
      <c r="V10" s="192"/>
      <c r="W10" s="218" t="str">
        <f t="shared" si="9"/>
        <v/>
      </c>
      <c r="X10" s="233" t="str">
        <f t="shared" si="10"/>
        <v/>
      </c>
      <c r="Y10" s="220" t="str">
        <f>IF(W10="","",VLOOKUP(X10,Table1[],2,TRUE))</f>
        <v/>
      </c>
      <c r="Z10" s="229" t="str">
        <f t="shared" si="11"/>
        <v/>
      </c>
      <c r="AA10" s="235" t="str">
        <f t="shared" si="13"/>
        <v/>
      </c>
      <c r="AB10" s="222" t="str">
        <f>IF(Z10="","",VLOOKUP(AA10,Table1[],2,TRUE))</f>
        <v/>
      </c>
      <c r="AC10" s="231" t="str">
        <f>IF(AND(X10="",AA10=""),"",IF(OR(X10="-",AA10="-"),"-",IF(AND(X$3&lt;&gt;0,AA$3&lt;&gt;0),VLOOKUP(AVERAGE(X10,AA10),Table1[],2,TRUE),IF(AND(X$3&lt;&gt;0,AA$3=0),Y10,AB10))))</f>
        <v/>
      </c>
      <c r="AD10" s="198"/>
      <c r="AE10" s="198" t="str">
        <f t="shared" si="12"/>
        <v/>
      </c>
      <c r="AF10" s="201" t="s">
        <v>18</v>
      </c>
    </row>
    <row r="11" spans="1:32" s="61" customFormat="1" x14ac:dyDescent="0.25">
      <c r="A11" s="106" t="str">
        <f>IF(ISBLANK(ClassInformation!C16),"ZZZZZ",ClassInformation!C16)</f>
        <v>Coulahan</v>
      </c>
      <c r="B11" s="107" t="str">
        <f>IF(ISBLANK(ClassInformation!D16),"ZZZZZ",ClassInformation!D16)</f>
        <v>Zechariah</v>
      </c>
      <c r="C11" s="193"/>
      <c r="D11" s="192"/>
      <c r="E11" s="193"/>
      <c r="F11" s="192"/>
      <c r="G11" s="193"/>
      <c r="H11" s="192"/>
      <c r="I11" s="193"/>
      <c r="J11" s="192"/>
      <c r="K11" s="193"/>
      <c r="L11" s="192"/>
      <c r="M11" s="211"/>
      <c r="N11" s="212"/>
      <c r="O11" s="193"/>
      <c r="P11" s="192"/>
      <c r="Q11" s="193"/>
      <c r="R11" s="192"/>
      <c r="S11" s="193"/>
      <c r="T11" s="192"/>
      <c r="U11" s="193"/>
      <c r="V11" s="192"/>
      <c r="W11" s="218" t="str">
        <f t="shared" si="9"/>
        <v/>
      </c>
      <c r="X11" s="233" t="str">
        <f t="shared" si="10"/>
        <v/>
      </c>
      <c r="Y11" s="220" t="str">
        <f>IF(W11="","",VLOOKUP(X11,Table1[],2,TRUE))</f>
        <v/>
      </c>
      <c r="Z11" s="229" t="str">
        <f t="shared" si="11"/>
        <v/>
      </c>
      <c r="AA11" s="235" t="str">
        <f t="shared" si="13"/>
        <v/>
      </c>
      <c r="AB11" s="222" t="str">
        <f>IF(Z11="","",VLOOKUP(AA11,Table1[],2,TRUE))</f>
        <v/>
      </c>
      <c r="AC11" s="231" t="str">
        <f>IF(AND(X11="",AA11=""),"",IF(OR(X11="-",AA11="-"),"-",IF(AND(X$3&lt;&gt;0,AA$3&lt;&gt;0),VLOOKUP(AVERAGE(X11,AA11),Table1[],2,TRUE),IF(AND(X$3&lt;&gt;0,AA$3=0),Y11,AB11))))</f>
        <v/>
      </c>
      <c r="AD11" s="198"/>
      <c r="AE11" s="198" t="str">
        <f t="shared" si="12"/>
        <v/>
      </c>
      <c r="AF11" s="201" t="s">
        <v>18</v>
      </c>
    </row>
    <row r="12" spans="1:32" s="61" customFormat="1" x14ac:dyDescent="0.25">
      <c r="A12" s="106" t="str">
        <f>IF(ISBLANK(ClassInformation!C17),"ZZZZZ",ClassInformation!C17)</f>
        <v>Cubacub</v>
      </c>
      <c r="B12" s="107" t="str">
        <f>IF(ISBLANK(ClassInformation!D17),"ZZZZZ",ClassInformation!D17)</f>
        <v>Raffi</v>
      </c>
      <c r="C12" s="193"/>
      <c r="D12" s="192"/>
      <c r="E12" s="193"/>
      <c r="F12" s="192"/>
      <c r="G12" s="193"/>
      <c r="H12" s="192"/>
      <c r="I12" s="193"/>
      <c r="J12" s="192"/>
      <c r="K12" s="193"/>
      <c r="L12" s="192"/>
      <c r="M12" s="211"/>
      <c r="N12" s="212"/>
      <c r="O12" s="193"/>
      <c r="P12" s="192"/>
      <c r="Q12" s="193"/>
      <c r="R12" s="192"/>
      <c r="S12" s="193"/>
      <c r="T12" s="192"/>
      <c r="U12" s="193"/>
      <c r="V12" s="192"/>
      <c r="W12" s="218" t="str">
        <f t="shared" si="9"/>
        <v/>
      </c>
      <c r="X12" s="233" t="str">
        <f t="shared" si="10"/>
        <v/>
      </c>
      <c r="Y12" s="220" t="str">
        <f>IF(W12="","",VLOOKUP(X12,Table1[],2,TRUE))</f>
        <v/>
      </c>
      <c r="Z12" s="229" t="str">
        <f t="shared" si="11"/>
        <v/>
      </c>
      <c r="AA12" s="235" t="str">
        <f t="shared" si="13"/>
        <v/>
      </c>
      <c r="AB12" s="222" t="str">
        <f>IF(Z12="","",VLOOKUP(AA12,Table1[],2,TRUE))</f>
        <v/>
      </c>
      <c r="AC12" s="231" t="str">
        <f>IF(AND(X12="",AA12=""),"",IF(OR(X12="-",AA12="-"),"-",IF(AND(X$3&lt;&gt;0,AA$3&lt;&gt;0),VLOOKUP(AVERAGE(X12,AA12),Table1[],2,TRUE),IF(AND(X$3&lt;&gt;0,AA$3=0),Y12,AB12))))</f>
        <v/>
      </c>
      <c r="AD12" s="198"/>
      <c r="AE12" s="198" t="str">
        <f t="shared" si="12"/>
        <v/>
      </c>
      <c r="AF12" s="201" t="s">
        <v>18</v>
      </c>
    </row>
    <row r="13" spans="1:32" s="61" customFormat="1" x14ac:dyDescent="0.25">
      <c r="A13" s="106" t="str">
        <f>IF(ISBLANK(ClassInformation!C18),"ZZZZZ",ClassInformation!C18)</f>
        <v>Davis</v>
      </c>
      <c r="B13" s="107" t="str">
        <f>IF(ISBLANK(ClassInformation!D18),"ZZZZZ",ClassInformation!D18)</f>
        <v>Billy</v>
      </c>
      <c r="C13" s="193"/>
      <c r="D13" s="192"/>
      <c r="E13" s="193"/>
      <c r="F13" s="192"/>
      <c r="G13" s="193"/>
      <c r="H13" s="192"/>
      <c r="I13" s="193"/>
      <c r="J13" s="192"/>
      <c r="K13" s="193"/>
      <c r="L13" s="192"/>
      <c r="M13" s="211"/>
      <c r="N13" s="212"/>
      <c r="O13" s="193"/>
      <c r="P13" s="192"/>
      <c r="Q13" s="193"/>
      <c r="R13" s="192"/>
      <c r="S13" s="193"/>
      <c r="T13" s="192"/>
      <c r="U13" s="193"/>
      <c r="V13" s="192"/>
      <c r="W13" s="218" t="str">
        <f t="shared" si="9"/>
        <v/>
      </c>
      <c r="X13" s="233" t="str">
        <f t="shared" si="10"/>
        <v/>
      </c>
      <c r="Y13" s="220" t="str">
        <f>IF(W13="","",VLOOKUP(X13,Table1[],2,TRUE))</f>
        <v/>
      </c>
      <c r="Z13" s="229" t="str">
        <f t="shared" si="11"/>
        <v/>
      </c>
      <c r="AA13" s="235" t="str">
        <f t="shared" si="13"/>
        <v/>
      </c>
      <c r="AB13" s="222" t="str">
        <f>IF(Z13="","",VLOOKUP(AA13,Table1[],2,TRUE))</f>
        <v/>
      </c>
      <c r="AC13" s="231" t="str">
        <f>IF(AND(X13="",AA13=""),"",IF(OR(X13="-",AA13="-"),"-",IF(AND(X$3&lt;&gt;0,AA$3&lt;&gt;0),VLOOKUP(AVERAGE(X13,AA13),Table1[],2,TRUE),IF(AND(X$3&lt;&gt;0,AA$3=0),Y13,AB13))))</f>
        <v/>
      </c>
      <c r="AD13" s="198"/>
      <c r="AE13" s="198" t="str">
        <f t="shared" si="12"/>
        <v/>
      </c>
      <c r="AF13" s="201" t="s">
        <v>18</v>
      </c>
    </row>
    <row r="14" spans="1:32" s="61" customFormat="1" x14ac:dyDescent="0.25">
      <c r="A14" s="106" t="str">
        <f>IF(ISBLANK(ClassInformation!C19),"ZZZZZ",ClassInformation!C19)</f>
        <v>Fitzsimmons</v>
      </c>
      <c r="B14" s="107" t="str">
        <f>IF(ISBLANK(ClassInformation!D19),"ZZZZZ",ClassInformation!D19)</f>
        <v>Sullivan</v>
      </c>
      <c r="C14" s="193"/>
      <c r="D14" s="192"/>
      <c r="E14" s="193"/>
      <c r="F14" s="192"/>
      <c r="G14" s="193"/>
      <c r="H14" s="192"/>
      <c r="I14" s="193"/>
      <c r="J14" s="192"/>
      <c r="K14" s="193"/>
      <c r="L14" s="192"/>
      <c r="M14" s="211"/>
      <c r="N14" s="212"/>
      <c r="O14" s="193"/>
      <c r="P14" s="192"/>
      <c r="Q14" s="193"/>
      <c r="R14" s="192"/>
      <c r="S14" s="193"/>
      <c r="T14" s="192"/>
      <c r="U14" s="193"/>
      <c r="V14" s="192"/>
      <c r="W14" s="218" t="str">
        <f t="shared" si="9"/>
        <v/>
      </c>
      <c r="X14" s="233" t="str">
        <f t="shared" si="10"/>
        <v/>
      </c>
      <c r="Y14" s="220" t="str">
        <f>IF(W14="","",VLOOKUP(X14,Table1[],2,TRUE))</f>
        <v/>
      </c>
      <c r="Z14" s="229" t="str">
        <f t="shared" si="11"/>
        <v/>
      </c>
      <c r="AA14" s="235" t="str">
        <f t="shared" si="13"/>
        <v/>
      </c>
      <c r="AB14" s="222" t="str">
        <f>IF(Z14="","",VLOOKUP(AA14,Table1[],2,TRUE))</f>
        <v/>
      </c>
      <c r="AC14" s="231" t="str">
        <f>IF(AND(X14="",AA14=""),"",IF(OR(X14="-",AA14="-"),"-",IF(AND(X$3&lt;&gt;0,AA$3&lt;&gt;0),VLOOKUP(AVERAGE(X14,AA14),Table1[],2,TRUE),IF(AND(X$3&lt;&gt;0,AA$3=0),Y14,AB14))))</f>
        <v/>
      </c>
      <c r="AD14" s="198"/>
      <c r="AE14" s="198" t="str">
        <f t="shared" si="12"/>
        <v/>
      </c>
      <c r="AF14" s="201" t="s">
        <v>18</v>
      </c>
    </row>
    <row r="15" spans="1:32" s="61" customFormat="1" x14ac:dyDescent="0.25">
      <c r="A15" s="106" t="str">
        <f>IF(ISBLANK(ClassInformation!C20),"ZZZZZ",ClassInformation!C20)</f>
        <v>Franciscus</v>
      </c>
      <c r="B15" s="107" t="str">
        <f>IF(ISBLANK(ClassInformation!D20),"ZZZZZ",ClassInformation!D20)</f>
        <v>Sonny</v>
      </c>
      <c r="C15" s="193"/>
      <c r="D15" s="192"/>
      <c r="E15" s="193"/>
      <c r="F15" s="192"/>
      <c r="G15" s="193"/>
      <c r="H15" s="192"/>
      <c r="I15" s="193"/>
      <c r="J15" s="192"/>
      <c r="K15" s="193"/>
      <c r="L15" s="192"/>
      <c r="M15" s="211"/>
      <c r="N15" s="212"/>
      <c r="O15" s="193"/>
      <c r="P15" s="192"/>
      <c r="Q15" s="193"/>
      <c r="R15" s="192"/>
      <c r="S15" s="193"/>
      <c r="T15" s="192"/>
      <c r="U15" s="193"/>
      <c r="V15" s="192"/>
      <c r="W15" s="218" t="str">
        <f t="shared" si="9"/>
        <v/>
      </c>
      <c r="X15" s="233" t="str">
        <f t="shared" si="10"/>
        <v/>
      </c>
      <c r="Y15" s="220" t="str">
        <f>IF(W15="","",VLOOKUP(X15,Table1[],2,TRUE))</f>
        <v/>
      </c>
      <c r="Z15" s="229" t="str">
        <f t="shared" si="11"/>
        <v/>
      </c>
      <c r="AA15" s="235" t="str">
        <f t="shared" si="13"/>
        <v/>
      </c>
      <c r="AB15" s="222" t="str">
        <f>IF(Z15="","",VLOOKUP(AA15,Table1[],2,TRUE))</f>
        <v/>
      </c>
      <c r="AC15" s="231" t="str">
        <f>IF(AND(X15="",AA15=""),"",IF(OR(X15="-",AA15="-"),"-",IF(AND(X$3&lt;&gt;0,AA$3&lt;&gt;0),VLOOKUP(AVERAGE(X15,AA15),Table1[],2,TRUE),IF(AND(X$3&lt;&gt;0,AA$3=0),Y15,AB15))))</f>
        <v/>
      </c>
      <c r="AD15" s="198"/>
      <c r="AE15" s="198" t="str">
        <f t="shared" si="12"/>
        <v/>
      </c>
      <c r="AF15" s="201" t="s">
        <v>18</v>
      </c>
    </row>
    <row r="16" spans="1:32" s="61" customFormat="1" x14ac:dyDescent="0.25">
      <c r="A16" s="106" t="str">
        <f>IF(ISBLANK(ClassInformation!C21),"ZZZZZ",ClassInformation!C21)</f>
        <v>Hamilton</v>
      </c>
      <c r="B16" s="107" t="str">
        <f>IF(ISBLANK(ClassInformation!D21),"ZZZZZ",ClassInformation!D21)</f>
        <v>Ella</v>
      </c>
      <c r="C16" s="193"/>
      <c r="D16" s="192"/>
      <c r="E16" s="193"/>
      <c r="F16" s="192"/>
      <c r="G16" s="193"/>
      <c r="H16" s="192"/>
      <c r="I16" s="193"/>
      <c r="J16" s="192"/>
      <c r="K16" s="193"/>
      <c r="L16" s="192"/>
      <c r="M16" s="211"/>
      <c r="N16" s="212"/>
      <c r="O16" s="193"/>
      <c r="P16" s="192"/>
      <c r="Q16" s="193"/>
      <c r="R16" s="192"/>
      <c r="S16" s="193"/>
      <c r="T16" s="192"/>
      <c r="U16" s="193"/>
      <c r="V16" s="192"/>
      <c r="W16" s="218" t="str">
        <f t="shared" si="9"/>
        <v/>
      </c>
      <c r="X16" s="233" t="str">
        <f t="shared" si="10"/>
        <v/>
      </c>
      <c r="Y16" s="220" t="str">
        <f>IF(W16="","",VLOOKUP(X16,Table1[],2,TRUE))</f>
        <v/>
      </c>
      <c r="Z16" s="229" t="str">
        <f t="shared" si="11"/>
        <v/>
      </c>
      <c r="AA16" s="235" t="str">
        <f t="shared" si="13"/>
        <v/>
      </c>
      <c r="AB16" s="222" t="str">
        <f>IF(Z16="","",VLOOKUP(AA16,Table1[],2,TRUE))</f>
        <v/>
      </c>
      <c r="AC16" s="231" t="str">
        <f>IF(AND(X16="",AA16=""),"",IF(OR(X16="-",AA16="-"),"-",IF(AND(X$3&lt;&gt;0,AA$3&lt;&gt;0),VLOOKUP(AVERAGE(X16,AA16),Table1[],2,TRUE),IF(AND(X$3&lt;&gt;0,AA$3=0),Y16,AB16))))</f>
        <v/>
      </c>
      <c r="AD16" s="198"/>
      <c r="AE16" s="198" t="str">
        <f t="shared" si="12"/>
        <v/>
      </c>
      <c r="AF16" s="201" t="s">
        <v>18</v>
      </c>
    </row>
    <row r="17" spans="1:32" s="61" customFormat="1" x14ac:dyDescent="0.25">
      <c r="A17" s="106" t="str">
        <f>IF(ISBLANK(ClassInformation!C22),"ZZZZZ",ClassInformation!C22)</f>
        <v>Harris</v>
      </c>
      <c r="B17" s="107" t="str">
        <f>IF(ISBLANK(ClassInformation!D22),"ZZZZZ",ClassInformation!D22)</f>
        <v>Emily</v>
      </c>
      <c r="C17" s="193"/>
      <c r="D17" s="192"/>
      <c r="E17" s="193"/>
      <c r="F17" s="192"/>
      <c r="G17" s="193"/>
      <c r="H17" s="192"/>
      <c r="I17" s="193"/>
      <c r="J17" s="192"/>
      <c r="K17" s="193"/>
      <c r="L17" s="192"/>
      <c r="M17" s="211"/>
      <c r="N17" s="212"/>
      <c r="O17" s="193"/>
      <c r="P17" s="192"/>
      <c r="Q17" s="193"/>
      <c r="R17" s="192"/>
      <c r="S17" s="193"/>
      <c r="T17" s="192"/>
      <c r="U17" s="193"/>
      <c r="V17" s="192"/>
      <c r="W17" s="218" t="str">
        <f t="shared" si="9"/>
        <v/>
      </c>
      <c r="X17" s="233" t="str">
        <f t="shared" si="10"/>
        <v/>
      </c>
      <c r="Y17" s="220" t="str">
        <f>IF(W17="","",VLOOKUP(X17,Table1[],2,TRUE))</f>
        <v/>
      </c>
      <c r="Z17" s="229" t="str">
        <f t="shared" si="11"/>
        <v/>
      </c>
      <c r="AA17" s="235" t="str">
        <f t="shared" si="13"/>
        <v/>
      </c>
      <c r="AB17" s="222" t="str">
        <f>IF(Z17="","",VLOOKUP(AA17,Table1[],2,TRUE))</f>
        <v/>
      </c>
      <c r="AC17" s="231" t="str">
        <f>IF(AND(X17="",AA17=""),"",IF(OR(X17="-",AA17="-"),"-",IF(AND(X$3&lt;&gt;0,AA$3&lt;&gt;0),VLOOKUP(AVERAGE(X17,AA17),Table1[],2,TRUE),IF(AND(X$3&lt;&gt;0,AA$3=0),Y17,AB17))))</f>
        <v/>
      </c>
      <c r="AD17" s="198"/>
      <c r="AE17" s="198" t="str">
        <f t="shared" si="12"/>
        <v/>
      </c>
      <c r="AF17" s="201" t="s">
        <v>18</v>
      </c>
    </row>
    <row r="18" spans="1:32" s="61" customFormat="1" x14ac:dyDescent="0.25">
      <c r="A18" s="106" t="str">
        <f>IF(ISBLANK(ClassInformation!C23),"ZZZZZ",ClassInformation!C23)</f>
        <v>Harvey</v>
      </c>
      <c r="B18" s="107" t="str">
        <f>IF(ISBLANK(ClassInformation!D23),"ZZZZZ",ClassInformation!D23)</f>
        <v>Isabel</v>
      </c>
      <c r="C18" s="193"/>
      <c r="D18" s="192"/>
      <c r="E18" s="193"/>
      <c r="F18" s="192"/>
      <c r="G18" s="193"/>
      <c r="H18" s="192"/>
      <c r="I18" s="193"/>
      <c r="J18" s="192"/>
      <c r="K18" s="193"/>
      <c r="L18" s="192"/>
      <c r="M18" s="211"/>
      <c r="N18" s="212"/>
      <c r="O18" s="193"/>
      <c r="P18" s="192"/>
      <c r="Q18" s="193"/>
      <c r="R18" s="192"/>
      <c r="S18" s="193"/>
      <c r="T18" s="192"/>
      <c r="U18" s="193"/>
      <c r="V18" s="192"/>
      <c r="W18" s="218" t="str">
        <f t="shared" si="9"/>
        <v/>
      </c>
      <c r="X18" s="233" t="str">
        <f t="shared" si="10"/>
        <v/>
      </c>
      <c r="Y18" s="220" t="str">
        <f>IF(W18="","",VLOOKUP(X18,Table1[],2,TRUE))</f>
        <v/>
      </c>
      <c r="Z18" s="229" t="str">
        <f t="shared" si="11"/>
        <v/>
      </c>
      <c r="AA18" s="235" t="str">
        <f t="shared" si="13"/>
        <v/>
      </c>
      <c r="AB18" s="222" t="str">
        <f>IF(Z18="","",VLOOKUP(AA18,Table1[],2,TRUE))</f>
        <v/>
      </c>
      <c r="AC18" s="231" t="str">
        <f>IF(AND(X18="",AA18=""),"",IF(OR(X18="-",AA18="-"),"-",IF(AND(X$3&lt;&gt;0,AA$3&lt;&gt;0),VLOOKUP(AVERAGE(X18,AA18),Table1[],2,TRUE),IF(AND(X$3&lt;&gt;0,AA$3=0),Y18,AB18))))</f>
        <v/>
      </c>
      <c r="AD18" s="198"/>
      <c r="AE18" s="198" t="str">
        <f t="shared" si="12"/>
        <v/>
      </c>
      <c r="AF18" s="201" t="s">
        <v>18</v>
      </c>
    </row>
    <row r="19" spans="1:32" s="61" customFormat="1" x14ac:dyDescent="0.25">
      <c r="A19" s="106" t="str">
        <f>IF(ISBLANK(ClassInformation!C24),"ZZZZZ",ClassInformation!C24)</f>
        <v>Macdonald</v>
      </c>
      <c r="B19" s="107" t="str">
        <f>IF(ISBLANK(ClassInformation!D24),"ZZZZZ",ClassInformation!D24)</f>
        <v>Dominic</v>
      </c>
      <c r="C19" s="193"/>
      <c r="D19" s="192"/>
      <c r="E19" s="193"/>
      <c r="F19" s="192"/>
      <c r="G19" s="193"/>
      <c r="H19" s="192"/>
      <c r="I19" s="193"/>
      <c r="J19" s="192"/>
      <c r="K19" s="193"/>
      <c r="L19" s="192"/>
      <c r="M19" s="211"/>
      <c r="N19" s="212"/>
      <c r="O19" s="193"/>
      <c r="P19" s="192"/>
      <c r="Q19" s="193"/>
      <c r="R19" s="192"/>
      <c r="S19" s="193"/>
      <c r="T19" s="192"/>
      <c r="U19" s="193"/>
      <c r="V19" s="192"/>
      <c r="W19" s="218" t="str">
        <f t="shared" si="9"/>
        <v/>
      </c>
      <c r="X19" s="233" t="str">
        <f t="shared" si="10"/>
        <v/>
      </c>
      <c r="Y19" s="220" t="str">
        <f>IF(W19="","",VLOOKUP(X19,Table1[],2,TRUE))</f>
        <v/>
      </c>
      <c r="Z19" s="229" t="str">
        <f t="shared" si="11"/>
        <v/>
      </c>
      <c r="AA19" s="235" t="str">
        <f t="shared" si="13"/>
        <v/>
      </c>
      <c r="AB19" s="222" t="str">
        <f>IF(Z19="","",VLOOKUP(AA19,Table1[],2,TRUE))</f>
        <v/>
      </c>
      <c r="AC19" s="231" t="str">
        <f>IF(AND(X19="",AA19=""),"",IF(OR(X19="-",AA19="-"),"-",IF(AND(X$3&lt;&gt;0,AA$3&lt;&gt;0),VLOOKUP(AVERAGE(X19,AA19),Table1[],2,TRUE),IF(AND(X$3&lt;&gt;0,AA$3=0),Y19,AB19))))</f>
        <v/>
      </c>
      <c r="AD19" s="198"/>
      <c r="AE19" s="198" t="str">
        <f t="shared" si="12"/>
        <v/>
      </c>
      <c r="AF19" s="201" t="s">
        <v>18</v>
      </c>
    </row>
    <row r="20" spans="1:32" s="61" customFormat="1" x14ac:dyDescent="0.25">
      <c r="A20" s="106" t="str">
        <f>IF(ISBLANK(ClassInformation!C25),"ZZZZZ",ClassInformation!C25)</f>
        <v>Manolis</v>
      </c>
      <c r="B20" s="107" t="str">
        <f>IF(ISBLANK(ClassInformation!D25),"ZZZZZ",ClassInformation!D25)</f>
        <v>India</v>
      </c>
      <c r="C20" s="193"/>
      <c r="D20" s="192"/>
      <c r="E20" s="193"/>
      <c r="F20" s="192"/>
      <c r="G20" s="193"/>
      <c r="H20" s="192"/>
      <c r="I20" s="193"/>
      <c r="J20" s="192"/>
      <c r="K20" s="193"/>
      <c r="L20" s="192"/>
      <c r="M20" s="211"/>
      <c r="N20" s="212"/>
      <c r="O20" s="193"/>
      <c r="P20" s="192"/>
      <c r="Q20" s="193"/>
      <c r="R20" s="192"/>
      <c r="S20" s="193"/>
      <c r="T20" s="192"/>
      <c r="U20" s="193"/>
      <c r="V20" s="192"/>
      <c r="W20" s="218" t="str">
        <f t="shared" si="9"/>
        <v/>
      </c>
      <c r="X20" s="233" t="str">
        <f t="shared" si="10"/>
        <v/>
      </c>
      <c r="Y20" s="220" t="str">
        <f>IF(W20="","",VLOOKUP(X20,Table1[],2,TRUE))</f>
        <v/>
      </c>
      <c r="Z20" s="229" t="str">
        <f t="shared" si="11"/>
        <v/>
      </c>
      <c r="AA20" s="235" t="str">
        <f t="shared" si="13"/>
        <v/>
      </c>
      <c r="AB20" s="222" t="str">
        <f>IF(Z20="","",VLOOKUP(AA20,Table1[],2,TRUE))</f>
        <v/>
      </c>
      <c r="AC20" s="231" t="str">
        <f>IF(AND(X20="",AA20=""),"",IF(OR(X20="-",AA20="-"),"-",IF(AND(X$3&lt;&gt;0,AA$3&lt;&gt;0),VLOOKUP(AVERAGE(X20,AA20),Table1[],2,TRUE),IF(AND(X$3&lt;&gt;0,AA$3=0),Y20,AB20))))</f>
        <v/>
      </c>
      <c r="AD20" s="198"/>
      <c r="AE20" s="198" t="str">
        <f t="shared" si="12"/>
        <v/>
      </c>
      <c r="AF20" s="201" t="s">
        <v>18</v>
      </c>
    </row>
    <row r="21" spans="1:32" s="61" customFormat="1" x14ac:dyDescent="0.25">
      <c r="A21" s="106" t="str">
        <f>IF(ISBLANK(ClassInformation!C26),"ZZZZZ",ClassInformation!C26)</f>
        <v>Milton</v>
      </c>
      <c r="B21" s="107" t="str">
        <f>IF(ISBLANK(ClassInformation!D26),"ZZZZZ",ClassInformation!D26)</f>
        <v>Charlie</v>
      </c>
      <c r="C21" s="193"/>
      <c r="D21" s="192"/>
      <c r="E21" s="193"/>
      <c r="F21" s="192"/>
      <c r="G21" s="193"/>
      <c r="H21" s="192"/>
      <c r="I21" s="193"/>
      <c r="J21" s="192"/>
      <c r="K21" s="193"/>
      <c r="L21" s="192"/>
      <c r="M21" s="211"/>
      <c r="N21" s="212"/>
      <c r="O21" s="193"/>
      <c r="P21" s="192"/>
      <c r="Q21" s="193"/>
      <c r="R21" s="192"/>
      <c r="S21" s="193"/>
      <c r="T21" s="192"/>
      <c r="U21" s="193"/>
      <c r="V21" s="192"/>
      <c r="W21" s="218" t="str">
        <f t="shared" si="9"/>
        <v/>
      </c>
      <c r="X21" s="233" t="str">
        <f t="shared" si="10"/>
        <v/>
      </c>
      <c r="Y21" s="220" t="str">
        <f>IF(W21="","",VLOOKUP(X21,Table1[],2,TRUE))</f>
        <v/>
      </c>
      <c r="Z21" s="229" t="str">
        <f t="shared" si="11"/>
        <v/>
      </c>
      <c r="AA21" s="235" t="str">
        <f t="shared" si="13"/>
        <v/>
      </c>
      <c r="AB21" s="222" t="str">
        <f>IF(Z21="","",VLOOKUP(AA21,Table1[],2,TRUE))</f>
        <v/>
      </c>
      <c r="AC21" s="231" t="str">
        <f>IF(AND(X21="",AA21=""),"",IF(OR(X21="-",AA21="-"),"-",IF(AND(X$3&lt;&gt;0,AA$3&lt;&gt;0),VLOOKUP(AVERAGE(X21,AA21),Table1[],2,TRUE),IF(AND(X$3&lt;&gt;0,AA$3=0),Y21,AB21))))</f>
        <v/>
      </c>
      <c r="AD21" s="198"/>
      <c r="AE21" s="198" t="str">
        <f t="shared" si="12"/>
        <v/>
      </c>
      <c r="AF21" s="201" t="s">
        <v>18</v>
      </c>
    </row>
    <row r="22" spans="1:32" s="61" customFormat="1" x14ac:dyDescent="0.25">
      <c r="A22" s="106" t="str">
        <f>IF(ISBLANK(ClassInformation!C27),"ZZZZZ",ClassInformation!C27)</f>
        <v>Olguin</v>
      </c>
      <c r="B22" s="107" t="str">
        <f>IF(ISBLANK(ClassInformation!D27),"ZZZZZ",ClassInformation!D27)</f>
        <v>Scarlett</v>
      </c>
      <c r="C22" s="193"/>
      <c r="D22" s="192"/>
      <c r="E22" s="193"/>
      <c r="F22" s="192"/>
      <c r="G22" s="193"/>
      <c r="H22" s="192"/>
      <c r="I22" s="193"/>
      <c r="J22" s="192"/>
      <c r="K22" s="193"/>
      <c r="L22" s="192"/>
      <c r="M22" s="211"/>
      <c r="N22" s="212"/>
      <c r="O22" s="193"/>
      <c r="P22" s="192"/>
      <c r="Q22" s="193"/>
      <c r="R22" s="192"/>
      <c r="S22" s="193"/>
      <c r="T22" s="192"/>
      <c r="U22" s="193"/>
      <c r="V22" s="192"/>
      <c r="W22" s="218" t="str">
        <f t="shared" si="9"/>
        <v/>
      </c>
      <c r="X22" s="233" t="str">
        <f t="shared" si="10"/>
        <v/>
      </c>
      <c r="Y22" s="220" t="str">
        <f>IF(W22="","",VLOOKUP(X22,Table1[],2,TRUE))</f>
        <v/>
      </c>
      <c r="Z22" s="229" t="str">
        <f t="shared" si="11"/>
        <v/>
      </c>
      <c r="AA22" s="235" t="str">
        <f t="shared" si="13"/>
        <v/>
      </c>
      <c r="AB22" s="222" t="str">
        <f>IF(Z22="","",VLOOKUP(AA22,Table1[],2,TRUE))</f>
        <v/>
      </c>
      <c r="AC22" s="231" t="str">
        <f>IF(AND(X22="",AA22=""),"",IF(OR(X22="-",AA22="-"),"-",IF(AND(X$3&lt;&gt;0,AA$3&lt;&gt;0),VLOOKUP(AVERAGE(X22,AA22),Table1[],2,TRUE),IF(AND(X$3&lt;&gt;0,AA$3=0),Y22,AB22))))</f>
        <v/>
      </c>
      <c r="AD22" s="198"/>
      <c r="AE22" s="198" t="str">
        <f t="shared" si="12"/>
        <v/>
      </c>
      <c r="AF22" s="201" t="s">
        <v>18</v>
      </c>
    </row>
    <row r="23" spans="1:32" s="61" customFormat="1" x14ac:dyDescent="0.25">
      <c r="A23" s="106" t="str">
        <f>IF(ISBLANK(ClassInformation!C28),"ZZZZZ",ClassInformation!C28)</f>
        <v>Pardon</v>
      </c>
      <c r="B23" s="107" t="str">
        <f>IF(ISBLANK(ClassInformation!D28),"ZZZZZ",ClassInformation!D28)</f>
        <v>Harmony</v>
      </c>
      <c r="C23" s="193"/>
      <c r="D23" s="192"/>
      <c r="E23" s="193"/>
      <c r="F23" s="192"/>
      <c r="G23" s="193"/>
      <c r="H23" s="192"/>
      <c r="I23" s="193"/>
      <c r="J23" s="192"/>
      <c r="K23" s="193"/>
      <c r="L23" s="192"/>
      <c r="M23" s="211"/>
      <c r="N23" s="212"/>
      <c r="O23" s="193"/>
      <c r="P23" s="192"/>
      <c r="Q23" s="193"/>
      <c r="R23" s="192"/>
      <c r="S23" s="193"/>
      <c r="T23" s="192"/>
      <c r="U23" s="193"/>
      <c r="V23" s="192"/>
      <c r="W23" s="218" t="str">
        <f t="shared" si="9"/>
        <v/>
      </c>
      <c r="X23" s="233" t="str">
        <f t="shared" si="10"/>
        <v/>
      </c>
      <c r="Y23" s="220" t="str">
        <f>IF(W23="","",VLOOKUP(X23,Table1[],2,TRUE))</f>
        <v/>
      </c>
      <c r="Z23" s="229" t="str">
        <f t="shared" si="11"/>
        <v/>
      </c>
      <c r="AA23" s="235" t="str">
        <f t="shared" si="13"/>
        <v/>
      </c>
      <c r="AB23" s="222" t="str">
        <f>IF(Z23="","",VLOOKUP(AA23,Table1[],2,TRUE))</f>
        <v/>
      </c>
      <c r="AC23" s="231" t="str">
        <f>IF(AND(X23="",AA23=""),"",IF(OR(X23="-",AA23="-"),"-",IF(AND(X$3&lt;&gt;0,AA$3&lt;&gt;0),VLOOKUP(AVERAGE(X23,AA23),Table1[],2,TRUE),IF(AND(X$3&lt;&gt;0,AA$3=0),Y23,AB23))))</f>
        <v/>
      </c>
      <c r="AD23" s="198"/>
      <c r="AE23" s="198" t="str">
        <f t="shared" si="12"/>
        <v/>
      </c>
      <c r="AF23" s="201" t="s">
        <v>18</v>
      </c>
    </row>
    <row r="24" spans="1:32" s="61" customFormat="1" x14ac:dyDescent="0.25">
      <c r="A24" s="106" t="str">
        <f>IF(ISBLANK(ClassInformation!C29),"ZZZZZ",ClassInformation!C29)</f>
        <v>Romero</v>
      </c>
      <c r="B24" s="107" t="str">
        <f>IF(ISBLANK(ClassInformation!D29),"ZZZZZ",ClassInformation!D29)</f>
        <v>Rubens</v>
      </c>
      <c r="C24" s="193"/>
      <c r="D24" s="192"/>
      <c r="E24" s="193"/>
      <c r="F24" s="192"/>
      <c r="G24" s="193"/>
      <c r="H24" s="192"/>
      <c r="I24" s="193"/>
      <c r="J24" s="192"/>
      <c r="K24" s="193"/>
      <c r="L24" s="192"/>
      <c r="M24" s="211"/>
      <c r="N24" s="212"/>
      <c r="O24" s="193"/>
      <c r="P24" s="192"/>
      <c r="Q24" s="193"/>
      <c r="R24" s="192"/>
      <c r="S24" s="193"/>
      <c r="T24" s="192"/>
      <c r="U24" s="193"/>
      <c r="V24" s="192"/>
      <c r="W24" s="218" t="str">
        <f t="shared" si="9"/>
        <v/>
      </c>
      <c r="X24" s="233" t="str">
        <f t="shared" si="10"/>
        <v/>
      </c>
      <c r="Y24" s="220" t="str">
        <f>IF(W24="","",VLOOKUP(X24,Table1[],2,TRUE))</f>
        <v/>
      </c>
      <c r="Z24" s="229" t="str">
        <f t="shared" si="11"/>
        <v/>
      </c>
      <c r="AA24" s="235" t="str">
        <f t="shared" si="13"/>
        <v/>
      </c>
      <c r="AB24" s="222" t="str">
        <f>IF(Z24="","",VLOOKUP(AA24,Table1[],2,TRUE))</f>
        <v/>
      </c>
      <c r="AC24" s="231" t="str">
        <f>IF(AND(X24="",AA24=""),"",IF(OR(X24="-",AA24="-"),"-",IF(AND(X$3&lt;&gt;0,AA$3&lt;&gt;0),VLOOKUP(AVERAGE(X24,AA24),Table1[],2,TRUE),IF(AND(X$3&lt;&gt;0,AA$3=0),Y24,AB24))))</f>
        <v/>
      </c>
      <c r="AD24" s="198"/>
      <c r="AE24" s="198" t="str">
        <f t="shared" si="12"/>
        <v/>
      </c>
      <c r="AF24" s="201" t="s">
        <v>18</v>
      </c>
    </row>
    <row r="25" spans="1:32" s="61" customFormat="1" x14ac:dyDescent="0.25">
      <c r="A25" s="106" t="str">
        <f>IF(ISBLANK(ClassInformation!C30),"ZZZZZ",ClassInformation!C30)</f>
        <v>Sarzynska</v>
      </c>
      <c r="B25" s="107" t="str">
        <f>IF(ISBLANK(ClassInformation!D30),"ZZZZZ",ClassInformation!D30)</f>
        <v>Nikola</v>
      </c>
      <c r="C25" s="193"/>
      <c r="D25" s="192"/>
      <c r="E25" s="193"/>
      <c r="F25" s="192"/>
      <c r="G25" s="193"/>
      <c r="H25" s="192"/>
      <c r="I25" s="193"/>
      <c r="J25" s="192"/>
      <c r="K25" s="193"/>
      <c r="L25" s="192"/>
      <c r="M25" s="211"/>
      <c r="N25" s="212"/>
      <c r="O25" s="193"/>
      <c r="P25" s="192"/>
      <c r="Q25" s="193"/>
      <c r="R25" s="192"/>
      <c r="S25" s="193"/>
      <c r="T25" s="192"/>
      <c r="U25" s="193"/>
      <c r="V25" s="192"/>
      <c r="W25" s="218" t="str">
        <f t="shared" si="9"/>
        <v/>
      </c>
      <c r="X25" s="233" t="str">
        <f t="shared" si="10"/>
        <v/>
      </c>
      <c r="Y25" s="220" t="str">
        <f>IF(W25="","",VLOOKUP(X25,Table1[],2,TRUE))</f>
        <v/>
      </c>
      <c r="Z25" s="229" t="str">
        <f t="shared" si="11"/>
        <v/>
      </c>
      <c r="AA25" s="235" t="str">
        <f t="shared" si="13"/>
        <v/>
      </c>
      <c r="AB25" s="222" t="str">
        <f>IF(Z25="","",VLOOKUP(AA25,Table1[],2,TRUE))</f>
        <v/>
      </c>
      <c r="AC25" s="231" t="str">
        <f>IF(AND(X25="",AA25=""),"",IF(OR(X25="-",AA25="-"),"-",IF(AND(X$3&lt;&gt;0,AA$3&lt;&gt;0),VLOOKUP(AVERAGE(X25,AA25),Table1[],2,TRUE),IF(AND(X$3&lt;&gt;0,AA$3=0),Y25,AB25))))</f>
        <v/>
      </c>
      <c r="AD25" s="198"/>
      <c r="AE25" s="198" t="str">
        <f t="shared" si="12"/>
        <v/>
      </c>
      <c r="AF25" s="201" t="s">
        <v>18</v>
      </c>
    </row>
    <row r="26" spans="1:32" s="61" customFormat="1" x14ac:dyDescent="0.25">
      <c r="A26" s="106" t="str">
        <f>IF(ISBLANK(ClassInformation!C31),"ZZZZZ",ClassInformation!C31)</f>
        <v>Taylor</v>
      </c>
      <c r="B26" s="107" t="str">
        <f>IF(ISBLANK(ClassInformation!D31),"ZZZZZ",ClassInformation!D31)</f>
        <v>Rohan</v>
      </c>
      <c r="C26" s="193"/>
      <c r="D26" s="192"/>
      <c r="E26" s="193"/>
      <c r="F26" s="192"/>
      <c r="G26" s="193"/>
      <c r="H26" s="192"/>
      <c r="I26" s="193"/>
      <c r="J26" s="192"/>
      <c r="K26" s="193"/>
      <c r="L26" s="192"/>
      <c r="M26" s="211"/>
      <c r="N26" s="212"/>
      <c r="O26" s="193"/>
      <c r="P26" s="192"/>
      <c r="Q26" s="193"/>
      <c r="R26" s="192"/>
      <c r="S26" s="193"/>
      <c r="T26" s="192"/>
      <c r="U26" s="193"/>
      <c r="V26" s="192"/>
      <c r="W26" s="218" t="str">
        <f t="shared" si="9"/>
        <v/>
      </c>
      <c r="X26" s="233" t="str">
        <f t="shared" si="10"/>
        <v/>
      </c>
      <c r="Y26" s="220" t="str">
        <f>IF(W26="","",VLOOKUP(X26,Table1[],2,TRUE))</f>
        <v/>
      </c>
      <c r="Z26" s="229" t="str">
        <f t="shared" si="11"/>
        <v/>
      </c>
      <c r="AA26" s="235" t="str">
        <f t="shared" si="13"/>
        <v/>
      </c>
      <c r="AB26" s="222" t="str">
        <f>IF(Z26="","",VLOOKUP(AA26,Table1[],2,TRUE))</f>
        <v/>
      </c>
      <c r="AC26" s="231" t="str">
        <f>IF(AND(X26="",AA26=""),"",IF(OR(X26="-",AA26="-"),"-",IF(AND(X$3&lt;&gt;0,AA$3&lt;&gt;0),VLOOKUP(AVERAGE(X26,AA26),Table1[],2,TRUE),IF(AND(X$3&lt;&gt;0,AA$3=0),Y26,AB26))))</f>
        <v/>
      </c>
      <c r="AD26" s="198"/>
      <c r="AE26" s="198" t="str">
        <f t="shared" si="12"/>
        <v/>
      </c>
      <c r="AF26" s="201" t="s">
        <v>18</v>
      </c>
    </row>
    <row r="27" spans="1:32" s="61" customFormat="1" x14ac:dyDescent="0.25">
      <c r="A27" s="106" t="str">
        <f>IF(ISBLANK(ClassInformation!C32),"ZZZZZ",ClassInformation!C32)</f>
        <v>Thangeswaran</v>
      </c>
      <c r="B27" s="107" t="str">
        <f>IF(ISBLANK(ClassInformation!D32),"ZZZZZ",ClassInformation!D32)</f>
        <v>Shesuthan</v>
      </c>
      <c r="C27" s="193"/>
      <c r="D27" s="192"/>
      <c r="E27" s="193"/>
      <c r="F27" s="192"/>
      <c r="G27" s="193"/>
      <c r="H27" s="192"/>
      <c r="I27" s="193"/>
      <c r="J27" s="192"/>
      <c r="K27" s="193"/>
      <c r="L27" s="192"/>
      <c r="M27" s="211"/>
      <c r="N27" s="212"/>
      <c r="O27" s="193"/>
      <c r="P27" s="192"/>
      <c r="Q27" s="193"/>
      <c r="R27" s="192"/>
      <c r="S27" s="193"/>
      <c r="T27" s="192"/>
      <c r="U27" s="193"/>
      <c r="V27" s="192"/>
      <c r="W27" s="218" t="str">
        <f t="shared" si="9"/>
        <v/>
      </c>
      <c r="X27" s="233" t="str">
        <f t="shared" si="10"/>
        <v/>
      </c>
      <c r="Y27" s="220" t="str">
        <f>IF(W27="","",VLOOKUP(X27,Table1[],2,TRUE))</f>
        <v/>
      </c>
      <c r="Z27" s="229" t="str">
        <f t="shared" si="11"/>
        <v/>
      </c>
      <c r="AA27" s="235" t="str">
        <f t="shared" si="13"/>
        <v/>
      </c>
      <c r="AB27" s="222" t="str">
        <f>IF(Z27="","",VLOOKUP(AA27,Table1[],2,TRUE))</f>
        <v/>
      </c>
      <c r="AC27" s="231" t="str">
        <f>IF(AND(X27="",AA27=""),"",IF(OR(X27="-",AA27="-"),"-",IF(AND(X$3&lt;&gt;0,AA$3&lt;&gt;0),VLOOKUP(AVERAGE(X27,AA27),Table1[],2,TRUE),IF(AND(X$3&lt;&gt;0,AA$3=0),Y27,AB27))))</f>
        <v/>
      </c>
      <c r="AD27" s="198"/>
      <c r="AE27" s="198" t="str">
        <f t="shared" si="12"/>
        <v/>
      </c>
      <c r="AF27" s="201" t="s">
        <v>18</v>
      </c>
    </row>
    <row r="28" spans="1:32" s="61" customFormat="1" x14ac:dyDescent="0.25">
      <c r="A28" s="106" t="str">
        <f>IF(ISBLANK(ClassInformation!C33),"ZZZZZ",ClassInformation!C33)</f>
        <v>Thompson</v>
      </c>
      <c r="B28" s="107" t="str">
        <f>IF(ISBLANK(ClassInformation!D33),"ZZZZZ",ClassInformation!D33)</f>
        <v>Benjamin</v>
      </c>
      <c r="C28" s="193"/>
      <c r="D28" s="192"/>
      <c r="E28" s="193"/>
      <c r="F28" s="192"/>
      <c r="G28" s="193"/>
      <c r="H28" s="192"/>
      <c r="I28" s="193"/>
      <c r="J28" s="192"/>
      <c r="K28" s="193"/>
      <c r="L28" s="192"/>
      <c r="M28" s="211"/>
      <c r="N28" s="212"/>
      <c r="O28" s="193"/>
      <c r="P28" s="192"/>
      <c r="Q28" s="193"/>
      <c r="R28" s="192"/>
      <c r="S28" s="193"/>
      <c r="T28" s="192"/>
      <c r="U28" s="193"/>
      <c r="V28" s="192"/>
      <c r="W28" s="218" t="str">
        <f t="shared" si="9"/>
        <v/>
      </c>
      <c r="X28" s="233" t="str">
        <f t="shared" si="10"/>
        <v/>
      </c>
      <c r="Y28" s="220" t="str">
        <f>IF(W28="","",VLOOKUP(X28,Table1[],2,TRUE))</f>
        <v/>
      </c>
      <c r="Z28" s="229" t="str">
        <f t="shared" si="11"/>
        <v/>
      </c>
      <c r="AA28" s="235" t="str">
        <f t="shared" si="13"/>
        <v/>
      </c>
      <c r="AB28" s="222" t="str">
        <f>IF(Z28="","",VLOOKUP(AA28,Table1[],2,TRUE))</f>
        <v/>
      </c>
      <c r="AC28" s="231" t="str">
        <f>IF(AND(X28="",AA28=""),"",IF(OR(X28="-",AA28="-"),"-",IF(AND(X$3&lt;&gt;0,AA$3&lt;&gt;0),VLOOKUP(AVERAGE(X28,AA28),Table1[],2,TRUE),IF(AND(X$3&lt;&gt;0,AA$3=0),Y28,AB28))))</f>
        <v/>
      </c>
      <c r="AD28" s="198"/>
      <c r="AE28" s="198" t="str">
        <f t="shared" si="12"/>
        <v/>
      </c>
      <c r="AF28" s="201" t="s">
        <v>18</v>
      </c>
    </row>
    <row r="29" spans="1:32" s="61" customFormat="1" x14ac:dyDescent="0.25">
      <c r="A29" s="106" t="str">
        <f>IF(ISBLANK(ClassInformation!C34),"ZZZZZ",ClassInformation!C34)</f>
        <v>Yakimoff-Minge</v>
      </c>
      <c r="B29" s="107" t="str">
        <f>IF(ISBLANK(ClassInformation!D34),"ZZZZZ",ClassInformation!D34)</f>
        <v>Lliam</v>
      </c>
      <c r="C29" s="193"/>
      <c r="D29" s="192"/>
      <c r="E29" s="193"/>
      <c r="F29" s="192"/>
      <c r="G29" s="193"/>
      <c r="H29" s="192"/>
      <c r="I29" s="193"/>
      <c r="J29" s="192"/>
      <c r="K29" s="193"/>
      <c r="L29" s="192"/>
      <c r="M29" s="211"/>
      <c r="N29" s="212"/>
      <c r="O29" s="193"/>
      <c r="P29" s="192"/>
      <c r="Q29" s="193"/>
      <c r="R29" s="192"/>
      <c r="S29" s="193"/>
      <c r="T29" s="192"/>
      <c r="U29" s="193"/>
      <c r="V29" s="192"/>
      <c r="W29" s="218" t="str">
        <f t="shared" si="9"/>
        <v/>
      </c>
      <c r="X29" s="233" t="str">
        <f t="shared" si="10"/>
        <v/>
      </c>
      <c r="Y29" s="220" t="str">
        <f>IF(W29="","",VLOOKUP(X29,Table1[],2,TRUE))</f>
        <v/>
      </c>
      <c r="Z29" s="229" t="str">
        <f t="shared" si="11"/>
        <v/>
      </c>
      <c r="AA29" s="235" t="str">
        <f t="shared" si="13"/>
        <v/>
      </c>
      <c r="AB29" s="222" t="str">
        <f>IF(Z29="","",VLOOKUP(AA29,Table1[],2,TRUE))</f>
        <v/>
      </c>
      <c r="AC29" s="231" t="str">
        <f>IF(AND(X29="",AA29=""),"",IF(OR(X29="-",AA29="-"),"-",IF(AND(X$3&lt;&gt;0,AA$3&lt;&gt;0),VLOOKUP(AVERAGE(X29,AA29),Table1[],2,TRUE),IF(AND(X$3&lt;&gt;0,AA$3=0),Y29,AB29))))</f>
        <v/>
      </c>
      <c r="AD29" s="198"/>
      <c r="AE29" s="198" t="str">
        <f t="shared" si="12"/>
        <v/>
      </c>
      <c r="AF29" s="201" t="s">
        <v>18</v>
      </c>
    </row>
    <row r="30" spans="1:32" s="61" customFormat="1" x14ac:dyDescent="0.25">
      <c r="A30" s="106" t="str">
        <f>IF(ISBLANK(ClassInformation!C35),"ZZZZZ",ClassInformation!C35)</f>
        <v>Amery</v>
      </c>
      <c r="B30" s="107" t="str">
        <f>IF(ISBLANK(ClassInformation!D35),"ZZZZZ",ClassInformation!D35)</f>
        <v>A</v>
      </c>
      <c r="C30" s="193"/>
      <c r="D30" s="192"/>
      <c r="E30" s="193"/>
      <c r="F30" s="192"/>
      <c r="G30" s="193"/>
      <c r="H30" s="192"/>
      <c r="I30" s="193"/>
      <c r="J30" s="192"/>
      <c r="K30" s="193"/>
      <c r="L30" s="192"/>
      <c r="M30" s="211"/>
      <c r="N30" s="212"/>
      <c r="O30" s="193"/>
      <c r="P30" s="192"/>
      <c r="Q30" s="193"/>
      <c r="R30" s="192"/>
      <c r="S30" s="193"/>
      <c r="T30" s="192"/>
      <c r="U30" s="193"/>
      <c r="V30" s="192"/>
      <c r="W30" s="218" t="str">
        <f t="shared" si="9"/>
        <v/>
      </c>
      <c r="X30" s="233" t="str">
        <f t="shared" si="10"/>
        <v/>
      </c>
      <c r="Y30" s="220" t="str">
        <f>IF(W30="","",VLOOKUP(X30,Table1[],2,TRUE))</f>
        <v/>
      </c>
      <c r="Z30" s="229" t="str">
        <f t="shared" si="11"/>
        <v/>
      </c>
      <c r="AA30" s="235" t="str">
        <f t="shared" si="13"/>
        <v/>
      </c>
      <c r="AB30" s="222" t="str">
        <f>IF(Z30="","",VLOOKUP(AA30,Table1[],2,TRUE))</f>
        <v/>
      </c>
      <c r="AC30" s="231" t="str">
        <f>IF(AND(X30="",AA30=""),"",IF(OR(X30="-",AA30="-"),"-",IF(AND(X$3&lt;&gt;0,AA$3&lt;&gt;0),VLOOKUP(AVERAGE(X30,AA30),Table1[],2,TRUE),IF(AND(X$3&lt;&gt;0,AA$3=0),Y30,AB30))))</f>
        <v/>
      </c>
      <c r="AD30" s="198"/>
      <c r="AE30" s="198" t="str">
        <f t="shared" si="12"/>
        <v/>
      </c>
      <c r="AF30" s="201" t="s">
        <v>18</v>
      </c>
    </row>
    <row r="31" spans="1:32" s="61" customFormat="1" x14ac:dyDescent="0.25">
      <c r="A31" s="106" t="str">
        <f>IF(ISBLANK(ClassInformation!C36),"ZZZZZ",ClassInformation!C36)</f>
        <v>ZZZZZ</v>
      </c>
      <c r="B31" s="107" t="str">
        <f>IF(ISBLANK(ClassInformation!D36),"ZZZZZ",ClassInformation!D36)</f>
        <v>ZZZZZ</v>
      </c>
      <c r="C31" s="193"/>
      <c r="D31" s="192"/>
      <c r="E31" s="193"/>
      <c r="F31" s="192"/>
      <c r="G31" s="193"/>
      <c r="H31" s="192"/>
      <c r="I31" s="193"/>
      <c r="J31" s="192"/>
      <c r="K31" s="193"/>
      <c r="L31" s="192"/>
      <c r="M31" s="211"/>
      <c r="N31" s="212"/>
      <c r="O31" s="193"/>
      <c r="P31" s="192"/>
      <c r="Q31" s="193"/>
      <c r="R31" s="192"/>
      <c r="S31" s="193"/>
      <c r="T31" s="192"/>
      <c r="U31" s="193"/>
      <c r="V31" s="192"/>
      <c r="W31" s="218" t="str">
        <f t="shared" si="9"/>
        <v/>
      </c>
      <c r="X31" s="233" t="str">
        <f t="shared" si="10"/>
        <v/>
      </c>
      <c r="Y31" s="220" t="str">
        <f>IF(W31="","",VLOOKUP(X31,Table1[],2,TRUE))</f>
        <v/>
      </c>
      <c r="Z31" s="229" t="str">
        <f t="shared" si="11"/>
        <v/>
      </c>
      <c r="AA31" s="235" t="str">
        <f t="shared" si="13"/>
        <v/>
      </c>
      <c r="AB31" s="222" t="str">
        <f>IF(Z31="","",VLOOKUP(AA31,Table1[],2,TRUE))</f>
        <v/>
      </c>
      <c r="AC31" s="231" t="str">
        <f>IF(AND(X31="",AA31=""),"",IF(OR(X31="-",AA31="-"),"-",IF(AND(X$3&lt;&gt;0,AA$3&lt;&gt;0),VLOOKUP(AVERAGE(X31,AA31),Table1[],2,TRUE),IF(AND(X$3&lt;&gt;0,AA$3=0),Y31,AB31))))</f>
        <v/>
      </c>
      <c r="AD31" s="198"/>
      <c r="AE31" s="198" t="str">
        <f t="shared" si="12"/>
        <v/>
      </c>
      <c r="AF31" s="201" t="s">
        <v>18</v>
      </c>
    </row>
    <row r="32" spans="1:32" s="61" customFormat="1" x14ac:dyDescent="0.25">
      <c r="A32" s="106" t="str">
        <f>IF(ISBLANK(ClassInformation!C37),"ZZZZZ",ClassInformation!C37)</f>
        <v>ZZZZZ</v>
      </c>
      <c r="B32" s="107" t="str">
        <f>IF(ISBLANK(ClassInformation!D37),"ZZZZZ",ClassInformation!D37)</f>
        <v>ZZZZZ</v>
      </c>
      <c r="C32" s="193"/>
      <c r="D32" s="192"/>
      <c r="E32" s="193"/>
      <c r="F32" s="192"/>
      <c r="G32" s="193"/>
      <c r="H32" s="192"/>
      <c r="I32" s="193"/>
      <c r="J32" s="192"/>
      <c r="K32" s="193"/>
      <c r="L32" s="192"/>
      <c r="M32" s="211"/>
      <c r="N32" s="212"/>
      <c r="O32" s="193"/>
      <c r="P32" s="192"/>
      <c r="Q32" s="193"/>
      <c r="R32" s="192"/>
      <c r="S32" s="193"/>
      <c r="T32" s="192"/>
      <c r="U32" s="193"/>
      <c r="V32" s="192"/>
      <c r="W32" s="218" t="str">
        <f t="shared" si="9"/>
        <v/>
      </c>
      <c r="X32" s="233" t="str">
        <f t="shared" si="10"/>
        <v/>
      </c>
      <c r="Y32" s="220" t="str">
        <f>IF(W32="","",VLOOKUP(X32,Table1[],2,TRUE))</f>
        <v/>
      </c>
      <c r="Z32" s="229" t="str">
        <f t="shared" si="11"/>
        <v/>
      </c>
      <c r="AA32" s="235" t="str">
        <f t="shared" si="13"/>
        <v/>
      </c>
      <c r="AB32" s="222" t="str">
        <f>IF(Z32="","",VLOOKUP(AA32,Table1[],2,TRUE))</f>
        <v/>
      </c>
      <c r="AC32" s="231" t="str">
        <f>IF(AND(X32="",AA32=""),"",IF(OR(X32="-",AA32="-"),"-",IF(AND(X$3&lt;&gt;0,AA$3&lt;&gt;0),VLOOKUP(AVERAGE(X32,AA32),Table1[],2,TRUE),IF(AND(X$3&lt;&gt;0,AA$3=0),Y32,AB32))))</f>
        <v/>
      </c>
      <c r="AD32" s="198"/>
      <c r="AE32" s="198" t="str">
        <f t="shared" si="12"/>
        <v/>
      </c>
      <c r="AF32" s="201" t="s">
        <v>18</v>
      </c>
    </row>
    <row r="33" spans="1:32" s="61" customFormat="1" x14ac:dyDescent="0.25">
      <c r="A33" s="106" t="str">
        <f>IF(ISBLANK(ClassInformation!C38),"ZZZZZ",ClassInformation!C38)</f>
        <v>ZZZZZ</v>
      </c>
      <c r="B33" s="107" t="str">
        <f>IF(ISBLANK(ClassInformation!D38),"ZZZZZ",ClassInformation!D38)</f>
        <v>ZZZZZ</v>
      </c>
      <c r="C33" s="193"/>
      <c r="D33" s="192"/>
      <c r="E33" s="193"/>
      <c r="F33" s="192"/>
      <c r="G33" s="193"/>
      <c r="H33" s="192"/>
      <c r="I33" s="193"/>
      <c r="J33" s="192"/>
      <c r="K33" s="193"/>
      <c r="L33" s="192"/>
      <c r="M33" s="211"/>
      <c r="N33" s="212"/>
      <c r="O33" s="193"/>
      <c r="P33" s="192"/>
      <c r="Q33" s="193"/>
      <c r="R33" s="192"/>
      <c r="S33" s="193"/>
      <c r="T33" s="192"/>
      <c r="U33" s="193"/>
      <c r="V33" s="192"/>
      <c r="W33" s="218" t="str">
        <f t="shared" si="9"/>
        <v/>
      </c>
      <c r="X33" s="233" t="str">
        <f t="shared" si="10"/>
        <v/>
      </c>
      <c r="Y33" s="220" t="str">
        <f>IF(W33="","",VLOOKUP(X33,Table1[],2,TRUE))</f>
        <v/>
      </c>
      <c r="Z33" s="229" t="str">
        <f t="shared" si="11"/>
        <v/>
      </c>
      <c r="AA33" s="235" t="str">
        <f t="shared" si="13"/>
        <v/>
      </c>
      <c r="AB33" s="222" t="str">
        <f>IF(Z33="","",VLOOKUP(AA33,Table1[],2,TRUE))</f>
        <v/>
      </c>
      <c r="AC33" s="231" t="str">
        <f>IF(AND(X33="",AA33=""),"",IF(OR(X33="-",AA33="-"),"-",IF(AND(X$3&lt;&gt;0,AA$3&lt;&gt;0),VLOOKUP(AVERAGE(X33,AA33),Table1[],2,TRUE),IF(AND(X$3&lt;&gt;0,AA$3=0),Y33,AB33))))</f>
        <v/>
      </c>
      <c r="AD33" s="198"/>
      <c r="AE33" s="198" t="str">
        <f t="shared" si="12"/>
        <v/>
      </c>
      <c r="AF33" s="201" t="s">
        <v>18</v>
      </c>
    </row>
    <row r="34" spans="1:32" s="61" customFormat="1" x14ac:dyDescent="0.25">
      <c r="A34" s="106" t="str">
        <f>IF(ISBLANK(ClassInformation!C39),"ZZZZZ",ClassInformation!C39)</f>
        <v>ZZZZZ</v>
      </c>
      <c r="B34" s="107" t="str">
        <f>IF(ISBLANK(ClassInformation!D39),"ZZZZZ",ClassInformation!D39)</f>
        <v>ZZZZZ</v>
      </c>
      <c r="C34" s="193"/>
      <c r="D34" s="192"/>
      <c r="E34" s="193"/>
      <c r="F34" s="192"/>
      <c r="G34" s="193"/>
      <c r="H34" s="192"/>
      <c r="I34" s="193"/>
      <c r="J34" s="192"/>
      <c r="K34" s="193"/>
      <c r="L34" s="192"/>
      <c r="M34" s="211"/>
      <c r="N34" s="212"/>
      <c r="O34" s="193"/>
      <c r="P34" s="192"/>
      <c r="Q34" s="193"/>
      <c r="R34" s="192"/>
      <c r="S34" s="193"/>
      <c r="T34" s="192"/>
      <c r="U34" s="193"/>
      <c r="V34" s="192"/>
      <c r="W34" s="218" t="str">
        <f t="shared" si="9"/>
        <v/>
      </c>
      <c r="X34" s="233" t="str">
        <f t="shared" si="10"/>
        <v/>
      </c>
      <c r="Y34" s="220" t="str">
        <f>IF(W34="","",VLOOKUP(X34,Table1[],2,TRUE))</f>
        <v/>
      </c>
      <c r="Z34" s="229" t="str">
        <f t="shared" si="11"/>
        <v/>
      </c>
      <c r="AA34" s="235" t="str">
        <f t="shared" si="13"/>
        <v/>
      </c>
      <c r="AB34" s="222" t="str">
        <f>IF(Z34="","",VLOOKUP(AA34,Table1[],2,TRUE))</f>
        <v/>
      </c>
      <c r="AC34" s="231" t="str">
        <f>IF(AND(X34="",AA34=""),"",IF(OR(X34="-",AA34="-"),"-",IF(AND(X$3&lt;&gt;0,AA$3&lt;&gt;0),VLOOKUP(AVERAGE(X34,AA34),Table1[],2,TRUE),IF(AND(X$3&lt;&gt;0,AA$3=0),Y34,AB34))))</f>
        <v/>
      </c>
      <c r="AD34" s="198"/>
      <c r="AE34" s="198" t="str">
        <f t="shared" si="12"/>
        <v/>
      </c>
      <c r="AF34" s="201" t="s">
        <v>18</v>
      </c>
    </row>
    <row r="35" spans="1:32" s="61" customFormat="1" x14ac:dyDescent="0.25">
      <c r="A35" s="106" t="str">
        <f>IF(ISBLANK(ClassInformation!C40),"ZZZZZ",ClassInformation!C40)</f>
        <v>ZZZZZ</v>
      </c>
      <c r="B35" s="107" t="str">
        <f>IF(ISBLANK(ClassInformation!D40),"ZZZZZ",ClassInformation!D40)</f>
        <v>ZZZZZ</v>
      </c>
      <c r="C35" s="193"/>
      <c r="D35" s="192"/>
      <c r="E35" s="193"/>
      <c r="F35" s="192"/>
      <c r="G35" s="193"/>
      <c r="H35" s="192"/>
      <c r="I35" s="193"/>
      <c r="J35" s="192"/>
      <c r="K35" s="193"/>
      <c r="L35" s="192"/>
      <c r="M35" s="211"/>
      <c r="N35" s="212"/>
      <c r="O35" s="193"/>
      <c r="P35" s="192"/>
      <c r="Q35" s="193"/>
      <c r="R35" s="192"/>
      <c r="S35" s="193"/>
      <c r="T35" s="192"/>
      <c r="U35" s="193"/>
      <c r="V35" s="192"/>
      <c r="W35" s="218" t="str">
        <f t="shared" si="9"/>
        <v/>
      </c>
      <c r="X35" s="233" t="str">
        <f t="shared" si="10"/>
        <v/>
      </c>
      <c r="Y35" s="220" t="str">
        <f>IF(W35="","",VLOOKUP(X35,Table1[],2,TRUE))</f>
        <v/>
      </c>
      <c r="Z35" s="229" t="str">
        <f t="shared" si="11"/>
        <v/>
      </c>
      <c r="AA35" s="235" t="str">
        <f t="shared" si="13"/>
        <v/>
      </c>
      <c r="AB35" s="222" t="str">
        <f>IF(Z35="","",VLOOKUP(AA35,Table1[],2,TRUE))</f>
        <v/>
      </c>
      <c r="AC35" s="231" t="str">
        <f>IF(AND(X35="",AA35=""),"",IF(OR(X35="-",AA35="-"),"-",IF(AND(X$3&lt;&gt;0,AA$3&lt;&gt;0),VLOOKUP(AVERAGE(X35,AA35),Table1[],2,TRUE),IF(AND(X$3&lt;&gt;0,AA$3=0),Y35,AB35))))</f>
        <v/>
      </c>
      <c r="AD35" s="198"/>
      <c r="AE35" s="198" t="str">
        <f t="shared" si="12"/>
        <v/>
      </c>
      <c r="AF35" s="201" t="s">
        <v>18</v>
      </c>
    </row>
    <row r="36" spans="1:32" s="61" customFormat="1" x14ac:dyDescent="0.25">
      <c r="A36" s="106" t="str">
        <f>IF(ISBLANK(ClassInformation!C41),"ZZZZZ",ClassInformation!C41)</f>
        <v>ZZZZZ</v>
      </c>
      <c r="B36" s="107" t="str">
        <f>IF(ISBLANK(ClassInformation!D41),"ZZZZZ",ClassInformation!D41)</f>
        <v>ZZZZZ</v>
      </c>
      <c r="C36" s="193"/>
      <c r="D36" s="192"/>
      <c r="E36" s="193"/>
      <c r="F36" s="192"/>
      <c r="G36" s="193"/>
      <c r="H36" s="192"/>
      <c r="I36" s="193"/>
      <c r="J36" s="192"/>
      <c r="K36" s="193"/>
      <c r="L36" s="192"/>
      <c r="M36" s="211"/>
      <c r="N36" s="212"/>
      <c r="O36" s="193"/>
      <c r="P36" s="192"/>
      <c r="Q36" s="193"/>
      <c r="R36" s="192"/>
      <c r="S36" s="193"/>
      <c r="T36" s="192"/>
      <c r="U36" s="193"/>
      <c r="V36" s="192"/>
      <c r="W36" s="218" t="str">
        <f t="shared" si="9"/>
        <v/>
      </c>
      <c r="X36" s="233" t="str">
        <f t="shared" si="10"/>
        <v/>
      </c>
      <c r="Y36" s="220" t="str">
        <f>IF(W36="","",VLOOKUP(X36,Table1[],2,TRUE))</f>
        <v/>
      </c>
      <c r="Z36" s="229" t="str">
        <f t="shared" si="11"/>
        <v/>
      </c>
      <c r="AA36" s="235" t="str">
        <f t="shared" si="13"/>
        <v/>
      </c>
      <c r="AB36" s="222" t="str">
        <f>IF(Z36="","",VLOOKUP(AA36,Table1[],2,TRUE))</f>
        <v/>
      </c>
      <c r="AC36" s="231" t="str">
        <f>IF(AND(X36="",AA36=""),"",IF(OR(X36="-",AA36="-"),"-",IF(AND(X$3&lt;&gt;0,AA$3&lt;&gt;0),VLOOKUP(AVERAGE(X36,AA36),Table1[],2,TRUE),IF(AND(X$3&lt;&gt;0,AA$3=0),Y36,AB36))))</f>
        <v/>
      </c>
      <c r="AD36" s="198"/>
      <c r="AE36" s="198" t="str">
        <f t="shared" si="12"/>
        <v/>
      </c>
      <c r="AF36" s="201" t="s">
        <v>18</v>
      </c>
    </row>
    <row r="37" spans="1:32" s="61" customFormat="1" x14ac:dyDescent="0.25">
      <c r="A37" s="106" t="str">
        <f>IF(ISBLANK(ClassInformation!C42),"ZZZZZ",ClassInformation!C42)</f>
        <v>ZZZZZ</v>
      </c>
      <c r="B37" s="107" t="str">
        <f>IF(ISBLANK(ClassInformation!D42),"ZZZZZ",ClassInformation!D42)</f>
        <v>ZZZZZ</v>
      </c>
      <c r="C37" s="193"/>
      <c r="D37" s="192"/>
      <c r="E37" s="193"/>
      <c r="F37" s="192"/>
      <c r="G37" s="193"/>
      <c r="H37" s="192"/>
      <c r="I37" s="193"/>
      <c r="J37" s="192"/>
      <c r="K37" s="193"/>
      <c r="L37" s="192"/>
      <c r="M37" s="211"/>
      <c r="N37" s="212"/>
      <c r="O37" s="193"/>
      <c r="P37" s="192"/>
      <c r="Q37" s="193"/>
      <c r="R37" s="192"/>
      <c r="S37" s="193"/>
      <c r="T37" s="192"/>
      <c r="U37" s="193"/>
      <c r="V37" s="192"/>
      <c r="W37" s="218" t="str">
        <f t="shared" si="9"/>
        <v/>
      </c>
      <c r="X37" s="233" t="str">
        <f t="shared" si="10"/>
        <v/>
      </c>
      <c r="Y37" s="220" t="str">
        <f>IF(W37="","",VLOOKUP(X37,Table1[],2,TRUE))</f>
        <v/>
      </c>
      <c r="Z37" s="229" t="str">
        <f t="shared" si="11"/>
        <v/>
      </c>
      <c r="AA37" s="235" t="str">
        <f t="shared" si="13"/>
        <v/>
      </c>
      <c r="AB37" s="222" t="str">
        <f>IF(Z37="","",VLOOKUP(AA37,Table1[],2,TRUE))</f>
        <v/>
      </c>
      <c r="AC37" s="231" t="str">
        <f>IF(AND(X37="",AA37=""),"",IF(OR(X37="-",AA37="-"),"-",IF(AND(X$3&lt;&gt;0,AA$3&lt;&gt;0),VLOOKUP(AVERAGE(X37,AA37),Table1[],2,TRUE),IF(AND(X$3&lt;&gt;0,AA$3=0),Y37,AB37))))</f>
        <v/>
      </c>
      <c r="AD37" s="198"/>
      <c r="AE37" s="198" t="str">
        <f t="shared" si="12"/>
        <v/>
      </c>
      <c r="AF37" s="201" t="s">
        <v>18</v>
      </c>
    </row>
    <row r="38" spans="1:32" s="61" customFormat="1" x14ac:dyDescent="0.25">
      <c r="A38" s="106" t="str">
        <f>IF(ISBLANK(ClassInformation!C43),"ZZZZZ",ClassInformation!C43)</f>
        <v>ZZZZZ</v>
      </c>
      <c r="B38" s="107" t="str">
        <f>IF(ISBLANK(ClassInformation!D43),"ZZZZZ",ClassInformation!D43)</f>
        <v>ZZZZZ</v>
      </c>
      <c r="C38" s="193"/>
      <c r="D38" s="192"/>
      <c r="E38" s="193"/>
      <c r="F38" s="192"/>
      <c r="G38" s="193"/>
      <c r="H38" s="192"/>
      <c r="I38" s="193"/>
      <c r="J38" s="192"/>
      <c r="K38" s="193"/>
      <c r="L38" s="192"/>
      <c r="M38" s="211"/>
      <c r="N38" s="212"/>
      <c r="O38" s="193"/>
      <c r="P38" s="192"/>
      <c r="Q38" s="193"/>
      <c r="R38" s="192"/>
      <c r="S38" s="193"/>
      <c r="T38" s="192"/>
      <c r="U38" s="193"/>
      <c r="V38" s="192"/>
      <c r="W38" s="218" t="str">
        <f t="shared" si="9"/>
        <v/>
      </c>
      <c r="X38" s="233" t="str">
        <f t="shared" si="10"/>
        <v/>
      </c>
      <c r="Y38" s="220" t="str">
        <f>IF(W38="","",VLOOKUP(X38,Table1[],2,TRUE))</f>
        <v/>
      </c>
      <c r="Z38" s="229" t="str">
        <f t="shared" si="11"/>
        <v/>
      </c>
      <c r="AA38" s="235" t="str">
        <f t="shared" si="13"/>
        <v/>
      </c>
      <c r="AB38" s="222" t="str">
        <f>IF(Z38="","",VLOOKUP(AA38,Table1[],2,TRUE))</f>
        <v/>
      </c>
      <c r="AC38" s="231" t="str">
        <f>IF(AND(X38="",AA38=""),"",IF(OR(X38="-",AA38="-"),"-",IF(AND(X$3&lt;&gt;0,AA$3&lt;&gt;0),VLOOKUP(AVERAGE(X38,AA38),Table1[],2,TRUE),IF(AND(X$3&lt;&gt;0,AA$3=0),Y38,AB38))))</f>
        <v/>
      </c>
      <c r="AD38" s="198"/>
      <c r="AE38" s="198" t="str">
        <f t="shared" si="12"/>
        <v/>
      </c>
      <c r="AF38" s="201" t="s">
        <v>18</v>
      </c>
    </row>
    <row r="39" spans="1:32" s="61" customFormat="1" x14ac:dyDescent="0.25">
      <c r="A39" s="106" t="str">
        <f>IF(ISBLANK(ClassInformation!C44),"ZZZZZ",ClassInformation!C44)</f>
        <v>ZZZZZ</v>
      </c>
      <c r="B39" s="107" t="str">
        <f>IF(ISBLANK(ClassInformation!D44),"ZZZZZ",ClassInformation!D44)</f>
        <v>ZZZZZ</v>
      </c>
      <c r="C39" s="193"/>
      <c r="D39" s="192"/>
      <c r="E39" s="193"/>
      <c r="F39" s="192"/>
      <c r="G39" s="193"/>
      <c r="H39" s="192"/>
      <c r="I39" s="193"/>
      <c r="J39" s="192"/>
      <c r="K39" s="193"/>
      <c r="L39" s="192"/>
      <c r="M39" s="211"/>
      <c r="N39" s="212"/>
      <c r="O39" s="193"/>
      <c r="P39" s="192"/>
      <c r="Q39" s="193"/>
      <c r="R39" s="192"/>
      <c r="S39" s="193"/>
      <c r="T39" s="192"/>
      <c r="U39" s="193"/>
      <c r="V39" s="192"/>
      <c r="W39" s="218" t="str">
        <f t="shared" si="9"/>
        <v/>
      </c>
      <c r="X39" s="233" t="str">
        <f t="shared" si="10"/>
        <v/>
      </c>
      <c r="Y39" s="220" t="str">
        <f>IF(W39="","",VLOOKUP(X39,Table1[],2,TRUE))</f>
        <v/>
      </c>
      <c r="Z39" s="229" t="str">
        <f t="shared" si="11"/>
        <v/>
      </c>
      <c r="AA39" s="235" t="str">
        <f t="shared" si="13"/>
        <v/>
      </c>
      <c r="AB39" s="222" t="str">
        <f>IF(Z39="","",VLOOKUP(AA39,Table1[],2,TRUE))</f>
        <v/>
      </c>
      <c r="AC39" s="231" t="str">
        <f>IF(AND(X39="",AA39=""),"",IF(OR(X39="-",AA39="-"),"-",IF(AND(X$3&lt;&gt;0,AA$3&lt;&gt;0),VLOOKUP(AVERAGE(X39,AA39),Table1[],2,TRUE),IF(AND(X$3&lt;&gt;0,AA$3=0),Y39,AB39))))</f>
        <v/>
      </c>
      <c r="AD39" s="198"/>
      <c r="AE39" s="198" t="str">
        <f t="shared" si="12"/>
        <v/>
      </c>
      <c r="AF39" s="201" t="s">
        <v>18</v>
      </c>
    </row>
    <row r="40" spans="1:32" s="61" customFormat="1" ht="15.75" thickBot="1" x14ac:dyDescent="0.3">
      <c r="A40" s="106" t="str">
        <f>IF(ISBLANK(ClassInformation!C45),"ZZZZZ",ClassInformation!C45)</f>
        <v>ZZZZZ</v>
      </c>
      <c r="B40" s="107" t="str">
        <f>IF(ISBLANK(ClassInformation!D45),"ZZZZZ",ClassInformation!D45)</f>
        <v>ZZZZZ</v>
      </c>
      <c r="C40" s="213"/>
      <c r="D40" s="214"/>
      <c r="E40" s="213"/>
      <c r="F40" s="214"/>
      <c r="G40" s="213"/>
      <c r="H40" s="214"/>
      <c r="I40" s="213"/>
      <c r="J40" s="214"/>
      <c r="K40" s="213"/>
      <c r="L40" s="214"/>
      <c r="M40" s="215"/>
      <c r="N40" s="216"/>
      <c r="O40" s="213"/>
      <c r="P40" s="214"/>
      <c r="Q40" s="213"/>
      <c r="R40" s="214"/>
      <c r="S40" s="213"/>
      <c r="T40" s="214"/>
      <c r="U40" s="213"/>
      <c r="V40" s="217"/>
      <c r="W40" s="223" t="str">
        <f t="shared" si="9"/>
        <v/>
      </c>
      <c r="X40" s="234" t="str">
        <f>IF(W40="","",IF(W40="-","-",W40/X$3))</f>
        <v/>
      </c>
      <c r="Y40" s="224" t="str">
        <f>IF(W40="","",VLOOKUP(X40,Table1[],2,TRUE))</f>
        <v/>
      </c>
      <c r="Z40" s="230" t="str">
        <f t="shared" si="11"/>
        <v/>
      </c>
      <c r="AA40" s="236" t="str">
        <f>IF(Z40="","",IF(Z40="-", "-",Z40/AA$3))</f>
        <v/>
      </c>
      <c r="AB40" s="225" t="str">
        <f>IF(Z40="","",VLOOKUP(AA40,Table1[],2,TRUE))</f>
        <v/>
      </c>
      <c r="AC40" s="232" t="str">
        <f>IF(AND(X40="",AA40=""),"",IF(OR(X40="-",AA40="-"),"-",IF(AND(X$3&lt;&gt;0,AA$3&lt;&gt;0),VLOOKUP(AVERAGE(X40,AA40),Table1[],2,TRUE),IF(AND(X$3&lt;&gt;0,AA$3=0),Y40,AB40))))</f>
        <v/>
      </c>
      <c r="AD40" s="226"/>
      <c r="AE40" s="227" t="str">
        <f t="shared" si="12"/>
        <v/>
      </c>
      <c r="AF40" s="210" t="s">
        <v>18</v>
      </c>
    </row>
  </sheetData>
  <sheetProtection formatCells="0" formatColumns="0" formatRows="0" insertColumns="0" deleteColumns="0"/>
  <mergeCells count="378">
    <mergeCell ref="M40:N40"/>
    <mergeCell ref="O40:P40"/>
    <mergeCell ref="Q40:R40"/>
    <mergeCell ref="S40:T40"/>
    <mergeCell ref="U40:V40"/>
    <mergeCell ref="C40:D40"/>
    <mergeCell ref="E40:F40"/>
    <mergeCell ref="G40:H40"/>
    <mergeCell ref="I40:J40"/>
    <mergeCell ref="K40:L40"/>
    <mergeCell ref="M39:N39"/>
    <mergeCell ref="O39:P39"/>
    <mergeCell ref="Q39:R39"/>
    <mergeCell ref="S39:T39"/>
    <mergeCell ref="U39:V39"/>
    <mergeCell ref="C39:D39"/>
    <mergeCell ref="E39:F39"/>
    <mergeCell ref="G39:H39"/>
    <mergeCell ref="I39:J39"/>
    <mergeCell ref="K39:L39"/>
    <mergeCell ref="M38:N38"/>
    <mergeCell ref="O38:P38"/>
    <mergeCell ref="Q38:R38"/>
    <mergeCell ref="S38:T38"/>
    <mergeCell ref="U38:V38"/>
    <mergeCell ref="C38:D38"/>
    <mergeCell ref="E38:F38"/>
    <mergeCell ref="G38:H38"/>
    <mergeCell ref="I38:J38"/>
    <mergeCell ref="K38:L38"/>
    <mergeCell ref="M37:N37"/>
    <mergeCell ref="O37:P37"/>
    <mergeCell ref="Q37:R37"/>
    <mergeCell ref="S37:T37"/>
    <mergeCell ref="U37:V37"/>
    <mergeCell ref="C37:D37"/>
    <mergeCell ref="E37:F37"/>
    <mergeCell ref="G37:H37"/>
    <mergeCell ref="I37:J37"/>
    <mergeCell ref="K37:L37"/>
    <mergeCell ref="M36:N36"/>
    <mergeCell ref="O36:P36"/>
    <mergeCell ref="Q36:R36"/>
    <mergeCell ref="S36:T36"/>
    <mergeCell ref="U36:V36"/>
    <mergeCell ref="C36:D36"/>
    <mergeCell ref="E36:F36"/>
    <mergeCell ref="G36:H36"/>
    <mergeCell ref="I36:J36"/>
    <mergeCell ref="K36:L36"/>
    <mergeCell ref="M35:N35"/>
    <mergeCell ref="O35:P35"/>
    <mergeCell ref="Q35:R35"/>
    <mergeCell ref="S35:T35"/>
    <mergeCell ref="U35:V35"/>
    <mergeCell ref="C35:D35"/>
    <mergeCell ref="E35:F35"/>
    <mergeCell ref="G35:H35"/>
    <mergeCell ref="I35:J35"/>
    <mergeCell ref="K35:L35"/>
    <mergeCell ref="M34:N34"/>
    <mergeCell ref="O34:P34"/>
    <mergeCell ref="Q34:R34"/>
    <mergeCell ref="S34:T34"/>
    <mergeCell ref="U34:V34"/>
    <mergeCell ref="C34:D34"/>
    <mergeCell ref="E34:F34"/>
    <mergeCell ref="G34:H34"/>
    <mergeCell ref="I34:J34"/>
    <mergeCell ref="K34:L34"/>
    <mergeCell ref="M33:N33"/>
    <mergeCell ref="O33:P33"/>
    <mergeCell ref="Q33:R33"/>
    <mergeCell ref="S33:T33"/>
    <mergeCell ref="U33:V33"/>
    <mergeCell ref="C33:D33"/>
    <mergeCell ref="E33:F33"/>
    <mergeCell ref="G33:H33"/>
    <mergeCell ref="I33:J33"/>
    <mergeCell ref="K33:L33"/>
    <mergeCell ref="M32:N32"/>
    <mergeCell ref="O32:P32"/>
    <mergeCell ref="Q32:R32"/>
    <mergeCell ref="S32:T32"/>
    <mergeCell ref="U32:V32"/>
    <mergeCell ref="C32:D32"/>
    <mergeCell ref="E32:F32"/>
    <mergeCell ref="G32:H32"/>
    <mergeCell ref="I32:J32"/>
    <mergeCell ref="K32:L32"/>
    <mergeCell ref="M31:N31"/>
    <mergeCell ref="O31:P31"/>
    <mergeCell ref="Q31:R31"/>
    <mergeCell ref="S31:T31"/>
    <mergeCell ref="U31:V31"/>
    <mergeCell ref="C31:D31"/>
    <mergeCell ref="E31:F31"/>
    <mergeCell ref="G31:H31"/>
    <mergeCell ref="I31:J31"/>
    <mergeCell ref="K31:L31"/>
    <mergeCell ref="M30:N30"/>
    <mergeCell ref="O30:P30"/>
    <mergeCell ref="Q30:R30"/>
    <mergeCell ref="S30:T30"/>
    <mergeCell ref="U30:V30"/>
    <mergeCell ref="C30:D30"/>
    <mergeCell ref="E30:F30"/>
    <mergeCell ref="G30:H30"/>
    <mergeCell ref="I30:J30"/>
    <mergeCell ref="K30:L30"/>
    <mergeCell ref="M29:N29"/>
    <mergeCell ref="O29:P29"/>
    <mergeCell ref="Q29:R29"/>
    <mergeCell ref="S29:T29"/>
    <mergeCell ref="U29:V29"/>
    <mergeCell ref="C29:D29"/>
    <mergeCell ref="E29:F29"/>
    <mergeCell ref="G29:H29"/>
    <mergeCell ref="I29:J29"/>
    <mergeCell ref="K29:L29"/>
    <mergeCell ref="M28:N28"/>
    <mergeCell ref="O28:P28"/>
    <mergeCell ref="Q28:R28"/>
    <mergeCell ref="S28:T28"/>
    <mergeCell ref="U28:V28"/>
    <mergeCell ref="C28:D28"/>
    <mergeCell ref="E28:F28"/>
    <mergeCell ref="G28:H28"/>
    <mergeCell ref="I28:J28"/>
    <mergeCell ref="K28:L28"/>
    <mergeCell ref="M27:N27"/>
    <mergeCell ref="O27:P27"/>
    <mergeCell ref="Q27:R27"/>
    <mergeCell ref="S27:T27"/>
    <mergeCell ref="U27:V27"/>
    <mergeCell ref="C27:D27"/>
    <mergeCell ref="E27:F27"/>
    <mergeCell ref="G27:H27"/>
    <mergeCell ref="I27:J27"/>
    <mergeCell ref="K27:L27"/>
    <mergeCell ref="M26:N26"/>
    <mergeCell ref="O26:P26"/>
    <mergeCell ref="Q26:R26"/>
    <mergeCell ref="S26:T26"/>
    <mergeCell ref="U26:V26"/>
    <mergeCell ref="C26:D26"/>
    <mergeCell ref="E26:F26"/>
    <mergeCell ref="G26:H26"/>
    <mergeCell ref="I26:J26"/>
    <mergeCell ref="K26:L26"/>
    <mergeCell ref="M25:N25"/>
    <mergeCell ref="O25:P25"/>
    <mergeCell ref="Q25:R25"/>
    <mergeCell ref="S25:T25"/>
    <mergeCell ref="U25:V25"/>
    <mergeCell ref="C25:D25"/>
    <mergeCell ref="E25:F25"/>
    <mergeCell ref="G25:H25"/>
    <mergeCell ref="I25:J25"/>
    <mergeCell ref="K25:L25"/>
    <mergeCell ref="M24:N24"/>
    <mergeCell ref="O24:P24"/>
    <mergeCell ref="Q24:R24"/>
    <mergeCell ref="S24:T24"/>
    <mergeCell ref="U24:V24"/>
    <mergeCell ref="C24:D24"/>
    <mergeCell ref="E24:F24"/>
    <mergeCell ref="G24:H24"/>
    <mergeCell ref="I24:J24"/>
    <mergeCell ref="K24:L24"/>
    <mergeCell ref="M23:N23"/>
    <mergeCell ref="O23:P23"/>
    <mergeCell ref="Q23:R23"/>
    <mergeCell ref="S23:T23"/>
    <mergeCell ref="U23:V23"/>
    <mergeCell ref="C23:D23"/>
    <mergeCell ref="E23:F23"/>
    <mergeCell ref="G23:H23"/>
    <mergeCell ref="I23:J23"/>
    <mergeCell ref="K23:L23"/>
    <mergeCell ref="M22:N22"/>
    <mergeCell ref="O22:P22"/>
    <mergeCell ref="Q22:R22"/>
    <mergeCell ref="S22:T22"/>
    <mergeCell ref="U22:V22"/>
    <mergeCell ref="C22:D22"/>
    <mergeCell ref="E22:F22"/>
    <mergeCell ref="G22:H22"/>
    <mergeCell ref="I22:J22"/>
    <mergeCell ref="K22:L22"/>
    <mergeCell ref="M21:N21"/>
    <mergeCell ref="O21:P21"/>
    <mergeCell ref="Q21:R21"/>
    <mergeCell ref="S21:T21"/>
    <mergeCell ref="U21:V21"/>
    <mergeCell ref="C21:D21"/>
    <mergeCell ref="E21:F21"/>
    <mergeCell ref="G21:H21"/>
    <mergeCell ref="I21:J21"/>
    <mergeCell ref="K21:L21"/>
    <mergeCell ref="M20:N20"/>
    <mergeCell ref="O20:P20"/>
    <mergeCell ref="Q20:R20"/>
    <mergeCell ref="S20:T20"/>
    <mergeCell ref="U20:V20"/>
    <mergeCell ref="C20:D20"/>
    <mergeCell ref="E20:F20"/>
    <mergeCell ref="G20:H20"/>
    <mergeCell ref="I20:J20"/>
    <mergeCell ref="K20:L20"/>
    <mergeCell ref="M19:N19"/>
    <mergeCell ref="O19:P19"/>
    <mergeCell ref="Q19:R19"/>
    <mergeCell ref="S19:T19"/>
    <mergeCell ref="U19:V19"/>
    <mergeCell ref="C19:D19"/>
    <mergeCell ref="E19:F19"/>
    <mergeCell ref="G19:H19"/>
    <mergeCell ref="I19:J19"/>
    <mergeCell ref="K19:L19"/>
    <mergeCell ref="M18:N18"/>
    <mergeCell ref="O18:P18"/>
    <mergeCell ref="Q18:R18"/>
    <mergeCell ref="S18:T18"/>
    <mergeCell ref="U18:V18"/>
    <mergeCell ref="C18:D18"/>
    <mergeCell ref="E18:F18"/>
    <mergeCell ref="G18:H18"/>
    <mergeCell ref="I18:J18"/>
    <mergeCell ref="K18:L18"/>
    <mergeCell ref="M17:N17"/>
    <mergeCell ref="O17:P17"/>
    <mergeCell ref="Q17:R17"/>
    <mergeCell ref="S17:T17"/>
    <mergeCell ref="U17:V17"/>
    <mergeCell ref="C17:D17"/>
    <mergeCell ref="E17:F17"/>
    <mergeCell ref="G17:H17"/>
    <mergeCell ref="I17:J17"/>
    <mergeCell ref="K17:L17"/>
    <mergeCell ref="M16:N16"/>
    <mergeCell ref="O16:P16"/>
    <mergeCell ref="Q16:R16"/>
    <mergeCell ref="S16:T16"/>
    <mergeCell ref="U16:V16"/>
    <mergeCell ref="C16:D16"/>
    <mergeCell ref="E16:F16"/>
    <mergeCell ref="G16:H16"/>
    <mergeCell ref="I16:J16"/>
    <mergeCell ref="K16:L16"/>
    <mergeCell ref="M15:N15"/>
    <mergeCell ref="O15:P15"/>
    <mergeCell ref="Q15:R15"/>
    <mergeCell ref="S15:T15"/>
    <mergeCell ref="U15:V15"/>
    <mergeCell ref="C15:D15"/>
    <mergeCell ref="E15:F15"/>
    <mergeCell ref="G15:H15"/>
    <mergeCell ref="I15:J15"/>
    <mergeCell ref="K15:L15"/>
    <mergeCell ref="M14:N14"/>
    <mergeCell ref="O14:P14"/>
    <mergeCell ref="Q14:R14"/>
    <mergeCell ref="S14:T14"/>
    <mergeCell ref="U14:V14"/>
    <mergeCell ref="C14:D14"/>
    <mergeCell ref="E14:F14"/>
    <mergeCell ref="G14:H14"/>
    <mergeCell ref="I14:J14"/>
    <mergeCell ref="K14:L14"/>
    <mergeCell ref="M13:N13"/>
    <mergeCell ref="O13:P13"/>
    <mergeCell ref="Q13:R13"/>
    <mergeCell ref="S13:T13"/>
    <mergeCell ref="U13:V13"/>
    <mergeCell ref="C13:D13"/>
    <mergeCell ref="E13:F13"/>
    <mergeCell ref="G13:H13"/>
    <mergeCell ref="I13:J13"/>
    <mergeCell ref="K13:L13"/>
    <mergeCell ref="M12:N12"/>
    <mergeCell ref="O12:P12"/>
    <mergeCell ref="Q12:R12"/>
    <mergeCell ref="S12:T12"/>
    <mergeCell ref="U12:V12"/>
    <mergeCell ref="C12:D12"/>
    <mergeCell ref="E12:F12"/>
    <mergeCell ref="G12:H12"/>
    <mergeCell ref="I12:J12"/>
    <mergeCell ref="K12:L12"/>
    <mergeCell ref="M11:N11"/>
    <mergeCell ref="O11:P11"/>
    <mergeCell ref="Q11:R11"/>
    <mergeCell ref="S11:T11"/>
    <mergeCell ref="U11:V11"/>
    <mergeCell ref="C11:D11"/>
    <mergeCell ref="E11:F11"/>
    <mergeCell ref="G11:H11"/>
    <mergeCell ref="I11:J11"/>
    <mergeCell ref="K11:L11"/>
    <mergeCell ref="M10:N10"/>
    <mergeCell ref="O10:P10"/>
    <mergeCell ref="Q10:R10"/>
    <mergeCell ref="S10:T10"/>
    <mergeCell ref="U10:V10"/>
    <mergeCell ref="C10:D10"/>
    <mergeCell ref="E10:F10"/>
    <mergeCell ref="G10:H10"/>
    <mergeCell ref="I10:J10"/>
    <mergeCell ref="K10:L10"/>
    <mergeCell ref="M9:N9"/>
    <mergeCell ref="O9:P9"/>
    <mergeCell ref="Q9:R9"/>
    <mergeCell ref="S9:T9"/>
    <mergeCell ref="U9:V9"/>
    <mergeCell ref="C9:D9"/>
    <mergeCell ref="E9:F9"/>
    <mergeCell ref="G9:H9"/>
    <mergeCell ref="I9:J9"/>
    <mergeCell ref="K9:L9"/>
    <mergeCell ref="M8:N8"/>
    <mergeCell ref="O8:P8"/>
    <mergeCell ref="Q8:R8"/>
    <mergeCell ref="S8:T8"/>
    <mergeCell ref="U8:V8"/>
    <mergeCell ref="C8:D8"/>
    <mergeCell ref="E8:F8"/>
    <mergeCell ref="G8:H8"/>
    <mergeCell ref="I8:J8"/>
    <mergeCell ref="K8:L8"/>
    <mergeCell ref="M7:N7"/>
    <mergeCell ref="O7:P7"/>
    <mergeCell ref="Q7:R7"/>
    <mergeCell ref="S7:T7"/>
    <mergeCell ref="U7:V7"/>
    <mergeCell ref="C7:D7"/>
    <mergeCell ref="E7:F7"/>
    <mergeCell ref="G7:H7"/>
    <mergeCell ref="I7:J7"/>
    <mergeCell ref="K7:L7"/>
    <mergeCell ref="M6:N6"/>
    <mergeCell ref="O6:P6"/>
    <mergeCell ref="Q6:R6"/>
    <mergeCell ref="S6:T6"/>
    <mergeCell ref="U6:V6"/>
    <mergeCell ref="C6:D6"/>
    <mergeCell ref="E6:F6"/>
    <mergeCell ref="G6:H6"/>
    <mergeCell ref="I6:J6"/>
    <mergeCell ref="K6:L6"/>
    <mergeCell ref="M5:N5"/>
    <mergeCell ref="O5:P5"/>
    <mergeCell ref="Q5:R5"/>
    <mergeCell ref="S5:T5"/>
    <mergeCell ref="U5:V5"/>
    <mergeCell ref="C5:D5"/>
    <mergeCell ref="E5:F5"/>
    <mergeCell ref="G5:H5"/>
    <mergeCell ref="I5:J5"/>
    <mergeCell ref="K5:L5"/>
    <mergeCell ref="S4:T4"/>
    <mergeCell ref="U4:V4"/>
    <mergeCell ref="D1:AF1"/>
    <mergeCell ref="C2:L2"/>
    <mergeCell ref="M2:V2"/>
    <mergeCell ref="W2:AE2"/>
    <mergeCell ref="X3:Y3"/>
    <mergeCell ref="AA3:AB3"/>
    <mergeCell ref="C4:D4"/>
    <mergeCell ref="E4:F4"/>
    <mergeCell ref="G4:H4"/>
    <mergeCell ref="I4:J4"/>
    <mergeCell ref="K4:L4"/>
    <mergeCell ref="M4:N4"/>
    <mergeCell ref="O4:P4"/>
    <mergeCell ref="Q4:R4"/>
    <mergeCell ref="A1:B2"/>
    <mergeCell ref="A3:B3"/>
  </mergeCells>
  <conditionalFormatting sqref="A5:B40">
    <cfRule type="expression" dxfId="27" priority="122">
      <formula>$A5="ZZZZZ"</formula>
    </cfRule>
  </conditionalFormatting>
  <conditionalFormatting sqref="AC5:AE40">
    <cfRule type="expression" dxfId="2" priority="3" stopIfTrue="1">
      <formula>OR(ISNUMBER(SEARCH("D",AC5)),ISNUMBER(SEARCH("E",AC5)))</formula>
    </cfRule>
  </conditionalFormatting>
  <conditionalFormatting sqref="C5:V40">
    <cfRule type="expression" dxfId="1" priority="1" stopIfTrue="1">
      <formula>NOT(ISBLANK(C5))</formula>
    </cfRule>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19" id="{4DDF9EC8-AA55-4BD6-89D4-4197371ED738}">
            <xm:f>ClassInformation!$E10="N"</xm:f>
            <x14:dxf>
              <font>
                <strike/>
              </font>
            </x14:dxf>
          </x14:cfRule>
          <xm:sqref>A5:B40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D4061C4-3BAA-4AD2-915B-3461548DBF62}">
          <x14:formula1>
            <xm:f>GradeScheme!$B$2:$B$18</xm:f>
          </x14:formula1>
          <xm:sqref>AD5:AD40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00E95-D246-41FF-AE40-2C8062D26CFF}">
  <sheetPr codeName="Sheet7">
    <tabColor theme="9" tint="0.59999389629810485"/>
  </sheetPr>
  <dimension ref="A1:BH40"/>
  <sheetViews>
    <sheetView zoomScale="70" zoomScaleNormal="70" workbookViewId="0">
      <pane xSplit="2" ySplit="4" topLeftCell="C5" activePane="bottomRight" state="frozenSplit"/>
      <selection pane="topRight" activeCell="AE1" sqref="AE1"/>
      <selection pane="bottomLeft" activeCell="A23" sqref="A23"/>
      <selection pane="bottomRight" activeCell="J49" sqref="J49"/>
    </sheetView>
  </sheetViews>
  <sheetFormatPr defaultRowHeight="15" x14ac:dyDescent="0.25"/>
  <cols>
    <col min="1" max="2" width="15.7109375" style="109" customWidth="1"/>
    <col min="3" max="3" width="9.140625" style="110"/>
    <col min="4" max="4" width="9.140625" style="110" customWidth="1"/>
    <col min="5" max="16384" width="9.140625" style="110"/>
  </cols>
  <sheetData>
    <row r="1" spans="1:2" s="108" customFormat="1" x14ac:dyDescent="0.25">
      <c r="A1" s="159" t="str">
        <f>_xlfn.CONCAT("Year ",ClassInformation!D4,ClassInformation!E4," ",ClassInformation!D5," - ","Semester 2 ",ClassInformation!D6)</f>
        <v>Year 7A [Subject] - Semester 2 2018</v>
      </c>
      <c r="B1" s="160"/>
    </row>
    <row r="2" spans="1:2" s="108" customFormat="1" x14ac:dyDescent="0.25">
      <c r="A2" s="159"/>
      <c r="B2" s="160"/>
    </row>
    <row r="3" spans="1:2" s="108" customFormat="1" x14ac:dyDescent="0.25">
      <c r="A3" s="161" t="s">
        <v>21</v>
      </c>
      <c r="B3" s="162"/>
    </row>
    <row r="4" spans="1:2" s="108" customFormat="1" ht="15.75" thickBot="1" x14ac:dyDescent="0.3">
      <c r="A4" s="103" t="str">
        <f>ClassInformation!C9</f>
        <v>Last Name</v>
      </c>
      <c r="B4" s="88" t="str">
        <f>ClassInformation!D9</f>
        <v>First Name</v>
      </c>
    </row>
    <row r="5" spans="1:2" s="61" customFormat="1" x14ac:dyDescent="0.25">
      <c r="A5" s="26" t="str">
        <f>IF(ISBLANK(ClassInformation!C10),"ZZZZZ",ClassInformation!C10)</f>
        <v>Amery</v>
      </c>
      <c r="B5" s="18" t="str">
        <f>IF(ISBLANK(ClassInformation!D10),"ZZZZZ",ClassInformation!D10)</f>
        <v>Kyeesha</v>
      </c>
    </row>
    <row r="6" spans="1:2" s="61" customFormat="1" x14ac:dyDescent="0.25">
      <c r="A6" s="26" t="str">
        <f>IF(ISBLANK(ClassInformation!C11),"ZZZZZ",ClassInformation!C11)</f>
        <v>Barratt</v>
      </c>
      <c r="B6" s="18" t="str">
        <f>IF(ISBLANK(ClassInformation!D11),"ZZZZZ",ClassInformation!D11)</f>
        <v>Oliver</v>
      </c>
    </row>
    <row r="7" spans="1:2" s="61" customFormat="1" x14ac:dyDescent="0.25">
      <c r="A7" s="26" t="str">
        <f>IF(ISBLANK(ClassInformation!C12),"ZZZZZ",ClassInformation!C12)</f>
        <v>Bulacan</v>
      </c>
      <c r="B7" s="18" t="str">
        <f>IF(ISBLANK(ClassInformation!D12),"ZZZZZ",ClassInformation!D12)</f>
        <v>Jed</v>
      </c>
    </row>
    <row r="8" spans="1:2" s="61" customFormat="1" x14ac:dyDescent="0.25">
      <c r="A8" s="26" t="str">
        <f>IF(ISBLANK(ClassInformation!C13),"ZZZZZ",ClassInformation!C13)</f>
        <v>Chapman</v>
      </c>
      <c r="B8" s="18" t="str">
        <f>IF(ISBLANK(ClassInformation!D13),"ZZZZZ",ClassInformation!D13)</f>
        <v>Michelle</v>
      </c>
    </row>
    <row r="9" spans="1:2" s="61" customFormat="1" x14ac:dyDescent="0.25">
      <c r="A9" s="26" t="str">
        <f>IF(ISBLANK(ClassInformation!C14),"ZZZZZ",ClassInformation!C14)</f>
        <v>Comber</v>
      </c>
      <c r="B9" s="18" t="str">
        <f>IF(ISBLANK(ClassInformation!D14),"ZZZZZ",ClassInformation!D14)</f>
        <v>Gabi</v>
      </c>
    </row>
    <row r="10" spans="1:2" s="61" customFormat="1" x14ac:dyDescent="0.25">
      <c r="A10" s="26" t="str">
        <f>IF(ISBLANK(ClassInformation!C15),"ZZZZZ",ClassInformation!C15)</f>
        <v>Cook</v>
      </c>
      <c r="B10" s="18" t="str">
        <f>IF(ISBLANK(ClassInformation!D15),"ZZZZZ",ClassInformation!D15)</f>
        <v>Kaylee</v>
      </c>
    </row>
    <row r="11" spans="1:2" s="61" customFormat="1" x14ac:dyDescent="0.25">
      <c r="A11" s="26" t="str">
        <f>IF(ISBLANK(ClassInformation!C16),"ZZZZZ",ClassInformation!C16)</f>
        <v>Coulahan</v>
      </c>
      <c r="B11" s="18" t="str">
        <f>IF(ISBLANK(ClassInformation!D16),"ZZZZZ",ClassInformation!D16)</f>
        <v>Zechariah</v>
      </c>
    </row>
    <row r="12" spans="1:2" s="61" customFormat="1" x14ac:dyDescent="0.25">
      <c r="A12" s="26" t="str">
        <f>IF(ISBLANK(ClassInformation!C17),"ZZZZZ",ClassInformation!C17)</f>
        <v>Cubacub</v>
      </c>
      <c r="B12" s="18" t="str">
        <f>IF(ISBLANK(ClassInformation!D17),"ZZZZZ",ClassInformation!D17)</f>
        <v>Raffi</v>
      </c>
    </row>
    <row r="13" spans="1:2" s="61" customFormat="1" x14ac:dyDescent="0.25">
      <c r="A13" s="26" t="str">
        <f>IF(ISBLANK(ClassInformation!C18),"ZZZZZ",ClassInformation!C18)</f>
        <v>Davis</v>
      </c>
      <c r="B13" s="18" t="str">
        <f>IF(ISBLANK(ClassInformation!D18),"ZZZZZ",ClassInformation!D18)</f>
        <v>Billy</v>
      </c>
    </row>
    <row r="14" spans="1:2" s="61" customFormat="1" x14ac:dyDescent="0.25">
      <c r="A14" s="26" t="str">
        <f>IF(ISBLANK(ClassInformation!C19),"ZZZZZ",ClassInformation!C19)</f>
        <v>Fitzsimmons</v>
      </c>
      <c r="B14" s="18" t="str">
        <f>IF(ISBLANK(ClassInformation!D19),"ZZZZZ",ClassInformation!D19)</f>
        <v>Sullivan</v>
      </c>
    </row>
    <row r="15" spans="1:2" s="61" customFormat="1" x14ac:dyDescent="0.25">
      <c r="A15" s="26" t="str">
        <f>IF(ISBLANK(ClassInformation!C20),"ZZZZZ",ClassInformation!C20)</f>
        <v>Franciscus</v>
      </c>
      <c r="B15" s="18" t="str">
        <f>IF(ISBLANK(ClassInformation!D20),"ZZZZZ",ClassInformation!D20)</f>
        <v>Sonny</v>
      </c>
    </row>
    <row r="16" spans="1:2" s="61" customFormat="1" x14ac:dyDescent="0.25">
      <c r="A16" s="26" t="str">
        <f>IF(ISBLANK(ClassInformation!C21),"ZZZZZ",ClassInformation!C21)</f>
        <v>Hamilton</v>
      </c>
      <c r="B16" s="18" t="str">
        <f>IF(ISBLANK(ClassInformation!D21),"ZZZZZ",ClassInformation!D21)</f>
        <v>Ella</v>
      </c>
    </row>
    <row r="17" spans="1:2" s="61" customFormat="1" x14ac:dyDescent="0.25">
      <c r="A17" s="26" t="str">
        <f>IF(ISBLANK(ClassInformation!C22),"ZZZZZ",ClassInformation!C22)</f>
        <v>Harris</v>
      </c>
      <c r="B17" s="18" t="str">
        <f>IF(ISBLANK(ClassInformation!D22),"ZZZZZ",ClassInformation!D22)</f>
        <v>Emily</v>
      </c>
    </row>
    <row r="18" spans="1:2" s="61" customFormat="1" x14ac:dyDescent="0.25">
      <c r="A18" s="26" t="str">
        <f>IF(ISBLANK(ClassInformation!C23),"ZZZZZ",ClassInformation!C23)</f>
        <v>Harvey</v>
      </c>
      <c r="B18" s="18" t="str">
        <f>IF(ISBLANK(ClassInformation!D23),"ZZZZZ",ClassInformation!D23)</f>
        <v>Isabel</v>
      </c>
    </row>
    <row r="19" spans="1:2" s="61" customFormat="1" x14ac:dyDescent="0.25">
      <c r="A19" s="26" t="str">
        <f>IF(ISBLANK(ClassInformation!C24),"ZZZZZ",ClassInformation!C24)</f>
        <v>Macdonald</v>
      </c>
      <c r="B19" s="18" t="str">
        <f>IF(ISBLANK(ClassInformation!D24),"ZZZZZ",ClassInformation!D24)</f>
        <v>Dominic</v>
      </c>
    </row>
    <row r="20" spans="1:2" s="61" customFormat="1" x14ac:dyDescent="0.25">
      <c r="A20" s="26" t="str">
        <f>IF(ISBLANK(ClassInformation!C25),"ZZZZZ",ClassInformation!C25)</f>
        <v>Manolis</v>
      </c>
      <c r="B20" s="18" t="str">
        <f>IF(ISBLANK(ClassInformation!D25),"ZZZZZ",ClassInformation!D25)</f>
        <v>India</v>
      </c>
    </row>
    <row r="21" spans="1:2" s="61" customFormat="1" x14ac:dyDescent="0.25">
      <c r="A21" s="26" t="str">
        <f>IF(ISBLANK(ClassInformation!C26),"ZZZZZ",ClassInformation!C26)</f>
        <v>Milton</v>
      </c>
      <c r="B21" s="18" t="str">
        <f>IF(ISBLANK(ClassInformation!D26),"ZZZZZ",ClassInformation!D26)</f>
        <v>Charlie</v>
      </c>
    </row>
    <row r="22" spans="1:2" s="61" customFormat="1" x14ac:dyDescent="0.25">
      <c r="A22" s="26" t="str">
        <f>IF(ISBLANK(ClassInformation!C27),"ZZZZZ",ClassInformation!C27)</f>
        <v>Olguin</v>
      </c>
      <c r="B22" s="18" t="str">
        <f>IF(ISBLANK(ClassInformation!D27),"ZZZZZ",ClassInformation!D27)</f>
        <v>Scarlett</v>
      </c>
    </row>
    <row r="23" spans="1:2" s="61" customFormat="1" x14ac:dyDescent="0.25">
      <c r="A23" s="26" t="str">
        <f>IF(ISBLANK(ClassInformation!C28),"ZZZZZ",ClassInformation!C28)</f>
        <v>Pardon</v>
      </c>
      <c r="B23" s="18" t="str">
        <f>IF(ISBLANK(ClassInformation!D28),"ZZZZZ",ClassInformation!D28)</f>
        <v>Harmony</v>
      </c>
    </row>
    <row r="24" spans="1:2" s="61" customFormat="1" x14ac:dyDescent="0.25">
      <c r="A24" s="26" t="str">
        <f>IF(ISBLANK(ClassInformation!C29),"ZZZZZ",ClassInformation!C29)</f>
        <v>Romero</v>
      </c>
      <c r="B24" s="18" t="str">
        <f>IF(ISBLANK(ClassInformation!D29),"ZZZZZ",ClassInformation!D29)</f>
        <v>Rubens</v>
      </c>
    </row>
    <row r="25" spans="1:2" s="61" customFormat="1" x14ac:dyDescent="0.25">
      <c r="A25" s="26" t="str">
        <f>IF(ISBLANK(ClassInformation!C30),"ZZZZZ",ClassInformation!C30)</f>
        <v>Sarzynska</v>
      </c>
      <c r="B25" s="18" t="str">
        <f>IF(ISBLANK(ClassInformation!D30),"ZZZZZ",ClassInformation!D30)</f>
        <v>Nikola</v>
      </c>
    </row>
    <row r="26" spans="1:2" s="61" customFormat="1" x14ac:dyDescent="0.25">
      <c r="A26" s="26" t="str">
        <f>IF(ISBLANK(ClassInformation!C31),"ZZZZZ",ClassInformation!C31)</f>
        <v>Taylor</v>
      </c>
      <c r="B26" s="18" t="str">
        <f>IF(ISBLANK(ClassInformation!D31),"ZZZZZ",ClassInformation!D31)</f>
        <v>Rohan</v>
      </c>
    </row>
    <row r="27" spans="1:2" s="61" customFormat="1" x14ac:dyDescent="0.25">
      <c r="A27" s="26" t="str">
        <f>IF(ISBLANK(ClassInformation!C32),"ZZZZZ",ClassInformation!C32)</f>
        <v>Thangeswaran</v>
      </c>
      <c r="B27" s="18" t="str">
        <f>IF(ISBLANK(ClassInformation!D32),"ZZZZZ",ClassInformation!D32)</f>
        <v>Shesuthan</v>
      </c>
    </row>
    <row r="28" spans="1:2" s="61" customFormat="1" x14ac:dyDescent="0.25">
      <c r="A28" s="26" t="str">
        <f>IF(ISBLANK(ClassInformation!C33),"ZZZZZ",ClassInformation!C33)</f>
        <v>Thompson</v>
      </c>
      <c r="B28" s="18" t="str">
        <f>IF(ISBLANK(ClassInformation!D33),"ZZZZZ",ClassInformation!D33)</f>
        <v>Benjamin</v>
      </c>
    </row>
    <row r="29" spans="1:2" s="61" customFormat="1" x14ac:dyDescent="0.25">
      <c r="A29" s="26" t="str">
        <f>IF(ISBLANK(ClassInformation!C34),"ZZZZZ",ClassInformation!C34)</f>
        <v>Yakimoff-Minge</v>
      </c>
      <c r="B29" s="18" t="str">
        <f>IF(ISBLANK(ClassInformation!D34),"ZZZZZ",ClassInformation!D34)</f>
        <v>Lliam</v>
      </c>
    </row>
    <row r="30" spans="1:2" s="61" customFormat="1" x14ac:dyDescent="0.25">
      <c r="A30" s="26" t="str">
        <f>IF(ISBLANK(ClassInformation!C35),"ZZZZZ",ClassInformation!C35)</f>
        <v>Amery</v>
      </c>
      <c r="B30" s="18" t="str">
        <f>IF(ISBLANK(ClassInformation!D35),"ZZZZZ",ClassInformation!D35)</f>
        <v>A</v>
      </c>
    </row>
    <row r="31" spans="1:2" s="61" customFormat="1" x14ac:dyDescent="0.25">
      <c r="A31" s="26" t="str">
        <f>IF(ISBLANK(ClassInformation!C36),"ZZZZZ",ClassInformation!C36)</f>
        <v>ZZZZZ</v>
      </c>
      <c r="B31" s="18" t="str">
        <f>IF(ISBLANK(ClassInformation!D36),"ZZZZZ",ClassInformation!D36)</f>
        <v>ZZZZZ</v>
      </c>
    </row>
    <row r="32" spans="1:2" s="61" customFormat="1" x14ac:dyDescent="0.25">
      <c r="A32" s="26" t="str">
        <f>IF(ISBLANK(ClassInformation!C37),"ZZZZZ",ClassInformation!C37)</f>
        <v>ZZZZZ</v>
      </c>
      <c r="B32" s="18" t="str">
        <f>IF(ISBLANK(ClassInformation!D37),"ZZZZZ",ClassInformation!D37)</f>
        <v>ZZZZZ</v>
      </c>
    </row>
    <row r="33" spans="1:2" s="61" customFormat="1" x14ac:dyDescent="0.25">
      <c r="A33" s="26" t="str">
        <f>IF(ISBLANK(ClassInformation!C38),"ZZZZZ",ClassInformation!C38)</f>
        <v>ZZZZZ</v>
      </c>
      <c r="B33" s="18" t="str">
        <f>IF(ISBLANK(ClassInformation!D38),"ZZZZZ",ClassInformation!D38)</f>
        <v>ZZZZZ</v>
      </c>
    </row>
    <row r="34" spans="1:2" s="61" customFormat="1" x14ac:dyDescent="0.25">
      <c r="A34" s="26" t="str">
        <f>IF(ISBLANK(ClassInformation!C39),"ZZZZZ",ClassInformation!C39)</f>
        <v>ZZZZZ</v>
      </c>
      <c r="B34" s="18" t="str">
        <f>IF(ISBLANK(ClassInformation!D39),"ZZZZZ",ClassInformation!D39)</f>
        <v>ZZZZZ</v>
      </c>
    </row>
    <row r="35" spans="1:2" s="61" customFormat="1" x14ac:dyDescent="0.25">
      <c r="A35" s="26" t="str">
        <f>IF(ISBLANK(ClassInformation!C40),"ZZZZZ",ClassInformation!C40)</f>
        <v>ZZZZZ</v>
      </c>
      <c r="B35" s="18" t="str">
        <f>IF(ISBLANK(ClassInformation!D40),"ZZZZZ",ClassInformation!D40)</f>
        <v>ZZZZZ</v>
      </c>
    </row>
    <row r="36" spans="1:2" s="61" customFormat="1" x14ac:dyDescent="0.25">
      <c r="A36" s="26" t="str">
        <f>IF(ISBLANK(ClassInformation!C41),"ZZZZZ",ClassInformation!C41)</f>
        <v>ZZZZZ</v>
      </c>
      <c r="B36" s="18" t="str">
        <f>IF(ISBLANK(ClassInformation!D41),"ZZZZZ",ClassInformation!D41)</f>
        <v>ZZZZZ</v>
      </c>
    </row>
    <row r="37" spans="1:2" s="61" customFormat="1" x14ac:dyDescent="0.25">
      <c r="A37" s="26" t="str">
        <f>IF(ISBLANK(ClassInformation!C42),"ZZZZZ",ClassInformation!C42)</f>
        <v>ZZZZZ</v>
      </c>
      <c r="B37" s="18" t="str">
        <f>IF(ISBLANK(ClassInformation!D42),"ZZZZZ",ClassInformation!D42)</f>
        <v>ZZZZZ</v>
      </c>
    </row>
    <row r="38" spans="1:2" s="61" customFormat="1" x14ac:dyDescent="0.25">
      <c r="A38" s="26" t="str">
        <f>IF(ISBLANK(ClassInformation!C43),"ZZZZZ",ClassInformation!C43)</f>
        <v>ZZZZZ</v>
      </c>
      <c r="B38" s="18" t="str">
        <f>IF(ISBLANK(ClassInformation!D43),"ZZZZZ",ClassInformation!D43)</f>
        <v>ZZZZZ</v>
      </c>
    </row>
    <row r="39" spans="1:2" s="61" customFormat="1" x14ac:dyDescent="0.25">
      <c r="A39" s="26" t="str">
        <f>IF(ISBLANK(ClassInformation!C44),"ZZZZZ",ClassInformation!C44)</f>
        <v>ZZZZZ</v>
      </c>
      <c r="B39" s="18" t="str">
        <f>IF(ISBLANK(ClassInformation!D44),"ZZZZZ",ClassInformation!D44)</f>
        <v>ZZZZZ</v>
      </c>
    </row>
    <row r="40" spans="1:2" s="61" customFormat="1" x14ac:dyDescent="0.25">
      <c r="A40" s="26" t="str">
        <f>IF(ISBLANK(ClassInformation!C45),"ZZZZZ",ClassInformation!C45)</f>
        <v>ZZZZZ</v>
      </c>
      <c r="B40" s="18" t="str">
        <f>IF(ISBLANK(ClassInformation!D45),"ZZZZZ",ClassInformation!D45)</f>
        <v>ZZZZZ</v>
      </c>
    </row>
  </sheetData>
  <sheetProtection formatCells="0" formatColumns="0" formatRows="0" insertColumns="0" deleteColumns="0"/>
  <mergeCells count="2">
    <mergeCell ref="A1:B2"/>
    <mergeCell ref="A3:B3"/>
  </mergeCells>
  <conditionalFormatting sqref="A5:B40">
    <cfRule type="expression" dxfId="25" priority="1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Group Box 1">
              <controlPr defaultSize="0" autoFill="0" autoPict="0">
                <anchor moveWithCells="1">
                  <from>
                    <xdr:col>0</xdr:col>
                    <xdr:colOff>28575</xdr:colOff>
                    <xdr:row>40</xdr:row>
                    <xdr:rowOff>47625</xdr:rowOff>
                  </from>
                  <to>
                    <xdr:col>1</xdr:col>
                    <xdr:colOff>1019175</xdr:colOff>
                    <xdr:row>48</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783B49B7-D1DD-4434-85D1-157729E50BA4}">
            <xm:f>ClassInformation!$E10="N"</xm:f>
            <x14:dxf>
              <font>
                <strike/>
              </font>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I40"/>
  <sheetViews>
    <sheetView zoomScale="85" zoomScaleNormal="85" workbookViewId="0">
      <selection activeCell="Y5" sqref="Y5:Y40"/>
    </sheetView>
  </sheetViews>
  <sheetFormatPr defaultRowHeight="15" x14ac:dyDescent="0.25"/>
  <cols>
    <col min="1" max="1" width="17" style="102" bestFit="1" customWidth="1"/>
    <col min="2" max="2" width="4.7109375" style="103" customWidth="1"/>
    <col min="3" max="3" width="17" style="103" bestFit="1" customWidth="1"/>
    <col min="4" max="4" width="4.7109375" style="103" customWidth="1"/>
    <col min="5" max="5" width="17" style="103" bestFit="1" customWidth="1"/>
    <col min="6" max="6" width="4.7109375" style="124" customWidth="1"/>
    <col min="7" max="7" width="17" style="103" bestFit="1" customWidth="1"/>
    <col min="8" max="8" width="4.7109375" style="124" customWidth="1"/>
    <col min="9" max="9" width="17" style="103" bestFit="1" customWidth="1"/>
    <col min="10" max="10" width="4.7109375" style="124" customWidth="1"/>
    <col min="11" max="11" width="17" style="124" bestFit="1" customWidth="1"/>
    <col min="12" max="12" width="4.7109375" style="124" customWidth="1"/>
    <col min="13" max="13" width="17" style="124" bestFit="1" customWidth="1"/>
    <col min="14" max="14" width="4.7109375" style="124" customWidth="1"/>
    <col min="15" max="15" width="17" style="124" bestFit="1" customWidth="1"/>
    <col min="16" max="16" width="4.7109375" style="124" customWidth="1"/>
    <col min="17" max="17" width="17" style="124" bestFit="1" customWidth="1"/>
    <col min="18" max="18" width="4.7109375" style="124" customWidth="1"/>
    <col min="19" max="19" width="17" style="103" bestFit="1" customWidth="1"/>
    <col min="20" max="20" width="4.7109375" style="124" customWidth="1"/>
    <col min="21" max="21" width="13.28515625" style="103" bestFit="1" customWidth="1"/>
    <col min="22" max="22" width="6.7109375" style="124" customWidth="1"/>
    <col min="23" max="23" width="6.7109375" style="103" customWidth="1"/>
    <col min="24" max="24" width="12.85546875" style="103" bestFit="1" customWidth="1"/>
    <col min="25" max="25" width="6.7109375" style="124" customWidth="1"/>
    <col min="26" max="26" width="6.5703125" style="103" customWidth="1"/>
    <col min="27" max="27" width="11" style="103" bestFit="1" customWidth="1"/>
    <col min="28" max="28" width="10.42578125" style="103" bestFit="1" customWidth="1"/>
    <col min="29" max="29" width="13.42578125" style="109" bestFit="1" customWidth="1"/>
    <col min="30" max="30" width="2.85546875" style="109" customWidth="1"/>
    <col min="31" max="16384" width="9.140625" style="109"/>
  </cols>
  <sheetData>
    <row r="1" spans="1:35" x14ac:dyDescent="0.25">
      <c r="A1" s="111" t="s">
        <v>122</v>
      </c>
      <c r="B1" s="165"/>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7"/>
      <c r="AE1" s="112"/>
      <c r="AF1" s="112"/>
      <c r="AG1" s="112"/>
      <c r="AH1" s="112"/>
      <c r="AI1" s="112"/>
    </row>
    <row r="2" spans="1:35" x14ac:dyDescent="0.25">
      <c r="A2" s="168" t="s">
        <v>32</v>
      </c>
      <c r="B2" s="169"/>
      <c r="C2" s="169"/>
      <c r="D2" s="169"/>
      <c r="E2" s="169"/>
      <c r="F2" s="169"/>
      <c r="G2" s="169"/>
      <c r="H2" s="169"/>
      <c r="I2" s="169"/>
      <c r="J2" s="170"/>
      <c r="K2" s="171" t="s">
        <v>34</v>
      </c>
      <c r="L2" s="169"/>
      <c r="M2" s="169"/>
      <c r="N2" s="169"/>
      <c r="O2" s="169"/>
      <c r="P2" s="169"/>
      <c r="Q2" s="169"/>
      <c r="R2" s="169"/>
      <c r="S2" s="169"/>
      <c r="T2" s="170"/>
      <c r="U2" s="171" t="s">
        <v>35</v>
      </c>
      <c r="V2" s="169"/>
      <c r="W2" s="169"/>
      <c r="X2" s="169"/>
      <c r="Y2" s="169"/>
      <c r="Z2" s="169"/>
      <c r="AA2" s="169"/>
      <c r="AB2" s="169"/>
      <c r="AC2" s="172"/>
      <c r="AD2" s="113" t="s">
        <v>18</v>
      </c>
      <c r="AF2" s="114"/>
      <c r="AG2" s="114"/>
      <c r="AH2" s="114"/>
      <c r="AI2" s="114"/>
    </row>
    <row r="3" spans="1:35" x14ac:dyDescent="0.25">
      <c r="A3" s="115" t="str">
        <f>_xlfn.TEXTJOIN(" ", TRUE, "Max",A4,": ")</f>
        <v xml:space="preserve">Max [Mark] : </v>
      </c>
      <c r="B3" s="116"/>
      <c r="C3" s="115" t="str">
        <f t="shared" ref="B3:C3" si="0">_xlfn.TEXTJOIN(" ", TRUE, "Max",C4,": ")</f>
        <v xml:space="preserve">Max [Mark] : </v>
      </c>
      <c r="D3" s="116"/>
      <c r="E3" s="115" t="str">
        <f t="shared" ref="E3" si="1">_xlfn.TEXTJOIN(" ", TRUE, "Max",E4,": ")</f>
        <v xml:space="preserve">Max [Mark] : </v>
      </c>
      <c r="F3" s="116"/>
      <c r="G3" s="115" t="str">
        <f t="shared" ref="G3" si="2">_xlfn.TEXTJOIN(" ", TRUE, "Max",G4,": ")</f>
        <v xml:space="preserve">Max [Mark] : </v>
      </c>
      <c r="H3" s="116"/>
      <c r="I3" s="115" t="str">
        <f t="shared" ref="I3" si="3">_xlfn.TEXTJOIN(" ", TRUE, "Max",I4,": ")</f>
        <v xml:space="preserve">Max [Mark] : </v>
      </c>
      <c r="J3" s="116"/>
      <c r="K3" s="115" t="str">
        <f t="shared" ref="K3" si="4">_xlfn.TEXTJOIN(" ", TRUE, "Max",K4,": ")</f>
        <v xml:space="preserve">Max [Mark] : </v>
      </c>
      <c r="L3" s="116"/>
      <c r="M3" s="115" t="str">
        <f t="shared" ref="M3" si="5">_xlfn.TEXTJOIN(" ", TRUE, "Max",M4,": ")</f>
        <v xml:space="preserve">Max [Mark] : </v>
      </c>
      <c r="N3" s="116"/>
      <c r="O3" s="115" t="str">
        <f t="shared" ref="O3" si="6">_xlfn.TEXTJOIN(" ", TRUE, "Max",O4,": ")</f>
        <v xml:space="preserve">Max [Mark] : </v>
      </c>
      <c r="P3" s="116"/>
      <c r="Q3" s="115" t="str">
        <f t="shared" ref="Q3" si="7">_xlfn.TEXTJOIN(" ", TRUE, "Max",Q4,": ")</f>
        <v xml:space="preserve">Max [Mark] : </v>
      </c>
      <c r="R3" s="116"/>
      <c r="S3" s="115" t="str">
        <f t="shared" ref="S3" si="8">_xlfn.TEXTJOIN(" ", TRUE, "Max",S4,": ")</f>
        <v xml:space="preserve">Max [Mark] : </v>
      </c>
      <c r="T3" s="116"/>
      <c r="U3" s="115" t="str">
        <f>_xlfn.TEXTJOIN(" ",TRUE,"Max",A2,":")</f>
        <v>Max UD :</v>
      </c>
      <c r="V3" s="173">
        <f>IF(OR(B3="-",D3="-",F3="-",H3="-",J3="-"),"-",SUM(B3,D3,F3,H3,J3))</f>
        <v>0</v>
      </c>
      <c r="W3" s="174"/>
      <c r="X3" s="115" t="str">
        <f>_xlfn.TEXTJOIN(" ",TRUE,"Max",K2,":")</f>
        <v>Max SD :</v>
      </c>
      <c r="Y3" s="175">
        <f>IF(OR(L3="-",N3="-",P3="-",R3="-",T3="-"),"-",SUM(L3,N3,P3,R3,T3))</f>
        <v>0</v>
      </c>
      <c r="Z3" s="176"/>
      <c r="AA3" s="117"/>
      <c r="AB3" s="117"/>
      <c r="AC3" s="117"/>
      <c r="AD3" s="113" t="s">
        <v>18</v>
      </c>
    </row>
    <row r="4" spans="1:35" x14ac:dyDescent="0.25">
      <c r="A4" s="163" t="s">
        <v>40</v>
      </c>
      <c r="B4" s="164"/>
      <c r="C4" s="194" t="s">
        <v>40</v>
      </c>
      <c r="D4" s="164"/>
      <c r="E4" s="194" t="s">
        <v>40</v>
      </c>
      <c r="F4" s="164"/>
      <c r="G4" s="194" t="s">
        <v>40</v>
      </c>
      <c r="H4" s="164"/>
      <c r="I4" s="194" t="s">
        <v>40</v>
      </c>
      <c r="J4" s="164"/>
      <c r="K4" s="194" t="s">
        <v>40</v>
      </c>
      <c r="L4" s="164"/>
      <c r="M4" s="194" t="s">
        <v>40</v>
      </c>
      <c r="N4" s="164"/>
      <c r="O4" s="194" t="s">
        <v>40</v>
      </c>
      <c r="P4" s="164"/>
      <c r="Q4" s="194" t="s">
        <v>40</v>
      </c>
      <c r="R4" s="164"/>
      <c r="S4" s="194" t="s">
        <v>40</v>
      </c>
      <c r="T4" s="164"/>
      <c r="U4" s="219" t="str">
        <f>_xlfn.TEXTJOIN(" ",TRUE,U2,A2)</f>
        <v>Overall UD</v>
      </c>
      <c r="V4" s="221" t="s">
        <v>33</v>
      </c>
      <c r="W4" s="118" t="s">
        <v>1</v>
      </c>
      <c r="X4" s="119" t="str">
        <f>_xlfn.TEXTJOIN(" ",TRUE,U2,K2)</f>
        <v>Overall SD</v>
      </c>
      <c r="Y4" s="120" t="s">
        <v>33</v>
      </c>
      <c r="Z4" s="121" t="s">
        <v>1</v>
      </c>
      <c r="AA4" s="209" t="s">
        <v>55</v>
      </c>
      <c r="AB4" s="122" t="s">
        <v>56</v>
      </c>
      <c r="AC4" s="122" t="s">
        <v>131</v>
      </c>
      <c r="AD4" s="113" t="s">
        <v>18</v>
      </c>
    </row>
    <row r="5" spans="1:35" x14ac:dyDescent="0.25">
      <c r="A5" s="193"/>
      <c r="B5" s="192"/>
      <c r="C5" s="193"/>
      <c r="D5" s="192"/>
      <c r="E5" s="193"/>
      <c r="F5" s="192"/>
      <c r="G5" s="193"/>
      <c r="H5" s="192"/>
      <c r="I5" s="193"/>
      <c r="J5" s="192"/>
      <c r="K5" s="211"/>
      <c r="L5" s="212"/>
      <c r="M5" s="193"/>
      <c r="N5" s="192"/>
      <c r="O5" s="193"/>
      <c r="P5" s="192"/>
      <c r="Q5" s="193"/>
      <c r="R5" s="192"/>
      <c r="S5" s="193"/>
      <c r="T5" s="192"/>
      <c r="U5" s="218" t="str">
        <f>IF(COUNTIF(A5:J5,"*-*")&gt;0,"-",IF(COUNTBLANK(A5:J5)=10,"",IF(V$3="-","-",SUM(A5:J5))))</f>
        <v/>
      </c>
      <c r="V5" s="233" t="str">
        <f>IF(U5="","",IF(U5="-","-",U5/V$3))</f>
        <v/>
      </c>
      <c r="W5" s="220" t="str">
        <f>IF(V5="","",VLOOKUP(V5,Table1[],2,TRUE))</f>
        <v/>
      </c>
      <c r="X5" s="228" t="str">
        <f>IF(COUNTIF(K5:T5,"*-*")&gt;0,"-",IF(COUNTBLANK(K5:T5)=10,"",IF(Y$3="-","-",SUM(K5:T5))))</f>
        <v/>
      </c>
      <c r="Y5" s="235" t="str">
        <f>IF(X5="","",IF(X5="-", "-",X5/Y$3))</f>
        <v/>
      </c>
      <c r="Z5" s="222" t="str">
        <f>IF(Y5="","",VLOOKUP(Y5,Table1[],2,TRUE))</f>
        <v/>
      </c>
      <c r="AA5" s="231" t="str">
        <f>IF(AND(V5="",Y5=""),"",IF(OR(V5="-",Y5="-"),"-",IF(AND(V$3&lt;&gt;0,Y$3&lt;&gt;0),VLOOKUP(AVERAGE(V5,Y5),Table1[],2,TRUE),IF(AND(V$3&lt;&gt;0,Y$3=0),W5,Z5))))</f>
        <v/>
      </c>
      <c r="AB5" s="198"/>
      <c r="AC5" s="198" t="str">
        <f>IF(ISBLANK(AB5),AA5,AB5)</f>
        <v/>
      </c>
      <c r="AD5" s="201" t="s">
        <v>18</v>
      </c>
    </row>
    <row r="6" spans="1:35" x14ac:dyDescent="0.25">
      <c r="A6" s="193"/>
      <c r="B6" s="192"/>
      <c r="C6" s="193"/>
      <c r="D6" s="192"/>
      <c r="E6" s="193"/>
      <c r="F6" s="192"/>
      <c r="G6" s="193"/>
      <c r="H6" s="192"/>
      <c r="I6" s="193"/>
      <c r="J6" s="192"/>
      <c r="K6" s="211"/>
      <c r="L6" s="212"/>
      <c r="M6" s="193"/>
      <c r="N6" s="192"/>
      <c r="O6" s="193"/>
      <c r="P6" s="192"/>
      <c r="Q6" s="193"/>
      <c r="R6" s="192"/>
      <c r="S6" s="193"/>
      <c r="T6" s="192"/>
      <c r="U6" s="218" t="str">
        <f t="shared" ref="U6:U40" si="9">IF(COUNTIF(A6:J6,"*-*")&gt;0,"-",IF(COUNTBLANK(A6:J6)=10,"",IF(V$3="-","-",SUM(A6:J6))))</f>
        <v/>
      </c>
      <c r="V6" s="233" t="str">
        <f t="shared" ref="V6:V40" si="10">IF(U6="","",IF(U6="-","-",U6/V$3))</f>
        <v/>
      </c>
      <c r="W6" s="220" t="str">
        <f>IF(U6="","",VLOOKUP(V6,Table1[],2,TRUE))</f>
        <v/>
      </c>
      <c r="X6" s="229" t="str">
        <f t="shared" ref="X6:X40" si="11">IF(COUNTIF(K6:T6,"*-*")&gt;0,"-",IF(COUNTBLANK(K6:T6)=10,"",IF(Y$3="-","-",SUM(K6:T6))))</f>
        <v/>
      </c>
      <c r="Y6" s="235" t="str">
        <f>IF(X6="","",IF(X6="-", "-",X6/Y$3))</f>
        <v/>
      </c>
      <c r="Z6" s="222" t="str">
        <f>IF(X6="","",VLOOKUP(Y6,Table1[],2,TRUE))</f>
        <v/>
      </c>
      <c r="AA6" s="231" t="str">
        <f>IF(AND(V6="",Y6=""),"",IF(OR(V6="-",Y6="-"),"-",IF(AND(V$3&lt;&gt;0,Y$3&lt;&gt;0),VLOOKUP(AVERAGE(V6,Y6),Table1[],2,TRUE),IF(AND(V$3&lt;&gt;0,Y$3=0),W6,Z6))))</f>
        <v/>
      </c>
      <c r="AB6" s="198"/>
      <c r="AC6" s="198" t="str">
        <f t="shared" ref="AC6:AC40" si="12">IF(ISBLANK(AB6),AA6,AB6)</f>
        <v/>
      </c>
      <c r="AD6" s="201" t="s">
        <v>18</v>
      </c>
    </row>
    <row r="7" spans="1:35" x14ac:dyDescent="0.25">
      <c r="A7" s="193"/>
      <c r="B7" s="192"/>
      <c r="C7" s="193"/>
      <c r="D7" s="192"/>
      <c r="E7" s="193"/>
      <c r="F7" s="192"/>
      <c r="G7" s="193"/>
      <c r="H7" s="192"/>
      <c r="I7" s="193"/>
      <c r="J7" s="192"/>
      <c r="K7" s="211"/>
      <c r="L7" s="212"/>
      <c r="M7" s="193"/>
      <c r="N7" s="192"/>
      <c r="O7" s="193"/>
      <c r="P7" s="192"/>
      <c r="Q7" s="193"/>
      <c r="R7" s="192"/>
      <c r="S7" s="193"/>
      <c r="T7" s="192"/>
      <c r="U7" s="218" t="str">
        <f t="shared" si="9"/>
        <v/>
      </c>
      <c r="V7" s="233" t="str">
        <f t="shared" si="10"/>
        <v/>
      </c>
      <c r="W7" s="220" t="str">
        <f>IF(U7="","",VLOOKUP(V7,Table1[],2,TRUE))</f>
        <v/>
      </c>
      <c r="X7" s="229" t="str">
        <f t="shared" si="11"/>
        <v/>
      </c>
      <c r="Y7" s="235" t="str">
        <f t="shared" ref="Y7:Y39" si="13">IF(X7="","",IF(X7="-", "-",X7/Y$3))</f>
        <v/>
      </c>
      <c r="Z7" s="222" t="str">
        <f>IF(X7="","",VLOOKUP(Y7,Table1[],2,TRUE))</f>
        <v/>
      </c>
      <c r="AA7" s="231" t="str">
        <f>IF(AND(V7="",Y7=""),"",IF(OR(V7="-",Y7="-"),"-",IF(AND(V$3&lt;&gt;0,Y$3&lt;&gt;0),VLOOKUP(AVERAGE(V7,Y7),Table1[],2,TRUE),IF(AND(V$3&lt;&gt;0,Y$3=0),W7,Z7))))</f>
        <v/>
      </c>
      <c r="AB7" s="198"/>
      <c r="AC7" s="198" t="str">
        <f t="shared" si="12"/>
        <v/>
      </c>
      <c r="AD7" s="201" t="s">
        <v>18</v>
      </c>
    </row>
    <row r="8" spans="1:35" x14ac:dyDescent="0.25">
      <c r="A8" s="193"/>
      <c r="B8" s="192"/>
      <c r="C8" s="193"/>
      <c r="D8" s="192"/>
      <c r="E8" s="193"/>
      <c r="F8" s="192"/>
      <c r="G8" s="193"/>
      <c r="H8" s="192"/>
      <c r="I8" s="193"/>
      <c r="J8" s="192"/>
      <c r="K8" s="211"/>
      <c r="L8" s="212"/>
      <c r="M8" s="193"/>
      <c r="N8" s="192"/>
      <c r="O8" s="193"/>
      <c r="P8" s="192"/>
      <c r="Q8" s="193"/>
      <c r="R8" s="192"/>
      <c r="S8" s="193"/>
      <c r="T8" s="192"/>
      <c r="U8" s="218" t="str">
        <f t="shared" si="9"/>
        <v/>
      </c>
      <c r="V8" s="233" t="str">
        <f t="shared" si="10"/>
        <v/>
      </c>
      <c r="W8" s="220" t="str">
        <f>IF(U8="","",VLOOKUP(V8,Table1[],2,TRUE))</f>
        <v/>
      </c>
      <c r="X8" s="229" t="str">
        <f t="shared" si="11"/>
        <v/>
      </c>
      <c r="Y8" s="235" t="str">
        <f t="shared" si="13"/>
        <v/>
      </c>
      <c r="Z8" s="222" t="str">
        <f>IF(X8="","",VLOOKUP(Y8,Table1[],2,TRUE))</f>
        <v/>
      </c>
      <c r="AA8" s="231" t="str">
        <f>IF(AND(V8="",Y8=""),"",IF(OR(V8="-",Y8="-"),"-",IF(AND(V$3&lt;&gt;0,Y$3&lt;&gt;0),VLOOKUP(AVERAGE(V8,Y8),Table1[],2,TRUE),IF(AND(V$3&lt;&gt;0,Y$3=0),W8,Z8))))</f>
        <v/>
      </c>
      <c r="AB8" s="198"/>
      <c r="AC8" s="198" t="str">
        <f t="shared" si="12"/>
        <v/>
      </c>
      <c r="AD8" s="201" t="s">
        <v>18</v>
      </c>
    </row>
    <row r="9" spans="1:35" x14ac:dyDescent="0.25">
      <c r="A9" s="193"/>
      <c r="B9" s="192"/>
      <c r="C9" s="193"/>
      <c r="D9" s="192"/>
      <c r="E9" s="193"/>
      <c r="F9" s="192"/>
      <c r="G9" s="193"/>
      <c r="H9" s="192"/>
      <c r="I9" s="193"/>
      <c r="J9" s="192"/>
      <c r="K9" s="211"/>
      <c r="L9" s="212"/>
      <c r="M9" s="193"/>
      <c r="N9" s="192"/>
      <c r="O9" s="193"/>
      <c r="P9" s="192"/>
      <c r="Q9" s="193"/>
      <c r="R9" s="192"/>
      <c r="S9" s="193"/>
      <c r="T9" s="192"/>
      <c r="U9" s="218" t="str">
        <f t="shared" si="9"/>
        <v/>
      </c>
      <c r="V9" s="233" t="str">
        <f t="shared" si="10"/>
        <v/>
      </c>
      <c r="W9" s="220" t="str">
        <f>IF(U9="","",VLOOKUP(V9,Table1[],2,TRUE))</f>
        <v/>
      </c>
      <c r="X9" s="229" t="str">
        <f t="shared" si="11"/>
        <v/>
      </c>
      <c r="Y9" s="235" t="str">
        <f t="shared" si="13"/>
        <v/>
      </c>
      <c r="Z9" s="222" t="str">
        <f>IF(X9="","",VLOOKUP(Y9,Table1[],2,TRUE))</f>
        <v/>
      </c>
      <c r="AA9" s="231" t="str">
        <f>IF(AND(V9="",Y9=""),"",IF(OR(V9="-",Y9="-"),"-",IF(AND(V$3&lt;&gt;0,Y$3&lt;&gt;0),VLOOKUP(AVERAGE(V9,Y9),Table1[],2,TRUE),IF(AND(V$3&lt;&gt;0,Y$3=0),W9,Z9))))</f>
        <v/>
      </c>
      <c r="AB9" s="198"/>
      <c r="AC9" s="198" t="str">
        <f t="shared" si="12"/>
        <v/>
      </c>
      <c r="AD9" s="201" t="s">
        <v>18</v>
      </c>
    </row>
    <row r="10" spans="1:35" x14ac:dyDescent="0.25">
      <c r="A10" s="193"/>
      <c r="B10" s="192"/>
      <c r="C10" s="193"/>
      <c r="D10" s="192"/>
      <c r="E10" s="193"/>
      <c r="F10" s="192"/>
      <c r="G10" s="193"/>
      <c r="H10" s="192"/>
      <c r="I10" s="193"/>
      <c r="J10" s="192"/>
      <c r="K10" s="211"/>
      <c r="L10" s="212"/>
      <c r="M10" s="193"/>
      <c r="N10" s="192"/>
      <c r="O10" s="193"/>
      <c r="P10" s="192"/>
      <c r="Q10" s="193"/>
      <c r="R10" s="192"/>
      <c r="S10" s="193"/>
      <c r="T10" s="192"/>
      <c r="U10" s="218" t="str">
        <f t="shared" si="9"/>
        <v/>
      </c>
      <c r="V10" s="233" t="str">
        <f t="shared" si="10"/>
        <v/>
      </c>
      <c r="W10" s="220" t="str">
        <f>IF(U10="","",VLOOKUP(V10,Table1[],2,TRUE))</f>
        <v/>
      </c>
      <c r="X10" s="229" t="str">
        <f t="shared" si="11"/>
        <v/>
      </c>
      <c r="Y10" s="235" t="str">
        <f t="shared" si="13"/>
        <v/>
      </c>
      <c r="Z10" s="222" t="str">
        <f>IF(X10="","",VLOOKUP(Y10,Table1[],2,TRUE))</f>
        <v/>
      </c>
      <c r="AA10" s="231" t="str">
        <f>IF(AND(V10="",Y10=""),"",IF(OR(V10="-",Y10="-"),"-",IF(AND(V$3&lt;&gt;0,Y$3&lt;&gt;0),VLOOKUP(AVERAGE(V10,Y10),Table1[],2,TRUE),IF(AND(V$3&lt;&gt;0,Y$3=0),W10,Z10))))</f>
        <v/>
      </c>
      <c r="AB10" s="198"/>
      <c r="AC10" s="198" t="str">
        <f t="shared" si="12"/>
        <v/>
      </c>
      <c r="AD10" s="201" t="s">
        <v>18</v>
      </c>
    </row>
    <row r="11" spans="1:35" x14ac:dyDescent="0.25">
      <c r="A11" s="193"/>
      <c r="B11" s="192"/>
      <c r="C11" s="193"/>
      <c r="D11" s="192"/>
      <c r="E11" s="193"/>
      <c r="F11" s="192"/>
      <c r="G11" s="193"/>
      <c r="H11" s="192"/>
      <c r="I11" s="193"/>
      <c r="J11" s="192"/>
      <c r="K11" s="211"/>
      <c r="L11" s="212"/>
      <c r="M11" s="193"/>
      <c r="N11" s="192"/>
      <c r="O11" s="193"/>
      <c r="P11" s="192"/>
      <c r="Q11" s="193"/>
      <c r="R11" s="192"/>
      <c r="S11" s="193"/>
      <c r="T11" s="192"/>
      <c r="U11" s="218" t="str">
        <f t="shared" si="9"/>
        <v/>
      </c>
      <c r="V11" s="233" t="str">
        <f t="shared" si="10"/>
        <v/>
      </c>
      <c r="W11" s="220" t="str">
        <f>IF(U11="","",VLOOKUP(V11,Table1[],2,TRUE))</f>
        <v/>
      </c>
      <c r="X11" s="229" t="str">
        <f t="shared" si="11"/>
        <v/>
      </c>
      <c r="Y11" s="235" t="str">
        <f t="shared" si="13"/>
        <v/>
      </c>
      <c r="Z11" s="222" t="str">
        <f>IF(X11="","",VLOOKUP(Y11,Table1[],2,TRUE))</f>
        <v/>
      </c>
      <c r="AA11" s="231" t="str">
        <f>IF(AND(V11="",Y11=""),"",IF(OR(V11="-",Y11="-"),"-",IF(AND(V$3&lt;&gt;0,Y$3&lt;&gt;0),VLOOKUP(AVERAGE(V11,Y11),Table1[],2,TRUE),IF(AND(V$3&lt;&gt;0,Y$3=0),W11,Z11))))</f>
        <v/>
      </c>
      <c r="AB11" s="198"/>
      <c r="AC11" s="198" t="str">
        <f t="shared" si="12"/>
        <v/>
      </c>
      <c r="AD11" s="201" t="s">
        <v>18</v>
      </c>
    </row>
    <row r="12" spans="1:35" x14ac:dyDescent="0.25">
      <c r="A12" s="193"/>
      <c r="B12" s="192"/>
      <c r="C12" s="193"/>
      <c r="D12" s="192"/>
      <c r="E12" s="193"/>
      <c r="F12" s="192"/>
      <c r="G12" s="193"/>
      <c r="H12" s="192"/>
      <c r="I12" s="193"/>
      <c r="J12" s="192"/>
      <c r="K12" s="211"/>
      <c r="L12" s="212"/>
      <c r="M12" s="193"/>
      <c r="N12" s="192"/>
      <c r="O12" s="193"/>
      <c r="P12" s="192"/>
      <c r="Q12" s="193"/>
      <c r="R12" s="192"/>
      <c r="S12" s="193"/>
      <c r="T12" s="192"/>
      <c r="U12" s="218" t="str">
        <f t="shared" si="9"/>
        <v/>
      </c>
      <c r="V12" s="233" t="str">
        <f t="shared" si="10"/>
        <v/>
      </c>
      <c r="W12" s="220" t="str">
        <f>IF(U12="","",VLOOKUP(V12,Table1[],2,TRUE))</f>
        <v/>
      </c>
      <c r="X12" s="229" t="str">
        <f t="shared" si="11"/>
        <v/>
      </c>
      <c r="Y12" s="235" t="str">
        <f t="shared" si="13"/>
        <v/>
      </c>
      <c r="Z12" s="222" t="str">
        <f>IF(X12="","",VLOOKUP(Y12,Table1[],2,TRUE))</f>
        <v/>
      </c>
      <c r="AA12" s="231" t="str">
        <f>IF(AND(V12="",Y12=""),"",IF(OR(V12="-",Y12="-"),"-",IF(AND(V$3&lt;&gt;0,Y$3&lt;&gt;0),VLOOKUP(AVERAGE(V12,Y12),Table1[],2,TRUE),IF(AND(V$3&lt;&gt;0,Y$3=0),W12,Z12))))</f>
        <v/>
      </c>
      <c r="AB12" s="198"/>
      <c r="AC12" s="198" t="str">
        <f t="shared" si="12"/>
        <v/>
      </c>
      <c r="AD12" s="201" t="s">
        <v>18</v>
      </c>
    </row>
    <row r="13" spans="1:35" x14ac:dyDescent="0.25">
      <c r="A13" s="193"/>
      <c r="B13" s="192"/>
      <c r="C13" s="193"/>
      <c r="D13" s="192"/>
      <c r="E13" s="193"/>
      <c r="F13" s="192"/>
      <c r="G13" s="193"/>
      <c r="H13" s="192"/>
      <c r="I13" s="193"/>
      <c r="J13" s="192"/>
      <c r="K13" s="211"/>
      <c r="L13" s="212"/>
      <c r="M13" s="193"/>
      <c r="N13" s="192"/>
      <c r="O13" s="193"/>
      <c r="P13" s="192"/>
      <c r="Q13" s="193"/>
      <c r="R13" s="192"/>
      <c r="S13" s="193"/>
      <c r="T13" s="192"/>
      <c r="U13" s="218" t="str">
        <f t="shared" si="9"/>
        <v/>
      </c>
      <c r="V13" s="233" t="str">
        <f t="shared" si="10"/>
        <v/>
      </c>
      <c r="W13" s="220" t="str">
        <f>IF(U13="","",VLOOKUP(V13,Table1[],2,TRUE))</f>
        <v/>
      </c>
      <c r="X13" s="229" t="str">
        <f t="shared" si="11"/>
        <v/>
      </c>
      <c r="Y13" s="235" t="str">
        <f t="shared" si="13"/>
        <v/>
      </c>
      <c r="Z13" s="222" t="str">
        <f>IF(X13="","",VLOOKUP(Y13,Table1[],2,TRUE))</f>
        <v/>
      </c>
      <c r="AA13" s="231" t="str">
        <f>IF(AND(V13="",Y13=""),"",IF(OR(V13="-",Y13="-"),"-",IF(AND(V$3&lt;&gt;0,Y$3&lt;&gt;0),VLOOKUP(AVERAGE(V13,Y13),Table1[],2,TRUE),IF(AND(V$3&lt;&gt;0,Y$3=0),W13,Z13))))</f>
        <v/>
      </c>
      <c r="AB13" s="198"/>
      <c r="AC13" s="198" t="str">
        <f t="shared" si="12"/>
        <v/>
      </c>
      <c r="AD13" s="201" t="s">
        <v>18</v>
      </c>
    </row>
    <row r="14" spans="1:35" x14ac:dyDescent="0.25">
      <c r="A14" s="193"/>
      <c r="B14" s="192"/>
      <c r="C14" s="193"/>
      <c r="D14" s="192"/>
      <c r="E14" s="193"/>
      <c r="F14" s="192"/>
      <c r="G14" s="193"/>
      <c r="H14" s="192"/>
      <c r="I14" s="193"/>
      <c r="J14" s="192"/>
      <c r="K14" s="211"/>
      <c r="L14" s="212"/>
      <c r="M14" s="193"/>
      <c r="N14" s="192"/>
      <c r="O14" s="193"/>
      <c r="P14" s="192"/>
      <c r="Q14" s="193"/>
      <c r="R14" s="192"/>
      <c r="S14" s="193"/>
      <c r="T14" s="192"/>
      <c r="U14" s="218" t="str">
        <f t="shared" si="9"/>
        <v/>
      </c>
      <c r="V14" s="233" t="str">
        <f t="shared" si="10"/>
        <v/>
      </c>
      <c r="W14" s="220" t="str">
        <f>IF(U14="","",VLOOKUP(V14,Table1[],2,TRUE))</f>
        <v/>
      </c>
      <c r="X14" s="229" t="str">
        <f t="shared" si="11"/>
        <v/>
      </c>
      <c r="Y14" s="235" t="str">
        <f t="shared" si="13"/>
        <v/>
      </c>
      <c r="Z14" s="222" t="str">
        <f>IF(X14="","",VLOOKUP(Y14,Table1[],2,TRUE))</f>
        <v/>
      </c>
      <c r="AA14" s="231" t="str">
        <f>IF(AND(V14="",Y14=""),"",IF(OR(V14="-",Y14="-"),"-",IF(AND(V$3&lt;&gt;0,Y$3&lt;&gt;0),VLOOKUP(AVERAGE(V14,Y14),Table1[],2,TRUE),IF(AND(V$3&lt;&gt;0,Y$3=0),W14,Z14))))</f>
        <v/>
      </c>
      <c r="AB14" s="198"/>
      <c r="AC14" s="198" t="str">
        <f t="shared" si="12"/>
        <v/>
      </c>
      <c r="AD14" s="201" t="s">
        <v>18</v>
      </c>
    </row>
    <row r="15" spans="1:35" x14ac:dyDescent="0.25">
      <c r="A15" s="193"/>
      <c r="B15" s="192"/>
      <c r="C15" s="193"/>
      <c r="D15" s="192"/>
      <c r="E15" s="193"/>
      <c r="F15" s="192"/>
      <c r="G15" s="193"/>
      <c r="H15" s="192"/>
      <c r="I15" s="193"/>
      <c r="J15" s="192"/>
      <c r="K15" s="211"/>
      <c r="L15" s="212"/>
      <c r="M15" s="193"/>
      <c r="N15" s="192"/>
      <c r="O15" s="193"/>
      <c r="P15" s="192"/>
      <c r="Q15" s="193"/>
      <c r="R15" s="192"/>
      <c r="S15" s="193"/>
      <c r="T15" s="192"/>
      <c r="U15" s="218" t="str">
        <f t="shared" si="9"/>
        <v/>
      </c>
      <c r="V15" s="233" t="str">
        <f t="shared" si="10"/>
        <v/>
      </c>
      <c r="W15" s="220" t="str">
        <f>IF(U15="","",VLOOKUP(V15,Table1[],2,TRUE))</f>
        <v/>
      </c>
      <c r="X15" s="229" t="str">
        <f t="shared" si="11"/>
        <v/>
      </c>
      <c r="Y15" s="235" t="str">
        <f t="shared" si="13"/>
        <v/>
      </c>
      <c r="Z15" s="222" t="str">
        <f>IF(X15="","",VLOOKUP(Y15,Table1[],2,TRUE))</f>
        <v/>
      </c>
      <c r="AA15" s="231" t="str">
        <f>IF(AND(V15="",Y15=""),"",IF(OR(V15="-",Y15="-"),"-",IF(AND(V$3&lt;&gt;0,Y$3&lt;&gt;0),VLOOKUP(AVERAGE(V15,Y15),Table1[],2,TRUE),IF(AND(V$3&lt;&gt;0,Y$3=0),W15,Z15))))</f>
        <v/>
      </c>
      <c r="AB15" s="198"/>
      <c r="AC15" s="198" t="str">
        <f t="shared" si="12"/>
        <v/>
      </c>
      <c r="AD15" s="201" t="s">
        <v>18</v>
      </c>
    </row>
    <row r="16" spans="1:35" x14ac:dyDescent="0.25">
      <c r="A16" s="193"/>
      <c r="B16" s="192"/>
      <c r="C16" s="193"/>
      <c r="D16" s="192"/>
      <c r="E16" s="193"/>
      <c r="F16" s="192"/>
      <c r="G16" s="193"/>
      <c r="H16" s="192"/>
      <c r="I16" s="193"/>
      <c r="J16" s="192"/>
      <c r="K16" s="211"/>
      <c r="L16" s="212"/>
      <c r="M16" s="193"/>
      <c r="N16" s="192"/>
      <c r="O16" s="193"/>
      <c r="P16" s="192"/>
      <c r="Q16" s="193"/>
      <c r="R16" s="192"/>
      <c r="S16" s="193"/>
      <c r="T16" s="192"/>
      <c r="U16" s="218" t="str">
        <f t="shared" si="9"/>
        <v/>
      </c>
      <c r="V16" s="233" t="str">
        <f t="shared" si="10"/>
        <v/>
      </c>
      <c r="W16" s="220" t="str">
        <f>IF(U16="","",VLOOKUP(V16,Table1[],2,TRUE))</f>
        <v/>
      </c>
      <c r="X16" s="229" t="str">
        <f t="shared" si="11"/>
        <v/>
      </c>
      <c r="Y16" s="235" t="str">
        <f t="shared" si="13"/>
        <v/>
      </c>
      <c r="Z16" s="222" t="str">
        <f>IF(X16="","",VLOOKUP(Y16,Table1[],2,TRUE))</f>
        <v/>
      </c>
      <c r="AA16" s="231" t="str">
        <f>IF(AND(V16="",Y16=""),"",IF(OR(V16="-",Y16="-"),"-",IF(AND(V$3&lt;&gt;0,Y$3&lt;&gt;0),VLOOKUP(AVERAGE(V16,Y16),Table1[],2,TRUE),IF(AND(V$3&lt;&gt;0,Y$3=0),W16,Z16))))</f>
        <v/>
      </c>
      <c r="AB16" s="198"/>
      <c r="AC16" s="198" t="str">
        <f t="shared" si="12"/>
        <v/>
      </c>
      <c r="AD16" s="201" t="s">
        <v>18</v>
      </c>
    </row>
    <row r="17" spans="1:30" x14ac:dyDescent="0.25">
      <c r="A17" s="193"/>
      <c r="B17" s="192"/>
      <c r="C17" s="193"/>
      <c r="D17" s="192"/>
      <c r="E17" s="193"/>
      <c r="F17" s="192"/>
      <c r="G17" s="193"/>
      <c r="H17" s="192"/>
      <c r="I17" s="193"/>
      <c r="J17" s="192"/>
      <c r="K17" s="211"/>
      <c r="L17" s="212"/>
      <c r="M17" s="193"/>
      <c r="N17" s="192"/>
      <c r="O17" s="193"/>
      <c r="P17" s="192"/>
      <c r="Q17" s="193"/>
      <c r="R17" s="192"/>
      <c r="S17" s="193"/>
      <c r="T17" s="192"/>
      <c r="U17" s="218" t="str">
        <f t="shared" si="9"/>
        <v/>
      </c>
      <c r="V17" s="233" t="str">
        <f t="shared" si="10"/>
        <v/>
      </c>
      <c r="W17" s="220" t="str">
        <f>IF(U17="","",VLOOKUP(V17,Table1[],2,TRUE))</f>
        <v/>
      </c>
      <c r="X17" s="229" t="str">
        <f t="shared" si="11"/>
        <v/>
      </c>
      <c r="Y17" s="235" t="str">
        <f t="shared" si="13"/>
        <v/>
      </c>
      <c r="Z17" s="222" t="str">
        <f>IF(X17="","",VLOOKUP(Y17,Table1[],2,TRUE))</f>
        <v/>
      </c>
      <c r="AA17" s="231" t="str">
        <f>IF(AND(V17="",Y17=""),"",IF(OR(V17="-",Y17="-"),"-",IF(AND(V$3&lt;&gt;0,Y$3&lt;&gt;0),VLOOKUP(AVERAGE(V17,Y17),Table1[],2,TRUE),IF(AND(V$3&lt;&gt;0,Y$3=0),W17,Z17))))</f>
        <v/>
      </c>
      <c r="AB17" s="198"/>
      <c r="AC17" s="198" t="str">
        <f t="shared" si="12"/>
        <v/>
      </c>
      <c r="AD17" s="201" t="s">
        <v>18</v>
      </c>
    </row>
    <row r="18" spans="1:30" x14ac:dyDescent="0.25">
      <c r="A18" s="193"/>
      <c r="B18" s="192"/>
      <c r="C18" s="193"/>
      <c r="D18" s="192"/>
      <c r="E18" s="193"/>
      <c r="F18" s="192"/>
      <c r="G18" s="193"/>
      <c r="H18" s="192"/>
      <c r="I18" s="193"/>
      <c r="J18" s="192"/>
      <c r="K18" s="211"/>
      <c r="L18" s="212"/>
      <c r="M18" s="193"/>
      <c r="N18" s="192"/>
      <c r="O18" s="193"/>
      <c r="P18" s="192"/>
      <c r="Q18" s="193"/>
      <c r="R18" s="192"/>
      <c r="S18" s="193"/>
      <c r="T18" s="192"/>
      <c r="U18" s="218" t="str">
        <f t="shared" si="9"/>
        <v/>
      </c>
      <c r="V18" s="233" t="str">
        <f t="shared" si="10"/>
        <v/>
      </c>
      <c r="W18" s="220" t="str">
        <f>IF(U18="","",VLOOKUP(V18,Table1[],2,TRUE))</f>
        <v/>
      </c>
      <c r="X18" s="229" t="str">
        <f t="shared" si="11"/>
        <v/>
      </c>
      <c r="Y18" s="235" t="str">
        <f t="shared" si="13"/>
        <v/>
      </c>
      <c r="Z18" s="222" t="str">
        <f>IF(X18="","",VLOOKUP(Y18,Table1[],2,TRUE))</f>
        <v/>
      </c>
      <c r="AA18" s="231" t="str">
        <f>IF(AND(V18="",Y18=""),"",IF(OR(V18="-",Y18="-"),"-",IF(AND(V$3&lt;&gt;0,Y$3&lt;&gt;0),VLOOKUP(AVERAGE(V18,Y18),Table1[],2,TRUE),IF(AND(V$3&lt;&gt;0,Y$3=0),W18,Z18))))</f>
        <v/>
      </c>
      <c r="AB18" s="198"/>
      <c r="AC18" s="198" t="str">
        <f t="shared" si="12"/>
        <v/>
      </c>
      <c r="AD18" s="201" t="s">
        <v>18</v>
      </c>
    </row>
    <row r="19" spans="1:30" x14ac:dyDescent="0.25">
      <c r="A19" s="193"/>
      <c r="B19" s="192"/>
      <c r="C19" s="193"/>
      <c r="D19" s="192"/>
      <c r="E19" s="193"/>
      <c r="F19" s="192"/>
      <c r="G19" s="193"/>
      <c r="H19" s="192"/>
      <c r="I19" s="193"/>
      <c r="J19" s="192"/>
      <c r="K19" s="211"/>
      <c r="L19" s="212"/>
      <c r="M19" s="193"/>
      <c r="N19" s="192"/>
      <c r="O19" s="193"/>
      <c r="P19" s="192"/>
      <c r="Q19" s="193"/>
      <c r="R19" s="192"/>
      <c r="S19" s="193"/>
      <c r="T19" s="192"/>
      <c r="U19" s="218" t="str">
        <f t="shared" si="9"/>
        <v/>
      </c>
      <c r="V19" s="233" t="str">
        <f t="shared" si="10"/>
        <v/>
      </c>
      <c r="W19" s="220" t="str">
        <f>IF(U19="","",VLOOKUP(V19,Table1[],2,TRUE))</f>
        <v/>
      </c>
      <c r="X19" s="229" t="str">
        <f t="shared" si="11"/>
        <v/>
      </c>
      <c r="Y19" s="235" t="str">
        <f t="shared" si="13"/>
        <v/>
      </c>
      <c r="Z19" s="222" t="str">
        <f>IF(X19="","",VLOOKUP(Y19,Table1[],2,TRUE))</f>
        <v/>
      </c>
      <c r="AA19" s="231" t="str">
        <f>IF(AND(V19="",Y19=""),"",IF(OR(V19="-",Y19="-"),"-",IF(AND(V$3&lt;&gt;0,Y$3&lt;&gt;0),VLOOKUP(AVERAGE(V19,Y19),Table1[],2,TRUE),IF(AND(V$3&lt;&gt;0,Y$3=0),W19,Z19))))</f>
        <v/>
      </c>
      <c r="AB19" s="198"/>
      <c r="AC19" s="198" t="str">
        <f t="shared" si="12"/>
        <v/>
      </c>
      <c r="AD19" s="201" t="s">
        <v>18</v>
      </c>
    </row>
    <row r="20" spans="1:30" x14ac:dyDescent="0.25">
      <c r="A20" s="193"/>
      <c r="B20" s="192"/>
      <c r="C20" s="193"/>
      <c r="D20" s="192"/>
      <c r="E20" s="193"/>
      <c r="F20" s="192"/>
      <c r="G20" s="193"/>
      <c r="H20" s="192"/>
      <c r="I20" s="193"/>
      <c r="J20" s="192"/>
      <c r="K20" s="211"/>
      <c r="L20" s="212"/>
      <c r="M20" s="193"/>
      <c r="N20" s="192"/>
      <c r="O20" s="193"/>
      <c r="P20" s="192"/>
      <c r="Q20" s="193"/>
      <c r="R20" s="192"/>
      <c r="S20" s="193"/>
      <c r="T20" s="192"/>
      <c r="U20" s="218" t="str">
        <f t="shared" si="9"/>
        <v/>
      </c>
      <c r="V20" s="233" t="str">
        <f t="shared" si="10"/>
        <v/>
      </c>
      <c r="W20" s="220" t="str">
        <f>IF(U20="","",VLOOKUP(V20,Table1[],2,TRUE))</f>
        <v/>
      </c>
      <c r="X20" s="229" t="str">
        <f t="shared" si="11"/>
        <v/>
      </c>
      <c r="Y20" s="235" t="str">
        <f t="shared" si="13"/>
        <v/>
      </c>
      <c r="Z20" s="222" t="str">
        <f>IF(X20="","",VLOOKUP(Y20,Table1[],2,TRUE))</f>
        <v/>
      </c>
      <c r="AA20" s="231" t="str">
        <f>IF(AND(V20="",Y20=""),"",IF(OR(V20="-",Y20="-"),"-",IF(AND(V$3&lt;&gt;0,Y$3&lt;&gt;0),VLOOKUP(AVERAGE(V20,Y20),Table1[],2,TRUE),IF(AND(V$3&lt;&gt;0,Y$3=0),W20,Z20))))</f>
        <v/>
      </c>
      <c r="AB20" s="198"/>
      <c r="AC20" s="198" t="str">
        <f t="shared" si="12"/>
        <v/>
      </c>
      <c r="AD20" s="201" t="s">
        <v>18</v>
      </c>
    </row>
    <row r="21" spans="1:30" x14ac:dyDescent="0.25">
      <c r="A21" s="193"/>
      <c r="B21" s="192"/>
      <c r="C21" s="193"/>
      <c r="D21" s="192"/>
      <c r="E21" s="193"/>
      <c r="F21" s="192"/>
      <c r="G21" s="193"/>
      <c r="H21" s="192"/>
      <c r="I21" s="193"/>
      <c r="J21" s="192"/>
      <c r="K21" s="211"/>
      <c r="L21" s="212"/>
      <c r="M21" s="193"/>
      <c r="N21" s="192"/>
      <c r="O21" s="193"/>
      <c r="P21" s="192"/>
      <c r="Q21" s="193"/>
      <c r="R21" s="192"/>
      <c r="S21" s="193"/>
      <c r="T21" s="192"/>
      <c r="U21" s="218" t="str">
        <f t="shared" si="9"/>
        <v/>
      </c>
      <c r="V21" s="233" t="str">
        <f t="shared" si="10"/>
        <v/>
      </c>
      <c r="W21" s="220" t="str">
        <f>IF(U21="","",VLOOKUP(V21,Table1[],2,TRUE))</f>
        <v/>
      </c>
      <c r="X21" s="229" t="str">
        <f t="shared" si="11"/>
        <v/>
      </c>
      <c r="Y21" s="235" t="str">
        <f t="shared" si="13"/>
        <v/>
      </c>
      <c r="Z21" s="222" t="str">
        <f>IF(X21="","",VLOOKUP(Y21,Table1[],2,TRUE))</f>
        <v/>
      </c>
      <c r="AA21" s="231" t="str">
        <f>IF(AND(V21="",Y21=""),"",IF(OR(V21="-",Y21="-"),"-",IF(AND(V$3&lt;&gt;0,Y$3&lt;&gt;0),VLOOKUP(AVERAGE(V21,Y21),Table1[],2,TRUE),IF(AND(V$3&lt;&gt;0,Y$3=0),W21,Z21))))</f>
        <v/>
      </c>
      <c r="AB21" s="198"/>
      <c r="AC21" s="198" t="str">
        <f t="shared" si="12"/>
        <v/>
      </c>
      <c r="AD21" s="201" t="s">
        <v>18</v>
      </c>
    </row>
    <row r="22" spans="1:30" x14ac:dyDescent="0.25">
      <c r="A22" s="193"/>
      <c r="B22" s="192"/>
      <c r="C22" s="193"/>
      <c r="D22" s="192"/>
      <c r="E22" s="193"/>
      <c r="F22" s="192"/>
      <c r="G22" s="193"/>
      <c r="H22" s="192"/>
      <c r="I22" s="193"/>
      <c r="J22" s="192"/>
      <c r="K22" s="211"/>
      <c r="L22" s="212"/>
      <c r="M22" s="193"/>
      <c r="N22" s="192"/>
      <c r="O22" s="193"/>
      <c r="P22" s="192"/>
      <c r="Q22" s="193"/>
      <c r="R22" s="192"/>
      <c r="S22" s="193"/>
      <c r="T22" s="192"/>
      <c r="U22" s="218" t="str">
        <f t="shared" si="9"/>
        <v/>
      </c>
      <c r="V22" s="233" t="str">
        <f t="shared" si="10"/>
        <v/>
      </c>
      <c r="W22" s="220" t="str">
        <f>IF(U22="","",VLOOKUP(V22,Table1[],2,TRUE))</f>
        <v/>
      </c>
      <c r="X22" s="229" t="str">
        <f t="shared" si="11"/>
        <v/>
      </c>
      <c r="Y22" s="235" t="str">
        <f t="shared" si="13"/>
        <v/>
      </c>
      <c r="Z22" s="222" t="str">
        <f>IF(X22="","",VLOOKUP(Y22,Table1[],2,TRUE))</f>
        <v/>
      </c>
      <c r="AA22" s="231" t="str">
        <f>IF(AND(V22="",Y22=""),"",IF(OR(V22="-",Y22="-"),"-",IF(AND(V$3&lt;&gt;0,Y$3&lt;&gt;0),VLOOKUP(AVERAGE(V22,Y22),Table1[],2,TRUE),IF(AND(V$3&lt;&gt;0,Y$3=0),W22,Z22))))</f>
        <v/>
      </c>
      <c r="AB22" s="198"/>
      <c r="AC22" s="198" t="str">
        <f t="shared" si="12"/>
        <v/>
      </c>
      <c r="AD22" s="201" t="s">
        <v>18</v>
      </c>
    </row>
    <row r="23" spans="1:30" x14ac:dyDescent="0.25">
      <c r="A23" s="193"/>
      <c r="B23" s="192"/>
      <c r="C23" s="193"/>
      <c r="D23" s="192"/>
      <c r="E23" s="193"/>
      <c r="F23" s="192"/>
      <c r="G23" s="193"/>
      <c r="H23" s="192"/>
      <c r="I23" s="193"/>
      <c r="J23" s="192"/>
      <c r="K23" s="211"/>
      <c r="L23" s="212"/>
      <c r="M23" s="193"/>
      <c r="N23" s="192"/>
      <c r="O23" s="193"/>
      <c r="P23" s="192"/>
      <c r="Q23" s="193"/>
      <c r="R23" s="192"/>
      <c r="S23" s="193"/>
      <c r="T23" s="192"/>
      <c r="U23" s="218" t="str">
        <f t="shared" si="9"/>
        <v/>
      </c>
      <c r="V23" s="233" t="str">
        <f t="shared" si="10"/>
        <v/>
      </c>
      <c r="W23" s="220" t="str">
        <f>IF(U23="","",VLOOKUP(V23,Table1[],2,TRUE))</f>
        <v/>
      </c>
      <c r="X23" s="229" t="str">
        <f t="shared" si="11"/>
        <v/>
      </c>
      <c r="Y23" s="235" t="str">
        <f t="shared" si="13"/>
        <v/>
      </c>
      <c r="Z23" s="222" t="str">
        <f>IF(X23="","",VLOOKUP(Y23,Table1[],2,TRUE))</f>
        <v/>
      </c>
      <c r="AA23" s="231" t="str">
        <f>IF(AND(V23="",Y23=""),"",IF(OR(V23="-",Y23="-"),"-",IF(AND(V$3&lt;&gt;0,Y$3&lt;&gt;0),VLOOKUP(AVERAGE(V23,Y23),Table1[],2,TRUE),IF(AND(V$3&lt;&gt;0,Y$3=0),W23,Z23))))</f>
        <v/>
      </c>
      <c r="AB23" s="198"/>
      <c r="AC23" s="198" t="str">
        <f t="shared" si="12"/>
        <v/>
      </c>
      <c r="AD23" s="201" t="s">
        <v>18</v>
      </c>
    </row>
    <row r="24" spans="1:30" x14ac:dyDescent="0.25">
      <c r="A24" s="193"/>
      <c r="B24" s="192"/>
      <c r="C24" s="193"/>
      <c r="D24" s="192"/>
      <c r="E24" s="193"/>
      <c r="F24" s="192"/>
      <c r="G24" s="193"/>
      <c r="H24" s="192"/>
      <c r="I24" s="193"/>
      <c r="J24" s="192"/>
      <c r="K24" s="211"/>
      <c r="L24" s="212"/>
      <c r="M24" s="193"/>
      <c r="N24" s="192"/>
      <c r="O24" s="193"/>
      <c r="P24" s="192"/>
      <c r="Q24" s="193"/>
      <c r="R24" s="192"/>
      <c r="S24" s="193"/>
      <c r="T24" s="192"/>
      <c r="U24" s="218" t="str">
        <f t="shared" si="9"/>
        <v/>
      </c>
      <c r="V24" s="233" t="str">
        <f t="shared" si="10"/>
        <v/>
      </c>
      <c r="W24" s="220" t="str">
        <f>IF(U24="","",VLOOKUP(V24,Table1[],2,TRUE))</f>
        <v/>
      </c>
      <c r="X24" s="229" t="str">
        <f t="shared" si="11"/>
        <v/>
      </c>
      <c r="Y24" s="235" t="str">
        <f t="shared" si="13"/>
        <v/>
      </c>
      <c r="Z24" s="222" t="str">
        <f>IF(X24="","",VLOOKUP(Y24,Table1[],2,TRUE))</f>
        <v/>
      </c>
      <c r="AA24" s="231" t="str">
        <f>IF(AND(V24="",Y24=""),"",IF(OR(V24="-",Y24="-"),"-",IF(AND(V$3&lt;&gt;0,Y$3&lt;&gt;0),VLOOKUP(AVERAGE(V24,Y24),Table1[],2,TRUE),IF(AND(V$3&lt;&gt;0,Y$3=0),W24,Z24))))</f>
        <v/>
      </c>
      <c r="AB24" s="198"/>
      <c r="AC24" s="198" t="str">
        <f t="shared" si="12"/>
        <v/>
      </c>
      <c r="AD24" s="201" t="s">
        <v>18</v>
      </c>
    </row>
    <row r="25" spans="1:30" x14ac:dyDescent="0.25">
      <c r="A25" s="193"/>
      <c r="B25" s="192"/>
      <c r="C25" s="193"/>
      <c r="D25" s="192"/>
      <c r="E25" s="193"/>
      <c r="F25" s="192"/>
      <c r="G25" s="193"/>
      <c r="H25" s="192"/>
      <c r="I25" s="193"/>
      <c r="J25" s="192"/>
      <c r="K25" s="211"/>
      <c r="L25" s="212"/>
      <c r="M25" s="193"/>
      <c r="N25" s="192"/>
      <c r="O25" s="193"/>
      <c r="P25" s="192"/>
      <c r="Q25" s="193"/>
      <c r="R25" s="192"/>
      <c r="S25" s="193"/>
      <c r="T25" s="192"/>
      <c r="U25" s="218" t="str">
        <f t="shared" si="9"/>
        <v/>
      </c>
      <c r="V25" s="233" t="str">
        <f t="shared" si="10"/>
        <v/>
      </c>
      <c r="W25" s="220" t="str">
        <f>IF(U25="","",VLOOKUP(V25,Table1[],2,TRUE))</f>
        <v/>
      </c>
      <c r="X25" s="229" t="str">
        <f t="shared" si="11"/>
        <v/>
      </c>
      <c r="Y25" s="235" t="str">
        <f t="shared" si="13"/>
        <v/>
      </c>
      <c r="Z25" s="222" t="str">
        <f>IF(X25="","",VLOOKUP(Y25,Table1[],2,TRUE))</f>
        <v/>
      </c>
      <c r="AA25" s="231" t="str">
        <f>IF(AND(V25="",Y25=""),"",IF(OR(V25="-",Y25="-"),"-",IF(AND(V$3&lt;&gt;0,Y$3&lt;&gt;0),VLOOKUP(AVERAGE(V25,Y25),Table1[],2,TRUE),IF(AND(V$3&lt;&gt;0,Y$3=0),W25,Z25))))</f>
        <v/>
      </c>
      <c r="AB25" s="198"/>
      <c r="AC25" s="198" t="str">
        <f t="shared" si="12"/>
        <v/>
      </c>
      <c r="AD25" s="201" t="s">
        <v>18</v>
      </c>
    </row>
    <row r="26" spans="1:30" x14ac:dyDescent="0.25">
      <c r="A26" s="193"/>
      <c r="B26" s="192"/>
      <c r="C26" s="193"/>
      <c r="D26" s="192"/>
      <c r="E26" s="193"/>
      <c r="F26" s="192"/>
      <c r="G26" s="193"/>
      <c r="H26" s="192"/>
      <c r="I26" s="193"/>
      <c r="J26" s="192"/>
      <c r="K26" s="211"/>
      <c r="L26" s="212"/>
      <c r="M26" s="193"/>
      <c r="N26" s="192"/>
      <c r="O26" s="193"/>
      <c r="P26" s="192"/>
      <c r="Q26" s="193"/>
      <c r="R26" s="192"/>
      <c r="S26" s="193"/>
      <c r="T26" s="192"/>
      <c r="U26" s="218" t="str">
        <f t="shared" si="9"/>
        <v/>
      </c>
      <c r="V26" s="233" t="str">
        <f t="shared" si="10"/>
        <v/>
      </c>
      <c r="W26" s="220" t="str">
        <f>IF(U26="","",VLOOKUP(V26,Table1[],2,TRUE))</f>
        <v/>
      </c>
      <c r="X26" s="229" t="str">
        <f t="shared" si="11"/>
        <v/>
      </c>
      <c r="Y26" s="235" t="str">
        <f t="shared" si="13"/>
        <v/>
      </c>
      <c r="Z26" s="222" t="str">
        <f>IF(X26="","",VLOOKUP(Y26,Table1[],2,TRUE))</f>
        <v/>
      </c>
      <c r="AA26" s="231" t="str">
        <f>IF(AND(V26="",Y26=""),"",IF(OR(V26="-",Y26="-"),"-",IF(AND(V$3&lt;&gt;0,Y$3&lt;&gt;0),VLOOKUP(AVERAGE(V26,Y26),Table1[],2,TRUE),IF(AND(V$3&lt;&gt;0,Y$3=0),W26,Z26))))</f>
        <v/>
      </c>
      <c r="AB26" s="198"/>
      <c r="AC26" s="198" t="str">
        <f t="shared" si="12"/>
        <v/>
      </c>
      <c r="AD26" s="201" t="s">
        <v>18</v>
      </c>
    </row>
    <row r="27" spans="1:30" x14ac:dyDescent="0.25">
      <c r="A27" s="193"/>
      <c r="B27" s="192"/>
      <c r="C27" s="193"/>
      <c r="D27" s="192"/>
      <c r="E27" s="193"/>
      <c r="F27" s="192"/>
      <c r="G27" s="193"/>
      <c r="H27" s="192"/>
      <c r="I27" s="193"/>
      <c r="J27" s="192"/>
      <c r="K27" s="211"/>
      <c r="L27" s="212"/>
      <c r="M27" s="193"/>
      <c r="N27" s="192"/>
      <c r="O27" s="193"/>
      <c r="P27" s="192"/>
      <c r="Q27" s="193"/>
      <c r="R27" s="192"/>
      <c r="S27" s="193"/>
      <c r="T27" s="192"/>
      <c r="U27" s="218" t="str">
        <f t="shared" si="9"/>
        <v/>
      </c>
      <c r="V27" s="233" t="str">
        <f t="shared" si="10"/>
        <v/>
      </c>
      <c r="W27" s="220" t="str">
        <f>IF(U27="","",VLOOKUP(V27,Table1[],2,TRUE))</f>
        <v/>
      </c>
      <c r="X27" s="229" t="str">
        <f t="shared" si="11"/>
        <v/>
      </c>
      <c r="Y27" s="235" t="str">
        <f t="shared" si="13"/>
        <v/>
      </c>
      <c r="Z27" s="222" t="str">
        <f>IF(X27="","",VLOOKUP(Y27,Table1[],2,TRUE))</f>
        <v/>
      </c>
      <c r="AA27" s="231" t="str">
        <f>IF(AND(V27="",Y27=""),"",IF(OR(V27="-",Y27="-"),"-",IF(AND(V$3&lt;&gt;0,Y$3&lt;&gt;0),VLOOKUP(AVERAGE(V27,Y27),Table1[],2,TRUE),IF(AND(V$3&lt;&gt;0,Y$3=0),W27,Z27))))</f>
        <v/>
      </c>
      <c r="AB27" s="198"/>
      <c r="AC27" s="198" t="str">
        <f t="shared" si="12"/>
        <v/>
      </c>
      <c r="AD27" s="201" t="s">
        <v>18</v>
      </c>
    </row>
    <row r="28" spans="1:30" x14ac:dyDescent="0.25">
      <c r="A28" s="193"/>
      <c r="B28" s="192"/>
      <c r="C28" s="193"/>
      <c r="D28" s="192"/>
      <c r="E28" s="193"/>
      <c r="F28" s="192"/>
      <c r="G28" s="193"/>
      <c r="H28" s="192"/>
      <c r="I28" s="193"/>
      <c r="J28" s="192"/>
      <c r="K28" s="211"/>
      <c r="L28" s="212"/>
      <c r="M28" s="193"/>
      <c r="N28" s="192"/>
      <c r="O28" s="193"/>
      <c r="P28" s="192"/>
      <c r="Q28" s="193"/>
      <c r="R28" s="192"/>
      <c r="S28" s="193"/>
      <c r="T28" s="192"/>
      <c r="U28" s="218" t="str">
        <f t="shared" si="9"/>
        <v/>
      </c>
      <c r="V28" s="233" t="str">
        <f t="shared" si="10"/>
        <v/>
      </c>
      <c r="W28" s="220" t="str">
        <f>IF(U28="","",VLOOKUP(V28,Table1[],2,TRUE))</f>
        <v/>
      </c>
      <c r="X28" s="229" t="str">
        <f t="shared" si="11"/>
        <v/>
      </c>
      <c r="Y28" s="235" t="str">
        <f t="shared" si="13"/>
        <v/>
      </c>
      <c r="Z28" s="222" t="str">
        <f>IF(X28="","",VLOOKUP(Y28,Table1[],2,TRUE))</f>
        <v/>
      </c>
      <c r="AA28" s="231" t="str">
        <f>IF(AND(V28="",Y28=""),"",IF(OR(V28="-",Y28="-"),"-",IF(AND(V$3&lt;&gt;0,Y$3&lt;&gt;0),VLOOKUP(AVERAGE(V28,Y28),Table1[],2,TRUE),IF(AND(V$3&lt;&gt;0,Y$3=0),W28,Z28))))</f>
        <v/>
      </c>
      <c r="AB28" s="198"/>
      <c r="AC28" s="198" t="str">
        <f t="shared" si="12"/>
        <v/>
      </c>
      <c r="AD28" s="201" t="s">
        <v>18</v>
      </c>
    </row>
    <row r="29" spans="1:30" x14ac:dyDescent="0.25">
      <c r="A29" s="193"/>
      <c r="B29" s="192"/>
      <c r="C29" s="193"/>
      <c r="D29" s="192"/>
      <c r="E29" s="193"/>
      <c r="F29" s="192"/>
      <c r="G29" s="193"/>
      <c r="H29" s="192"/>
      <c r="I29" s="193"/>
      <c r="J29" s="192"/>
      <c r="K29" s="211"/>
      <c r="L29" s="212"/>
      <c r="M29" s="193"/>
      <c r="N29" s="192"/>
      <c r="O29" s="193"/>
      <c r="P29" s="192"/>
      <c r="Q29" s="193"/>
      <c r="R29" s="192"/>
      <c r="S29" s="193"/>
      <c r="T29" s="192"/>
      <c r="U29" s="218" t="str">
        <f t="shared" si="9"/>
        <v/>
      </c>
      <c r="V29" s="233" t="str">
        <f t="shared" si="10"/>
        <v/>
      </c>
      <c r="W29" s="220" t="str">
        <f>IF(U29="","",VLOOKUP(V29,Table1[],2,TRUE))</f>
        <v/>
      </c>
      <c r="X29" s="229" t="str">
        <f t="shared" si="11"/>
        <v/>
      </c>
      <c r="Y29" s="235" t="str">
        <f t="shared" si="13"/>
        <v/>
      </c>
      <c r="Z29" s="222" t="str">
        <f>IF(X29="","",VLOOKUP(Y29,Table1[],2,TRUE))</f>
        <v/>
      </c>
      <c r="AA29" s="231" t="str">
        <f>IF(AND(V29="",Y29=""),"",IF(OR(V29="-",Y29="-"),"-",IF(AND(V$3&lt;&gt;0,Y$3&lt;&gt;0),VLOOKUP(AVERAGE(V29,Y29),Table1[],2,TRUE),IF(AND(V$3&lt;&gt;0,Y$3=0),W29,Z29))))</f>
        <v/>
      </c>
      <c r="AB29" s="198"/>
      <c r="AC29" s="198" t="str">
        <f t="shared" si="12"/>
        <v/>
      </c>
      <c r="AD29" s="201" t="s">
        <v>18</v>
      </c>
    </row>
    <row r="30" spans="1:30" x14ac:dyDescent="0.25">
      <c r="A30" s="193"/>
      <c r="B30" s="192"/>
      <c r="C30" s="193"/>
      <c r="D30" s="192"/>
      <c r="E30" s="193"/>
      <c r="F30" s="192"/>
      <c r="G30" s="193"/>
      <c r="H30" s="192"/>
      <c r="I30" s="193"/>
      <c r="J30" s="192"/>
      <c r="K30" s="211"/>
      <c r="L30" s="212"/>
      <c r="M30" s="193"/>
      <c r="N30" s="192"/>
      <c r="O30" s="193"/>
      <c r="P30" s="192"/>
      <c r="Q30" s="193"/>
      <c r="R30" s="192"/>
      <c r="S30" s="193"/>
      <c r="T30" s="192"/>
      <c r="U30" s="218" t="str">
        <f t="shared" si="9"/>
        <v/>
      </c>
      <c r="V30" s="233" t="str">
        <f t="shared" si="10"/>
        <v/>
      </c>
      <c r="W30" s="220" t="str">
        <f>IF(U30="","",VLOOKUP(V30,Table1[],2,TRUE))</f>
        <v/>
      </c>
      <c r="X30" s="229" t="str">
        <f t="shared" si="11"/>
        <v/>
      </c>
      <c r="Y30" s="235" t="str">
        <f t="shared" si="13"/>
        <v/>
      </c>
      <c r="Z30" s="222" t="str">
        <f>IF(X30="","",VLOOKUP(Y30,Table1[],2,TRUE))</f>
        <v/>
      </c>
      <c r="AA30" s="231" t="str">
        <f>IF(AND(V30="",Y30=""),"",IF(OR(V30="-",Y30="-"),"-",IF(AND(V$3&lt;&gt;0,Y$3&lt;&gt;0),VLOOKUP(AVERAGE(V30,Y30),Table1[],2,TRUE),IF(AND(V$3&lt;&gt;0,Y$3=0),W30,Z30))))</f>
        <v/>
      </c>
      <c r="AB30" s="198"/>
      <c r="AC30" s="198" t="str">
        <f t="shared" si="12"/>
        <v/>
      </c>
      <c r="AD30" s="201" t="s">
        <v>18</v>
      </c>
    </row>
    <row r="31" spans="1:30" x14ac:dyDescent="0.25">
      <c r="A31" s="193"/>
      <c r="B31" s="192"/>
      <c r="C31" s="193"/>
      <c r="D31" s="192"/>
      <c r="E31" s="193"/>
      <c r="F31" s="192"/>
      <c r="G31" s="193"/>
      <c r="H31" s="192"/>
      <c r="I31" s="193"/>
      <c r="J31" s="192"/>
      <c r="K31" s="211"/>
      <c r="L31" s="212"/>
      <c r="M31" s="193"/>
      <c r="N31" s="192"/>
      <c r="O31" s="193"/>
      <c r="P31" s="192"/>
      <c r="Q31" s="193"/>
      <c r="R31" s="192"/>
      <c r="S31" s="193"/>
      <c r="T31" s="192"/>
      <c r="U31" s="218" t="str">
        <f t="shared" si="9"/>
        <v/>
      </c>
      <c r="V31" s="233" t="str">
        <f t="shared" si="10"/>
        <v/>
      </c>
      <c r="W31" s="220" t="str">
        <f>IF(U31="","",VLOOKUP(V31,Table1[],2,TRUE))</f>
        <v/>
      </c>
      <c r="X31" s="229" t="str">
        <f t="shared" si="11"/>
        <v/>
      </c>
      <c r="Y31" s="235" t="str">
        <f t="shared" si="13"/>
        <v/>
      </c>
      <c r="Z31" s="222" t="str">
        <f>IF(X31="","",VLOOKUP(Y31,Table1[],2,TRUE))</f>
        <v/>
      </c>
      <c r="AA31" s="231" t="str">
        <f>IF(AND(V31="",Y31=""),"",IF(OR(V31="-",Y31="-"),"-",IF(AND(V$3&lt;&gt;0,Y$3&lt;&gt;0),VLOOKUP(AVERAGE(V31,Y31),Table1[],2,TRUE),IF(AND(V$3&lt;&gt;0,Y$3=0),W31,Z31))))</f>
        <v/>
      </c>
      <c r="AB31" s="198"/>
      <c r="AC31" s="198" t="str">
        <f t="shared" si="12"/>
        <v/>
      </c>
      <c r="AD31" s="201" t="s">
        <v>18</v>
      </c>
    </row>
    <row r="32" spans="1:30" x14ac:dyDescent="0.25">
      <c r="A32" s="193"/>
      <c r="B32" s="192"/>
      <c r="C32" s="193"/>
      <c r="D32" s="192"/>
      <c r="E32" s="193"/>
      <c r="F32" s="192"/>
      <c r="G32" s="193"/>
      <c r="H32" s="192"/>
      <c r="I32" s="193"/>
      <c r="J32" s="192"/>
      <c r="K32" s="211"/>
      <c r="L32" s="212"/>
      <c r="M32" s="193"/>
      <c r="N32" s="192"/>
      <c r="O32" s="193"/>
      <c r="P32" s="192"/>
      <c r="Q32" s="193"/>
      <c r="R32" s="192"/>
      <c r="S32" s="193"/>
      <c r="T32" s="192"/>
      <c r="U32" s="218" t="str">
        <f t="shared" si="9"/>
        <v/>
      </c>
      <c r="V32" s="233" t="str">
        <f t="shared" si="10"/>
        <v/>
      </c>
      <c r="W32" s="220" t="str">
        <f>IF(U32="","",VLOOKUP(V32,Table1[],2,TRUE))</f>
        <v/>
      </c>
      <c r="X32" s="229" t="str">
        <f t="shared" si="11"/>
        <v/>
      </c>
      <c r="Y32" s="235" t="str">
        <f t="shared" si="13"/>
        <v/>
      </c>
      <c r="Z32" s="222" t="str">
        <f>IF(X32="","",VLOOKUP(Y32,Table1[],2,TRUE))</f>
        <v/>
      </c>
      <c r="AA32" s="231" t="str">
        <f>IF(AND(V32="",Y32=""),"",IF(OR(V32="-",Y32="-"),"-",IF(AND(V$3&lt;&gt;0,Y$3&lt;&gt;0),VLOOKUP(AVERAGE(V32,Y32),Table1[],2,TRUE),IF(AND(V$3&lt;&gt;0,Y$3=0),W32,Z32))))</f>
        <v/>
      </c>
      <c r="AB32" s="198"/>
      <c r="AC32" s="198" t="str">
        <f t="shared" si="12"/>
        <v/>
      </c>
      <c r="AD32" s="201" t="s">
        <v>18</v>
      </c>
    </row>
    <row r="33" spans="1:30" x14ac:dyDescent="0.25">
      <c r="A33" s="193"/>
      <c r="B33" s="192"/>
      <c r="C33" s="193"/>
      <c r="D33" s="192"/>
      <c r="E33" s="193"/>
      <c r="F33" s="192"/>
      <c r="G33" s="193"/>
      <c r="H33" s="192"/>
      <c r="I33" s="193"/>
      <c r="J33" s="192"/>
      <c r="K33" s="211"/>
      <c r="L33" s="212"/>
      <c r="M33" s="193"/>
      <c r="N33" s="192"/>
      <c r="O33" s="193"/>
      <c r="P33" s="192"/>
      <c r="Q33" s="193"/>
      <c r="R33" s="192"/>
      <c r="S33" s="193"/>
      <c r="T33" s="192"/>
      <c r="U33" s="218" t="str">
        <f t="shared" si="9"/>
        <v/>
      </c>
      <c r="V33" s="233" t="str">
        <f t="shared" si="10"/>
        <v/>
      </c>
      <c r="W33" s="220" t="str">
        <f>IF(U33="","",VLOOKUP(V33,Table1[],2,TRUE))</f>
        <v/>
      </c>
      <c r="X33" s="229" t="str">
        <f t="shared" si="11"/>
        <v/>
      </c>
      <c r="Y33" s="235" t="str">
        <f t="shared" si="13"/>
        <v/>
      </c>
      <c r="Z33" s="222" t="str">
        <f>IF(X33="","",VLOOKUP(Y33,Table1[],2,TRUE))</f>
        <v/>
      </c>
      <c r="AA33" s="231" t="str">
        <f>IF(AND(V33="",Y33=""),"",IF(OR(V33="-",Y33="-"),"-",IF(AND(V$3&lt;&gt;0,Y$3&lt;&gt;0),VLOOKUP(AVERAGE(V33,Y33),Table1[],2,TRUE),IF(AND(V$3&lt;&gt;0,Y$3=0),W33,Z33))))</f>
        <v/>
      </c>
      <c r="AB33" s="198"/>
      <c r="AC33" s="198" t="str">
        <f t="shared" si="12"/>
        <v/>
      </c>
      <c r="AD33" s="201" t="s">
        <v>18</v>
      </c>
    </row>
    <row r="34" spans="1:30" x14ac:dyDescent="0.25">
      <c r="A34" s="193"/>
      <c r="B34" s="192"/>
      <c r="C34" s="193"/>
      <c r="D34" s="192"/>
      <c r="E34" s="193"/>
      <c r="F34" s="192"/>
      <c r="G34" s="193"/>
      <c r="H34" s="192"/>
      <c r="I34" s="193"/>
      <c r="J34" s="192"/>
      <c r="K34" s="211"/>
      <c r="L34" s="212"/>
      <c r="M34" s="193"/>
      <c r="N34" s="192"/>
      <c r="O34" s="193"/>
      <c r="P34" s="192"/>
      <c r="Q34" s="193"/>
      <c r="R34" s="192"/>
      <c r="S34" s="193"/>
      <c r="T34" s="192"/>
      <c r="U34" s="218" t="str">
        <f t="shared" si="9"/>
        <v/>
      </c>
      <c r="V34" s="233" t="str">
        <f t="shared" si="10"/>
        <v/>
      </c>
      <c r="W34" s="220" t="str">
        <f>IF(U34="","",VLOOKUP(V34,Table1[],2,TRUE))</f>
        <v/>
      </c>
      <c r="X34" s="229" t="str">
        <f t="shared" si="11"/>
        <v/>
      </c>
      <c r="Y34" s="235" t="str">
        <f t="shared" si="13"/>
        <v/>
      </c>
      <c r="Z34" s="222" t="str">
        <f>IF(X34="","",VLOOKUP(Y34,Table1[],2,TRUE))</f>
        <v/>
      </c>
      <c r="AA34" s="231" t="str">
        <f>IF(AND(V34="",Y34=""),"",IF(OR(V34="-",Y34="-"),"-",IF(AND(V$3&lt;&gt;0,Y$3&lt;&gt;0),VLOOKUP(AVERAGE(V34,Y34),Table1[],2,TRUE),IF(AND(V$3&lt;&gt;0,Y$3=0),W34,Z34))))</f>
        <v/>
      </c>
      <c r="AB34" s="198"/>
      <c r="AC34" s="198" t="str">
        <f t="shared" si="12"/>
        <v/>
      </c>
      <c r="AD34" s="201" t="s">
        <v>18</v>
      </c>
    </row>
    <row r="35" spans="1:30" x14ac:dyDescent="0.25">
      <c r="A35" s="193"/>
      <c r="B35" s="192"/>
      <c r="C35" s="193"/>
      <c r="D35" s="192"/>
      <c r="E35" s="193"/>
      <c r="F35" s="192"/>
      <c r="G35" s="193"/>
      <c r="H35" s="192"/>
      <c r="I35" s="193"/>
      <c r="J35" s="192"/>
      <c r="K35" s="211"/>
      <c r="L35" s="212"/>
      <c r="M35" s="193"/>
      <c r="N35" s="192"/>
      <c r="O35" s="193"/>
      <c r="P35" s="192"/>
      <c r="Q35" s="193"/>
      <c r="R35" s="192"/>
      <c r="S35" s="193"/>
      <c r="T35" s="192"/>
      <c r="U35" s="218" t="str">
        <f t="shared" si="9"/>
        <v/>
      </c>
      <c r="V35" s="233" t="str">
        <f t="shared" si="10"/>
        <v/>
      </c>
      <c r="W35" s="220" t="str">
        <f>IF(U35="","",VLOOKUP(V35,Table1[],2,TRUE))</f>
        <v/>
      </c>
      <c r="X35" s="229" t="str">
        <f t="shared" si="11"/>
        <v/>
      </c>
      <c r="Y35" s="235" t="str">
        <f t="shared" si="13"/>
        <v/>
      </c>
      <c r="Z35" s="222" t="str">
        <f>IF(X35="","",VLOOKUP(Y35,Table1[],2,TRUE))</f>
        <v/>
      </c>
      <c r="AA35" s="231" t="str">
        <f>IF(AND(V35="",Y35=""),"",IF(OR(V35="-",Y35="-"),"-",IF(AND(V$3&lt;&gt;0,Y$3&lt;&gt;0),VLOOKUP(AVERAGE(V35,Y35),Table1[],2,TRUE),IF(AND(V$3&lt;&gt;0,Y$3=0),W35,Z35))))</f>
        <v/>
      </c>
      <c r="AB35" s="198"/>
      <c r="AC35" s="198" t="str">
        <f t="shared" si="12"/>
        <v/>
      </c>
      <c r="AD35" s="201" t="s">
        <v>18</v>
      </c>
    </row>
    <row r="36" spans="1:30" x14ac:dyDescent="0.25">
      <c r="A36" s="193"/>
      <c r="B36" s="192"/>
      <c r="C36" s="193"/>
      <c r="D36" s="192"/>
      <c r="E36" s="193"/>
      <c r="F36" s="192"/>
      <c r="G36" s="193"/>
      <c r="H36" s="192"/>
      <c r="I36" s="193"/>
      <c r="J36" s="192"/>
      <c r="K36" s="211"/>
      <c r="L36" s="212"/>
      <c r="M36" s="193"/>
      <c r="N36" s="192"/>
      <c r="O36" s="193"/>
      <c r="P36" s="192"/>
      <c r="Q36" s="193"/>
      <c r="R36" s="192"/>
      <c r="S36" s="193"/>
      <c r="T36" s="192"/>
      <c r="U36" s="218" t="str">
        <f t="shared" si="9"/>
        <v/>
      </c>
      <c r="V36" s="233" t="str">
        <f t="shared" si="10"/>
        <v/>
      </c>
      <c r="W36" s="220" t="str">
        <f>IF(U36="","",VLOOKUP(V36,Table1[],2,TRUE))</f>
        <v/>
      </c>
      <c r="X36" s="229" t="str">
        <f t="shared" si="11"/>
        <v/>
      </c>
      <c r="Y36" s="235" t="str">
        <f t="shared" si="13"/>
        <v/>
      </c>
      <c r="Z36" s="222" t="str">
        <f>IF(X36="","",VLOOKUP(Y36,Table1[],2,TRUE))</f>
        <v/>
      </c>
      <c r="AA36" s="231" t="str">
        <f>IF(AND(V36="",Y36=""),"",IF(OR(V36="-",Y36="-"),"-",IF(AND(V$3&lt;&gt;0,Y$3&lt;&gt;0),VLOOKUP(AVERAGE(V36,Y36),Table1[],2,TRUE),IF(AND(V$3&lt;&gt;0,Y$3=0),W36,Z36))))</f>
        <v/>
      </c>
      <c r="AB36" s="198"/>
      <c r="AC36" s="198" t="str">
        <f t="shared" si="12"/>
        <v/>
      </c>
      <c r="AD36" s="201" t="s">
        <v>18</v>
      </c>
    </row>
    <row r="37" spans="1:30" x14ac:dyDescent="0.25">
      <c r="A37" s="193"/>
      <c r="B37" s="192"/>
      <c r="C37" s="193"/>
      <c r="D37" s="192"/>
      <c r="E37" s="193"/>
      <c r="F37" s="192"/>
      <c r="G37" s="193"/>
      <c r="H37" s="192"/>
      <c r="I37" s="193"/>
      <c r="J37" s="192"/>
      <c r="K37" s="211"/>
      <c r="L37" s="212"/>
      <c r="M37" s="193"/>
      <c r="N37" s="192"/>
      <c r="O37" s="193"/>
      <c r="P37" s="192"/>
      <c r="Q37" s="193"/>
      <c r="R37" s="192"/>
      <c r="S37" s="193"/>
      <c r="T37" s="192"/>
      <c r="U37" s="218" t="str">
        <f t="shared" si="9"/>
        <v/>
      </c>
      <c r="V37" s="233" t="str">
        <f t="shared" si="10"/>
        <v/>
      </c>
      <c r="W37" s="220" t="str">
        <f>IF(U37="","",VLOOKUP(V37,Table1[],2,TRUE))</f>
        <v/>
      </c>
      <c r="X37" s="229" t="str">
        <f t="shared" si="11"/>
        <v/>
      </c>
      <c r="Y37" s="235" t="str">
        <f t="shared" si="13"/>
        <v/>
      </c>
      <c r="Z37" s="222" t="str">
        <f>IF(X37="","",VLOOKUP(Y37,Table1[],2,TRUE))</f>
        <v/>
      </c>
      <c r="AA37" s="231" t="str">
        <f>IF(AND(V37="",Y37=""),"",IF(OR(V37="-",Y37="-"),"-",IF(AND(V$3&lt;&gt;0,Y$3&lt;&gt;0),VLOOKUP(AVERAGE(V37,Y37),Table1[],2,TRUE),IF(AND(V$3&lt;&gt;0,Y$3=0),W37,Z37))))</f>
        <v/>
      </c>
      <c r="AB37" s="198"/>
      <c r="AC37" s="198" t="str">
        <f t="shared" si="12"/>
        <v/>
      </c>
      <c r="AD37" s="201" t="s">
        <v>18</v>
      </c>
    </row>
    <row r="38" spans="1:30" x14ac:dyDescent="0.25">
      <c r="A38" s="193"/>
      <c r="B38" s="192"/>
      <c r="C38" s="193"/>
      <c r="D38" s="192"/>
      <c r="E38" s="193"/>
      <c r="F38" s="192"/>
      <c r="G38" s="193"/>
      <c r="H38" s="192"/>
      <c r="I38" s="193"/>
      <c r="J38" s="192"/>
      <c r="K38" s="211"/>
      <c r="L38" s="212"/>
      <c r="M38" s="193"/>
      <c r="N38" s="192"/>
      <c r="O38" s="193"/>
      <c r="P38" s="192"/>
      <c r="Q38" s="193"/>
      <c r="R38" s="192"/>
      <c r="S38" s="193"/>
      <c r="T38" s="192"/>
      <c r="U38" s="218" t="str">
        <f t="shared" si="9"/>
        <v/>
      </c>
      <c r="V38" s="233" t="str">
        <f t="shared" si="10"/>
        <v/>
      </c>
      <c r="W38" s="220" t="str">
        <f>IF(U38="","",VLOOKUP(V38,Table1[],2,TRUE))</f>
        <v/>
      </c>
      <c r="X38" s="229" t="str">
        <f t="shared" si="11"/>
        <v/>
      </c>
      <c r="Y38" s="235" t="str">
        <f t="shared" si="13"/>
        <v/>
      </c>
      <c r="Z38" s="222" t="str">
        <f>IF(X38="","",VLOOKUP(Y38,Table1[],2,TRUE))</f>
        <v/>
      </c>
      <c r="AA38" s="231" t="str">
        <f>IF(AND(V38="",Y38=""),"",IF(OR(V38="-",Y38="-"),"-",IF(AND(V$3&lt;&gt;0,Y$3&lt;&gt;0),VLOOKUP(AVERAGE(V38,Y38),Table1[],2,TRUE),IF(AND(V$3&lt;&gt;0,Y$3=0),W38,Z38))))</f>
        <v/>
      </c>
      <c r="AB38" s="198"/>
      <c r="AC38" s="198" t="str">
        <f t="shared" si="12"/>
        <v/>
      </c>
      <c r="AD38" s="201" t="s">
        <v>18</v>
      </c>
    </row>
    <row r="39" spans="1:30" x14ac:dyDescent="0.25">
      <c r="A39" s="193"/>
      <c r="B39" s="192"/>
      <c r="C39" s="193"/>
      <c r="D39" s="192"/>
      <c r="E39" s="193"/>
      <c r="F39" s="192"/>
      <c r="G39" s="193"/>
      <c r="H39" s="192"/>
      <c r="I39" s="193"/>
      <c r="J39" s="192"/>
      <c r="K39" s="211"/>
      <c r="L39" s="212"/>
      <c r="M39" s="193"/>
      <c r="N39" s="192"/>
      <c r="O39" s="193"/>
      <c r="P39" s="192"/>
      <c r="Q39" s="193"/>
      <c r="R39" s="192"/>
      <c r="S39" s="193"/>
      <c r="T39" s="192"/>
      <c r="U39" s="218" t="str">
        <f t="shared" si="9"/>
        <v/>
      </c>
      <c r="V39" s="233" t="str">
        <f t="shared" si="10"/>
        <v/>
      </c>
      <c r="W39" s="220" t="str">
        <f>IF(U39="","",VLOOKUP(V39,Table1[],2,TRUE))</f>
        <v/>
      </c>
      <c r="X39" s="229" t="str">
        <f t="shared" si="11"/>
        <v/>
      </c>
      <c r="Y39" s="235" t="str">
        <f t="shared" si="13"/>
        <v/>
      </c>
      <c r="Z39" s="222" t="str">
        <f>IF(X39="","",VLOOKUP(Y39,Table1[],2,TRUE))</f>
        <v/>
      </c>
      <c r="AA39" s="231" t="str">
        <f>IF(AND(V39="",Y39=""),"",IF(OR(V39="-",Y39="-"),"-",IF(AND(V$3&lt;&gt;0,Y$3&lt;&gt;0),VLOOKUP(AVERAGE(V39,Y39),Table1[],2,TRUE),IF(AND(V$3&lt;&gt;0,Y$3=0),W39,Z39))))</f>
        <v/>
      </c>
      <c r="AB39" s="198"/>
      <c r="AC39" s="198" t="str">
        <f t="shared" si="12"/>
        <v/>
      </c>
      <c r="AD39" s="201" t="s">
        <v>18</v>
      </c>
    </row>
    <row r="40" spans="1:30" ht="15.75" thickBot="1" x14ac:dyDescent="0.3">
      <c r="A40" s="213"/>
      <c r="B40" s="214"/>
      <c r="C40" s="213"/>
      <c r="D40" s="214"/>
      <c r="E40" s="213"/>
      <c r="F40" s="214"/>
      <c r="G40" s="213"/>
      <c r="H40" s="214"/>
      <c r="I40" s="213"/>
      <c r="J40" s="214"/>
      <c r="K40" s="215"/>
      <c r="L40" s="216"/>
      <c r="M40" s="213"/>
      <c r="N40" s="214"/>
      <c r="O40" s="213"/>
      <c r="P40" s="214"/>
      <c r="Q40" s="213"/>
      <c r="R40" s="214"/>
      <c r="S40" s="213"/>
      <c r="T40" s="217"/>
      <c r="U40" s="223" t="str">
        <f t="shared" si="9"/>
        <v/>
      </c>
      <c r="V40" s="234" t="str">
        <f>IF(U40="","",IF(U40="-","-",U40/V$3))</f>
        <v/>
      </c>
      <c r="W40" s="224" t="str">
        <f>IF(U40="","",VLOOKUP(V40,Table1[],2,TRUE))</f>
        <v/>
      </c>
      <c r="X40" s="230" t="str">
        <f t="shared" si="11"/>
        <v/>
      </c>
      <c r="Y40" s="236" t="str">
        <f>IF(X40="","",IF(X40="-", "-",X40/Y$3))</f>
        <v/>
      </c>
      <c r="Z40" s="225" t="str">
        <f>IF(X40="","",VLOOKUP(Y40,Table1[],2,TRUE))</f>
        <v/>
      </c>
      <c r="AA40" s="232" t="str">
        <f>IF(AND(V40="",Y40=""),"",IF(OR(V40="-",Y40="-"),"-",IF(AND(V$3&lt;&gt;0,Y$3&lt;&gt;0),VLOOKUP(AVERAGE(V40,Y40),Table1[],2,TRUE),IF(AND(V$3&lt;&gt;0,Y$3=0),W40,Z40))))</f>
        <v/>
      </c>
      <c r="AB40" s="226"/>
      <c r="AC40" s="227" t="str">
        <f t="shared" si="12"/>
        <v/>
      </c>
      <c r="AD40" s="123" t="s">
        <v>18</v>
      </c>
    </row>
  </sheetData>
  <mergeCells count="376">
    <mergeCell ref="S40:T40"/>
    <mergeCell ref="S35:T35"/>
    <mergeCell ref="S36:T36"/>
    <mergeCell ref="S37:T37"/>
    <mergeCell ref="S38:T38"/>
    <mergeCell ref="S39:T39"/>
    <mergeCell ref="S30:T30"/>
    <mergeCell ref="S31:T31"/>
    <mergeCell ref="S32:T32"/>
    <mergeCell ref="S33:T33"/>
    <mergeCell ref="S34:T34"/>
    <mergeCell ref="S25:T25"/>
    <mergeCell ref="S26:T26"/>
    <mergeCell ref="S27:T27"/>
    <mergeCell ref="S28:T28"/>
    <mergeCell ref="S29:T29"/>
    <mergeCell ref="S20:T20"/>
    <mergeCell ref="S21:T21"/>
    <mergeCell ref="S22:T22"/>
    <mergeCell ref="S23:T23"/>
    <mergeCell ref="S24:T24"/>
    <mergeCell ref="Q40:R40"/>
    <mergeCell ref="S5:T5"/>
    <mergeCell ref="S6:T6"/>
    <mergeCell ref="S7:T7"/>
    <mergeCell ref="S8:T8"/>
    <mergeCell ref="S9:T9"/>
    <mergeCell ref="S10:T10"/>
    <mergeCell ref="S11:T11"/>
    <mergeCell ref="S12:T12"/>
    <mergeCell ref="S13:T13"/>
    <mergeCell ref="S14:T14"/>
    <mergeCell ref="S15:T15"/>
    <mergeCell ref="S16:T16"/>
    <mergeCell ref="S17:T17"/>
    <mergeCell ref="S18:T18"/>
    <mergeCell ref="S19:T19"/>
    <mergeCell ref="Q35:R35"/>
    <mergeCell ref="Q36:R36"/>
    <mergeCell ref="Q37:R37"/>
    <mergeCell ref="Q38:R38"/>
    <mergeCell ref="Q39:R39"/>
    <mergeCell ref="Q30:R30"/>
    <mergeCell ref="Q31:R31"/>
    <mergeCell ref="Q32:R32"/>
    <mergeCell ref="Q33:R33"/>
    <mergeCell ref="Q34:R34"/>
    <mergeCell ref="Q25:R25"/>
    <mergeCell ref="Q26:R26"/>
    <mergeCell ref="Q27:R27"/>
    <mergeCell ref="Q28:R28"/>
    <mergeCell ref="Q29:R29"/>
    <mergeCell ref="Q20:R20"/>
    <mergeCell ref="Q21:R21"/>
    <mergeCell ref="Q22:R22"/>
    <mergeCell ref="Q23:R23"/>
    <mergeCell ref="Q24:R24"/>
    <mergeCell ref="O40:P40"/>
    <mergeCell ref="Q5:R5"/>
    <mergeCell ref="Q6:R6"/>
    <mergeCell ref="Q7:R7"/>
    <mergeCell ref="Q8:R8"/>
    <mergeCell ref="Q9:R9"/>
    <mergeCell ref="Q10:R10"/>
    <mergeCell ref="Q11:R11"/>
    <mergeCell ref="Q12:R12"/>
    <mergeCell ref="Q13:R13"/>
    <mergeCell ref="Q14:R14"/>
    <mergeCell ref="Q15:R15"/>
    <mergeCell ref="Q16:R16"/>
    <mergeCell ref="Q17:R17"/>
    <mergeCell ref="Q18:R18"/>
    <mergeCell ref="Q19:R19"/>
    <mergeCell ref="O35:P35"/>
    <mergeCell ref="O36:P36"/>
    <mergeCell ref="O37:P37"/>
    <mergeCell ref="O38:P38"/>
    <mergeCell ref="O39:P39"/>
    <mergeCell ref="O30:P30"/>
    <mergeCell ref="O31:P31"/>
    <mergeCell ref="O32:P32"/>
    <mergeCell ref="O33:P33"/>
    <mergeCell ref="O34:P34"/>
    <mergeCell ref="O25:P25"/>
    <mergeCell ref="O26:P26"/>
    <mergeCell ref="O27:P27"/>
    <mergeCell ref="O28:P28"/>
    <mergeCell ref="O29:P29"/>
    <mergeCell ref="O20:P20"/>
    <mergeCell ref="O21:P21"/>
    <mergeCell ref="O22:P22"/>
    <mergeCell ref="O23:P23"/>
    <mergeCell ref="O24:P24"/>
    <mergeCell ref="M40:N40"/>
    <mergeCell ref="O5:P5"/>
    <mergeCell ref="O6:P6"/>
    <mergeCell ref="O7:P7"/>
    <mergeCell ref="O8:P8"/>
    <mergeCell ref="O9:P9"/>
    <mergeCell ref="O10:P10"/>
    <mergeCell ref="O11:P11"/>
    <mergeCell ref="O12:P12"/>
    <mergeCell ref="O13:P13"/>
    <mergeCell ref="O14:P14"/>
    <mergeCell ref="O15:P15"/>
    <mergeCell ref="O16:P16"/>
    <mergeCell ref="O17:P17"/>
    <mergeCell ref="O18:P18"/>
    <mergeCell ref="O19:P19"/>
    <mergeCell ref="M35:N35"/>
    <mergeCell ref="M36:N36"/>
    <mergeCell ref="M37:N37"/>
    <mergeCell ref="M38:N38"/>
    <mergeCell ref="M39:N39"/>
    <mergeCell ref="M30:N30"/>
    <mergeCell ref="M31:N31"/>
    <mergeCell ref="M32:N32"/>
    <mergeCell ref="M33:N33"/>
    <mergeCell ref="M34:N34"/>
    <mergeCell ref="M25:N25"/>
    <mergeCell ref="M26:N26"/>
    <mergeCell ref="M27:N27"/>
    <mergeCell ref="M28:N28"/>
    <mergeCell ref="M29:N29"/>
    <mergeCell ref="M20:N20"/>
    <mergeCell ref="M21:N21"/>
    <mergeCell ref="M22:N22"/>
    <mergeCell ref="M23:N23"/>
    <mergeCell ref="M24:N24"/>
    <mergeCell ref="K40:L40"/>
    <mergeCell ref="M5:N5"/>
    <mergeCell ref="M6:N6"/>
    <mergeCell ref="M7:N7"/>
    <mergeCell ref="M8:N8"/>
    <mergeCell ref="M9:N9"/>
    <mergeCell ref="M10:N10"/>
    <mergeCell ref="M11:N11"/>
    <mergeCell ref="M12:N12"/>
    <mergeCell ref="M13:N13"/>
    <mergeCell ref="M14:N14"/>
    <mergeCell ref="M15:N15"/>
    <mergeCell ref="M16:N16"/>
    <mergeCell ref="M17:N17"/>
    <mergeCell ref="M18:N18"/>
    <mergeCell ref="M19:N19"/>
    <mergeCell ref="K35:L35"/>
    <mergeCell ref="K36:L36"/>
    <mergeCell ref="K37:L37"/>
    <mergeCell ref="K38:L38"/>
    <mergeCell ref="K39:L39"/>
    <mergeCell ref="K30:L30"/>
    <mergeCell ref="K31:L31"/>
    <mergeCell ref="K32:L32"/>
    <mergeCell ref="K33:L33"/>
    <mergeCell ref="K34:L34"/>
    <mergeCell ref="K25:L25"/>
    <mergeCell ref="K26:L26"/>
    <mergeCell ref="K27:L27"/>
    <mergeCell ref="K28:L28"/>
    <mergeCell ref="K29:L29"/>
    <mergeCell ref="K20:L20"/>
    <mergeCell ref="K21:L21"/>
    <mergeCell ref="K22:L22"/>
    <mergeCell ref="K23:L23"/>
    <mergeCell ref="K24:L24"/>
    <mergeCell ref="I40:J40"/>
    <mergeCell ref="K5:L5"/>
    <mergeCell ref="K6:L6"/>
    <mergeCell ref="K7:L7"/>
    <mergeCell ref="K8:L8"/>
    <mergeCell ref="K9:L9"/>
    <mergeCell ref="K10:L10"/>
    <mergeCell ref="K11:L11"/>
    <mergeCell ref="K12:L12"/>
    <mergeCell ref="K13:L13"/>
    <mergeCell ref="K14:L14"/>
    <mergeCell ref="K15:L15"/>
    <mergeCell ref="K16:L16"/>
    <mergeCell ref="K17:L17"/>
    <mergeCell ref="K18:L18"/>
    <mergeCell ref="K19:L19"/>
    <mergeCell ref="I35:J35"/>
    <mergeCell ref="I36:J36"/>
    <mergeCell ref="I37:J37"/>
    <mergeCell ref="I38:J38"/>
    <mergeCell ref="I39:J39"/>
    <mergeCell ref="I30:J30"/>
    <mergeCell ref="I31:J31"/>
    <mergeCell ref="I32:J32"/>
    <mergeCell ref="I33:J33"/>
    <mergeCell ref="I34:J34"/>
    <mergeCell ref="I25:J25"/>
    <mergeCell ref="I26:J26"/>
    <mergeCell ref="I27:J27"/>
    <mergeCell ref="I28:J28"/>
    <mergeCell ref="I29:J29"/>
    <mergeCell ref="I20:J20"/>
    <mergeCell ref="I21:J21"/>
    <mergeCell ref="I22:J22"/>
    <mergeCell ref="I23:J23"/>
    <mergeCell ref="I24:J24"/>
    <mergeCell ref="G40:H40"/>
    <mergeCell ref="I5:J5"/>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G35:H35"/>
    <mergeCell ref="G36:H36"/>
    <mergeCell ref="G37:H37"/>
    <mergeCell ref="G38:H38"/>
    <mergeCell ref="G39:H39"/>
    <mergeCell ref="G30:H30"/>
    <mergeCell ref="G31:H31"/>
    <mergeCell ref="G32:H32"/>
    <mergeCell ref="G33:H33"/>
    <mergeCell ref="G34:H34"/>
    <mergeCell ref="G25:H25"/>
    <mergeCell ref="G26:H26"/>
    <mergeCell ref="G27:H27"/>
    <mergeCell ref="G28:H28"/>
    <mergeCell ref="G29:H29"/>
    <mergeCell ref="G20:H20"/>
    <mergeCell ref="G21:H21"/>
    <mergeCell ref="G22:H22"/>
    <mergeCell ref="G23:H23"/>
    <mergeCell ref="G24:H24"/>
    <mergeCell ref="E40:F40"/>
    <mergeCell ref="G5:H5"/>
    <mergeCell ref="G6:H6"/>
    <mergeCell ref="G7:H7"/>
    <mergeCell ref="G8:H8"/>
    <mergeCell ref="G9:H9"/>
    <mergeCell ref="G10:H10"/>
    <mergeCell ref="G11:H11"/>
    <mergeCell ref="G12:H12"/>
    <mergeCell ref="G13:H13"/>
    <mergeCell ref="G14:H14"/>
    <mergeCell ref="G15:H15"/>
    <mergeCell ref="G16:H16"/>
    <mergeCell ref="G17:H17"/>
    <mergeCell ref="G18:H18"/>
    <mergeCell ref="G19:H19"/>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C40:D40"/>
    <mergeCell ref="E5:F5"/>
    <mergeCell ref="E6:F6"/>
    <mergeCell ref="E7:F7"/>
    <mergeCell ref="E8:F8"/>
    <mergeCell ref="E9:F9"/>
    <mergeCell ref="E10:F10"/>
    <mergeCell ref="E11:F11"/>
    <mergeCell ref="E12:F12"/>
    <mergeCell ref="E13:F13"/>
    <mergeCell ref="E14:F14"/>
    <mergeCell ref="E15:F15"/>
    <mergeCell ref="E16:F16"/>
    <mergeCell ref="E17:F17"/>
    <mergeCell ref="E18:F18"/>
    <mergeCell ref="E19:F19"/>
    <mergeCell ref="C35:D35"/>
    <mergeCell ref="C36:D36"/>
    <mergeCell ref="C37:D37"/>
    <mergeCell ref="C38:D38"/>
    <mergeCell ref="C39:D39"/>
    <mergeCell ref="C30:D30"/>
    <mergeCell ref="C31:D31"/>
    <mergeCell ref="C32:D32"/>
    <mergeCell ref="C33:D33"/>
    <mergeCell ref="C34:D34"/>
    <mergeCell ref="C25:D25"/>
    <mergeCell ref="C26:D26"/>
    <mergeCell ref="C27:D27"/>
    <mergeCell ref="C28:D28"/>
    <mergeCell ref="C29:D29"/>
    <mergeCell ref="C20:D20"/>
    <mergeCell ref="C21:D21"/>
    <mergeCell ref="C22:D22"/>
    <mergeCell ref="C23:D23"/>
    <mergeCell ref="C24:D24"/>
    <mergeCell ref="A40:B40"/>
    <mergeCell ref="C5:D5"/>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A35:B35"/>
    <mergeCell ref="A36:B36"/>
    <mergeCell ref="A37:B37"/>
    <mergeCell ref="A38:B38"/>
    <mergeCell ref="A39:B39"/>
    <mergeCell ref="A30:B30"/>
    <mergeCell ref="A31:B31"/>
    <mergeCell ref="A32:B32"/>
    <mergeCell ref="A33:B33"/>
    <mergeCell ref="A34:B34"/>
    <mergeCell ref="A25:B25"/>
    <mergeCell ref="A26:B26"/>
    <mergeCell ref="A27:B27"/>
    <mergeCell ref="A28:B28"/>
    <mergeCell ref="A29:B29"/>
    <mergeCell ref="A20:B20"/>
    <mergeCell ref="A21:B21"/>
    <mergeCell ref="A22:B22"/>
    <mergeCell ref="A23:B23"/>
    <mergeCell ref="A24:B24"/>
    <mergeCell ref="A15:B15"/>
    <mergeCell ref="A16:B16"/>
    <mergeCell ref="A17:B17"/>
    <mergeCell ref="A18:B18"/>
    <mergeCell ref="A19:B19"/>
    <mergeCell ref="A10:B10"/>
    <mergeCell ref="A11:B11"/>
    <mergeCell ref="A12:B12"/>
    <mergeCell ref="A13:B13"/>
    <mergeCell ref="A14:B14"/>
    <mergeCell ref="A5:B5"/>
    <mergeCell ref="A6:B6"/>
    <mergeCell ref="A7:B7"/>
    <mergeCell ref="A8:B8"/>
    <mergeCell ref="A9:B9"/>
    <mergeCell ref="K2:T2"/>
    <mergeCell ref="A2:J2"/>
    <mergeCell ref="U2:AC2"/>
    <mergeCell ref="B1:AD1"/>
    <mergeCell ref="A4:B4"/>
    <mergeCell ref="C4:D4"/>
    <mergeCell ref="E4:F4"/>
    <mergeCell ref="G4:H4"/>
    <mergeCell ref="I4:J4"/>
    <mergeCell ref="K4:L4"/>
    <mergeCell ref="M4:N4"/>
    <mergeCell ref="O4:P4"/>
    <mergeCell ref="Q4:R4"/>
    <mergeCell ref="S4:T4"/>
    <mergeCell ref="V3:W3"/>
    <mergeCell ref="Y3:Z3"/>
  </mergeCells>
  <conditionalFormatting sqref="AA5:AC40">
    <cfRule type="expression" dxfId="23" priority="65" stopIfTrue="1">
      <formula>OR(ISNUMBER(SEARCH("D",AA5)),ISNUMBER(SEARCH("E",AA5)))</formula>
    </cfRule>
  </conditionalFormatting>
  <conditionalFormatting sqref="A5:T40">
    <cfRule type="expression" dxfId="22" priority="3" stopIfTrue="1">
      <formula>NOT(ISBLANK(A5))</formula>
    </cfRule>
    <cfRule type="expression" dxfId="21" priority="4"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772A52-9F2A-4EAD-9868-173A40AB2317}">
          <x14:formula1>
            <xm:f>GradeScheme!$B$2:$B$18</xm:f>
          </x14:formula1>
          <xm:sqref>AB5:AB40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E43" sqref="E43"/>
    </sheetView>
  </sheetViews>
  <sheetFormatPr defaultRowHeight="15" x14ac:dyDescent="0.25"/>
  <cols>
    <col min="1" max="1" width="17" style="9" bestFit="1" customWidth="1"/>
    <col min="2" max="2" width="4.7109375" style="9" customWidth="1"/>
    <col min="3" max="3" width="17" style="9" bestFit="1" customWidth="1"/>
    <col min="4" max="4" width="4.7109375" style="9" customWidth="1"/>
    <col min="5" max="5" width="17" style="9" bestFit="1" customWidth="1"/>
    <col min="6" max="6" width="4.7109375" style="19" customWidth="1"/>
    <col min="7" max="7" width="17" style="19" bestFit="1" customWidth="1"/>
    <col min="8" max="8" width="4.7109375" style="19" customWidth="1"/>
    <col min="9" max="9" width="17" style="19" bestFit="1" customWidth="1"/>
    <col min="10" max="10" width="4.7109375" style="19" customWidth="1"/>
    <col min="11" max="11" width="17" style="9" hidden="1" customWidth="1"/>
    <col min="12" max="12" width="4.7109375" style="19" hidden="1" customWidth="1"/>
    <col min="13" max="13" width="13.28515625" style="9" bestFit="1" customWidth="1"/>
    <col min="14" max="14" width="5.5703125" style="19" customWidth="1"/>
    <col min="15" max="15" width="6.140625" style="9" customWidth="1"/>
    <col min="16" max="16" width="12.85546875" style="9" bestFit="1" customWidth="1"/>
    <col min="17" max="17" width="5.5703125" style="19" bestFit="1" customWidth="1"/>
    <col min="18" max="18" width="6.28515625" style="9" bestFit="1" customWidth="1"/>
    <col min="19" max="19" width="11" style="9" bestFit="1" customWidth="1"/>
    <col min="20" max="20" width="10.42578125" style="39" bestFit="1" customWidth="1"/>
    <col min="21" max="21" width="13.42578125" style="33" bestFit="1" customWidth="1"/>
    <col min="22" max="22" width="3.42578125" style="33" customWidth="1"/>
    <col min="23" max="23" width="18.85546875" style="33" bestFit="1" customWidth="1"/>
    <col min="24" max="24" width="3.140625" style="33" bestFit="1" customWidth="1"/>
    <col min="25" max="25" width="17" style="33" hidden="1" customWidth="1"/>
    <col min="26" max="26" width="9.140625" style="33" hidden="1" customWidth="1"/>
    <col min="27" max="27" width="17" style="33" hidden="1" customWidth="1"/>
    <col min="28" max="28" width="9.140625" style="33" hidden="1" customWidth="1"/>
    <col min="29" max="29" width="17" style="33" hidden="1" customWidth="1"/>
    <col min="30" max="30" width="9.140625" style="33" hidden="1" customWidth="1"/>
    <col min="31" max="31" width="17" style="33" hidden="1" customWidth="1"/>
    <col min="32" max="32" width="9.140625" style="33" hidden="1" customWidth="1"/>
    <col min="33" max="33" width="17" style="33" hidden="1" customWidth="1"/>
    <col min="34" max="34" width="9.140625" style="33" hidden="1" customWidth="1"/>
    <col min="35" max="35" width="18.85546875" style="33" customWidth="1"/>
    <col min="36" max="36" width="5.7109375" style="33" customWidth="1"/>
    <col min="37" max="37" width="6.42578125" style="33" hidden="1" customWidth="1"/>
    <col min="38" max="38" width="13.42578125" style="33" hidden="1" customWidth="1"/>
    <col min="39" max="39" width="2.7109375" style="33" hidden="1" customWidth="1"/>
    <col min="40" max="40" width="6.42578125" style="33" hidden="1" customWidth="1"/>
    <col min="41" max="41" width="11" style="33" hidden="1" customWidth="1"/>
    <col min="42" max="42" width="10.42578125" style="33" hidden="1" customWidth="1"/>
    <col min="43" max="43" width="13.42578125" style="33" bestFit="1" customWidth="1"/>
    <col min="44" max="44" width="2.7109375" style="33" customWidth="1"/>
    <col min="45" max="16384" width="9.140625" style="33"/>
  </cols>
  <sheetData>
    <row r="1" spans="1:44" x14ac:dyDescent="0.25">
      <c r="A1" s="20" t="s">
        <v>31</v>
      </c>
      <c r="B1" s="177" t="s">
        <v>54</v>
      </c>
      <c r="C1" s="178"/>
      <c r="D1" s="178"/>
      <c r="E1" s="178"/>
      <c r="F1" s="178"/>
      <c r="G1" s="178"/>
      <c r="H1" s="178"/>
      <c r="I1" s="178"/>
      <c r="J1" s="178"/>
      <c r="K1" s="178"/>
      <c r="L1" s="178"/>
      <c r="M1" s="178"/>
      <c r="N1" s="178"/>
      <c r="O1" s="178"/>
      <c r="P1" s="178"/>
      <c r="Q1" s="178"/>
      <c r="R1" s="178"/>
      <c r="S1" s="178"/>
      <c r="T1" s="178"/>
      <c r="U1" s="178"/>
      <c r="V1" s="179"/>
      <c r="W1" s="20" t="s">
        <v>31</v>
      </c>
      <c r="X1" s="177" t="s">
        <v>57</v>
      </c>
      <c r="Y1" s="178"/>
      <c r="Z1" s="178"/>
      <c r="AA1" s="178"/>
      <c r="AB1" s="178"/>
      <c r="AC1" s="178"/>
      <c r="AD1" s="178"/>
      <c r="AE1" s="178"/>
      <c r="AF1" s="178"/>
      <c r="AG1" s="178"/>
      <c r="AH1" s="178"/>
      <c r="AI1" s="178"/>
      <c r="AJ1" s="178"/>
      <c r="AK1" s="178"/>
      <c r="AL1" s="178"/>
      <c r="AM1" s="178"/>
      <c r="AN1" s="178"/>
      <c r="AO1" s="178"/>
      <c r="AP1" s="178"/>
      <c r="AQ1" s="178"/>
      <c r="AR1" s="179"/>
    </row>
    <row r="2" spans="1:44" x14ac:dyDescent="0.25">
      <c r="A2" s="186" t="s">
        <v>32</v>
      </c>
      <c r="B2" s="181"/>
      <c r="C2" s="181"/>
      <c r="D2" s="181"/>
      <c r="E2" s="181"/>
      <c r="F2" s="187"/>
      <c r="G2" s="180" t="s">
        <v>34</v>
      </c>
      <c r="H2" s="181"/>
      <c r="I2" s="181"/>
      <c r="J2" s="181"/>
      <c r="K2" s="181"/>
      <c r="L2" s="187"/>
      <c r="M2" s="180" t="s">
        <v>35</v>
      </c>
      <c r="N2" s="181"/>
      <c r="O2" s="181"/>
      <c r="P2" s="181"/>
      <c r="Q2" s="181"/>
      <c r="R2" s="181"/>
      <c r="S2" s="181"/>
      <c r="T2" s="181"/>
      <c r="U2" s="181"/>
      <c r="V2" s="89"/>
      <c r="W2" s="186" t="s">
        <v>58</v>
      </c>
      <c r="X2" s="181"/>
      <c r="Y2" s="181"/>
      <c r="Z2" s="181"/>
      <c r="AA2" s="181"/>
      <c r="AB2" s="187"/>
      <c r="AC2" s="180" t="s">
        <v>34</v>
      </c>
      <c r="AD2" s="181"/>
      <c r="AE2" s="181"/>
      <c r="AF2" s="181"/>
      <c r="AG2" s="181"/>
      <c r="AH2" s="187"/>
      <c r="AI2" s="180" t="s">
        <v>35</v>
      </c>
      <c r="AJ2" s="181"/>
      <c r="AK2" s="181"/>
      <c r="AL2" s="181"/>
      <c r="AM2" s="181"/>
      <c r="AN2" s="181"/>
      <c r="AO2" s="181"/>
      <c r="AP2" s="181"/>
      <c r="AQ2" s="181"/>
      <c r="AR2" s="39"/>
    </row>
    <row r="3" spans="1:44" ht="15" customHeight="1" x14ac:dyDescent="0.25">
      <c r="A3" s="17" t="str">
        <f>_xlfn.CONCAT("Max ",A4," Mark:")</f>
        <v>Max SU Mark:</v>
      </c>
      <c r="B3" s="21">
        <v>12</v>
      </c>
      <c r="C3" s="17" t="str">
        <f>_xlfn.CONCAT("Max ",C4," Mark:")</f>
        <v>Max SHE Mark:</v>
      </c>
      <c r="D3" s="21">
        <v>8</v>
      </c>
      <c r="E3" s="17" t="str">
        <f>_xlfn.CONCAT("Max ",E4," Mark:")</f>
        <v>Max [Mark] Mark:</v>
      </c>
      <c r="F3" s="21"/>
      <c r="G3" s="17" t="str">
        <f>_xlfn.CONCAT("Max ",G4," Mark:")</f>
        <v>Max PADI Mark:</v>
      </c>
      <c r="H3" s="21">
        <v>6</v>
      </c>
      <c r="I3" s="17" t="str">
        <f>_xlfn.CONCAT("Max ",I4," Mark:")</f>
        <v>Max SD Mark:</v>
      </c>
      <c r="J3" s="22">
        <v>8</v>
      </c>
      <c r="K3" s="17" t="str">
        <f>_xlfn.CONCAT("Max ",K4," Mark:")</f>
        <v>Max [Mark] Mark:</v>
      </c>
      <c r="L3" s="22"/>
      <c r="M3" s="23" t="str">
        <f>_xlfn.CONCAT("Max ",A2," Mark:")</f>
        <v>Max UD Mark:</v>
      </c>
      <c r="N3" s="188">
        <f>B3+D3+F3</f>
        <v>20</v>
      </c>
      <c r="O3" s="189"/>
      <c r="P3" s="43" t="str">
        <f>_xlfn.CONCAT("Max ",G2," Mark:")</f>
        <v>Max SD Mark:</v>
      </c>
      <c r="Q3" s="190">
        <f>H3+J3+L3</f>
        <v>14</v>
      </c>
      <c r="R3" s="191"/>
      <c r="S3" s="182" t="s">
        <v>55</v>
      </c>
      <c r="T3" s="182" t="s">
        <v>56</v>
      </c>
      <c r="U3" s="182" t="str">
        <f>_xlfn.CONCAT(M2," Grade")</f>
        <v>Overall Grade</v>
      </c>
      <c r="V3" s="89"/>
      <c r="W3" s="17" t="str">
        <f>_xlfn.CONCAT("Max ",W4," Mark:")</f>
        <v>Max Spelling Mark:</v>
      </c>
      <c r="X3" s="21">
        <v>12</v>
      </c>
      <c r="Y3" s="17" t="str">
        <f>_xlfn.CONCAT("Max ",Y4," Mark:")</f>
        <v>Max [Mark] Mark:</v>
      </c>
      <c r="Z3" s="21"/>
      <c r="AA3" s="17" t="str">
        <f>_xlfn.CONCAT("Max ",AA4," Mark:")</f>
        <v>Max [Mark] Mark:</v>
      </c>
      <c r="AB3" s="21"/>
      <c r="AC3" s="17" t="str">
        <f>_xlfn.CONCAT("Max ",AC4," Mark:")</f>
        <v>Max [Mark] Mark:</v>
      </c>
      <c r="AD3" s="21"/>
      <c r="AE3" s="17" t="str">
        <f>_xlfn.CONCAT("Max ",AE4," Mark:")</f>
        <v>Max [Mark] Mark:</v>
      </c>
      <c r="AF3" s="22"/>
      <c r="AG3" s="17" t="str">
        <f>_xlfn.CONCAT("Max ",AG4," Mark:")</f>
        <v>Max [Mark] Mark:</v>
      </c>
      <c r="AH3" s="22"/>
      <c r="AI3" s="23" t="str">
        <f>_xlfn.CONCAT("Max ",W2," Mark:")</f>
        <v>Max Spelling Mark:</v>
      </c>
      <c r="AJ3" s="188">
        <f>X3+Z3+AB3</f>
        <v>12</v>
      </c>
      <c r="AK3" s="189"/>
      <c r="AL3" s="43" t="str">
        <f>_xlfn.CONCAT("Max ",AC2," Mark:")</f>
        <v>Max SD Mark:</v>
      </c>
      <c r="AM3" s="190">
        <f>AD3+AF3+AH3</f>
        <v>0</v>
      </c>
      <c r="AN3" s="191"/>
      <c r="AO3" s="182" t="s">
        <v>55</v>
      </c>
      <c r="AP3" s="182" t="s">
        <v>56</v>
      </c>
      <c r="AQ3" s="182" t="str">
        <f>_xlfn.CONCAT(AI2," Grade")</f>
        <v>Overall Grade</v>
      </c>
      <c r="AR3" s="39"/>
    </row>
    <row r="4" spans="1:44" ht="15" customHeight="1" x14ac:dyDescent="0.25">
      <c r="A4" s="184" t="s">
        <v>41</v>
      </c>
      <c r="B4" s="185"/>
      <c r="C4" s="184" t="s">
        <v>42</v>
      </c>
      <c r="D4" s="185"/>
      <c r="E4" s="184" t="s">
        <v>40</v>
      </c>
      <c r="F4" s="185"/>
      <c r="G4" s="184" t="s">
        <v>43</v>
      </c>
      <c r="H4" s="185"/>
      <c r="I4" s="184" t="s">
        <v>34</v>
      </c>
      <c r="J4" s="185"/>
      <c r="K4" s="184" t="s">
        <v>40</v>
      </c>
      <c r="L4" s="185"/>
      <c r="M4" s="46" t="str">
        <f>_xlfn.CONCAT(M2," ",A2)</f>
        <v>Overall UD</v>
      </c>
      <c r="N4" s="47" t="s">
        <v>33</v>
      </c>
      <c r="O4" s="48" t="s">
        <v>1</v>
      </c>
      <c r="P4" s="49" t="str">
        <f>_xlfn.CONCAT(M2," ",G2)</f>
        <v>Overall SD</v>
      </c>
      <c r="Q4" s="50" t="s">
        <v>33</v>
      </c>
      <c r="R4" s="51" t="s">
        <v>1</v>
      </c>
      <c r="S4" s="183"/>
      <c r="T4" s="183"/>
      <c r="U4" s="183"/>
      <c r="V4" s="89"/>
      <c r="W4" s="184" t="s">
        <v>58</v>
      </c>
      <c r="X4" s="185"/>
      <c r="Y4" s="184" t="s">
        <v>40</v>
      </c>
      <c r="Z4" s="185"/>
      <c r="AA4" s="184" t="s">
        <v>40</v>
      </c>
      <c r="AB4" s="185"/>
      <c r="AC4" s="184" t="s">
        <v>40</v>
      </c>
      <c r="AD4" s="185"/>
      <c r="AE4" s="184" t="s">
        <v>40</v>
      </c>
      <c r="AF4" s="185"/>
      <c r="AG4" s="184" t="s">
        <v>40</v>
      </c>
      <c r="AH4" s="185"/>
      <c r="AI4" s="46" t="str">
        <f>_xlfn.CONCAT(AI2," ",W2)</f>
        <v>Overall Spelling</v>
      </c>
      <c r="AJ4" s="47" t="s">
        <v>33</v>
      </c>
      <c r="AK4" s="48" t="s">
        <v>1</v>
      </c>
      <c r="AL4" s="49" t="str">
        <f>_xlfn.CONCAT(AI2," ",AC2)</f>
        <v>Overall SD</v>
      </c>
      <c r="AM4" s="50" t="s">
        <v>33</v>
      </c>
      <c r="AN4" s="51" t="s">
        <v>1</v>
      </c>
      <c r="AO4" s="183"/>
      <c r="AP4" s="183"/>
      <c r="AQ4" s="183"/>
      <c r="AR4" s="39"/>
    </row>
    <row r="5" spans="1:44" ht="15" customHeight="1" x14ac:dyDescent="0.25">
      <c r="A5" s="28">
        <v>9</v>
      </c>
      <c r="B5" s="29"/>
      <c r="C5" s="29">
        <v>7.5</v>
      </c>
      <c r="D5" s="29"/>
      <c r="E5" s="52"/>
      <c r="F5" s="29"/>
      <c r="G5" s="29">
        <v>2.5</v>
      </c>
      <c r="H5" s="29"/>
      <c r="I5" s="29">
        <v>5</v>
      </c>
      <c r="J5" s="29"/>
      <c r="K5" s="29"/>
      <c r="L5" s="29"/>
      <c r="M5" s="30">
        <f>IF(OR(A5="-",C5="-",E5="-"),"-",IF(AND(ISBLANK(C5),ISBLANK(A5),ISBLANK(E5)),"",A5+C5+E5))</f>
        <v>16.5</v>
      </c>
      <c r="N5" s="31">
        <f>IF(M5="","",IF(M5="-","-",M5/N$3))</f>
        <v>0.82499999999999996</v>
      </c>
      <c r="O5" s="30" t="str">
        <f>IF(N5="","",VLOOKUP(N5,Table1[],2,TRUE))</f>
        <v>A-</v>
      </c>
      <c r="P5" s="40">
        <f>IF(OR(G5="-",I5="-",K5="-"),"-",IF(AND(ISBLANK(I5),ISBLANK(G5),ISBLANK(K5)),"",G5+I5+K5))</f>
        <v>7.5</v>
      </c>
      <c r="Q5" s="41">
        <f>IF(P5="","",IF(P5="-", "-",P5/Q$3))</f>
        <v>0.5357142857142857</v>
      </c>
      <c r="R5" s="42" t="str">
        <f>IF(Q5="","",VLOOKUP(Q5,Table1[],2,TRUE))</f>
        <v>C</v>
      </c>
      <c r="S5" s="27" t="str">
        <f>IF(AND(N5="",Q5=""),"",IF(OR(N5="-",Q5="-"),"-",IF(AND(N$3&lt;&gt;0,Q$3&lt;&gt;0),VLOOKUP(AVERAGE(N5,Q5),Table1[],2,TRUE),IF(AND(N$3&lt;&gt;0,Q$3=0),O5,R5))))</f>
        <v>B-</v>
      </c>
      <c r="T5" s="87" t="s">
        <v>15</v>
      </c>
      <c r="U5" s="83" t="str">
        <f>IF(ISBLANK(T5),S5,T5)</f>
        <v>A-</v>
      </c>
      <c r="V5" s="90"/>
      <c r="W5" s="28">
        <v>5</v>
      </c>
      <c r="X5" s="29"/>
      <c r="Y5" s="29"/>
      <c r="Z5" s="29"/>
      <c r="AA5" s="29"/>
      <c r="AB5" s="29"/>
      <c r="AC5" s="29"/>
      <c r="AD5" s="29"/>
      <c r="AE5" s="29"/>
      <c r="AF5" s="29"/>
      <c r="AG5" s="29"/>
      <c r="AH5" s="29"/>
      <c r="AI5" s="30">
        <f>IF(OR(W5="-",Y5="-",AA5="-"),"-",IF(AND(ISBLANK(Y5),ISBLANK(W5),ISBLANK(AA5)),"",W5+Y5+AA5))</f>
        <v>5</v>
      </c>
      <c r="AJ5" s="31">
        <f>IF(AI5="","",IF(AI5="-","-",AI5/AJ$3))</f>
        <v>0.41666666666666669</v>
      </c>
      <c r="AK5" s="30" t="str">
        <f>IF(AJ5="","",VLOOKUP(AJ5,Table1[],2,TRUE))</f>
        <v>D+</v>
      </c>
      <c r="AL5" s="40" t="str">
        <f>IF(OR(AC5="-",AE5="-",AG5="-"),"-",IF(AND(ISBLANK(AE5),ISBLANK(AC5),ISBLANK(AG5)),"",AC5+AE5+AG5))</f>
        <v/>
      </c>
      <c r="AM5" s="41" t="str">
        <f>IF(AL5="","",IF(AL5="-", "-",AL5/AM$3))</f>
        <v/>
      </c>
      <c r="AN5" s="42" t="str">
        <f>IF(AM5="","",VLOOKUP(AM5,Table1[],2,TRUE))</f>
        <v/>
      </c>
      <c r="AO5" s="27" t="str">
        <f>IF(AND(AJ5="",AM5=""),"",IF(OR(AJ5="-",AM5="-"),"-",IF(AND(AJ$3&lt;&gt;0,AM$3&lt;&gt;0),VLOOKUP(AVERAGE(AJ5,AM5),Table1[],2,TRUE),IF(AND(AJ$3&lt;&gt;0,AM$3=0),AK5,AN5))))</f>
        <v>D+</v>
      </c>
      <c r="AP5" s="87"/>
      <c r="AQ5" s="83" t="str">
        <f>IF(ISBLANK(AP5),AO5,AP5)</f>
        <v>D+</v>
      </c>
      <c r="AR5" s="85"/>
    </row>
    <row r="6" spans="1:44" ht="15" customHeight="1" x14ac:dyDescent="0.25">
      <c r="A6" s="28">
        <v>4</v>
      </c>
      <c r="B6" s="29"/>
      <c r="C6" s="29">
        <v>4</v>
      </c>
      <c r="D6" s="29"/>
      <c r="E6" s="52"/>
      <c r="F6" s="29"/>
      <c r="G6" s="29">
        <v>3</v>
      </c>
      <c r="H6" s="29"/>
      <c r="I6" s="29">
        <v>3</v>
      </c>
      <c r="J6" s="29"/>
      <c r="K6" s="29"/>
      <c r="L6" s="29"/>
      <c r="M6" s="30">
        <f>IF(OR(A6="-",C6="-",E6="-"),"-",IF(AND(ISBLANK(C6),ISBLANK(A6),ISBLANK(E6)),"",A6+C6+E6))</f>
        <v>8</v>
      </c>
      <c r="N6" s="31">
        <f t="shared" ref="N6:N40" si="0">IF(OR(N$3="",M6=""),"",IF(M6="-","-",M6/N$3))</f>
        <v>0.4</v>
      </c>
      <c r="O6" s="30" t="str">
        <f>IF(M6="","",VLOOKUP(N6,Table1[],2,TRUE))</f>
        <v>D+</v>
      </c>
      <c r="P6" s="40">
        <f t="shared" ref="P6:P40" si="1">IF(OR(G6="-",I6="-",K6="-"),"-",IF(AND(ISBLANK(I6),ISBLANK(G6),ISBLANK(K6)),"",G6+I6+K6))</f>
        <v>6</v>
      </c>
      <c r="Q6" s="41">
        <f t="shared" ref="Q6:Q40" si="2">IF(OR(Q$3="",P6=""),"",IF(P6="-", "-",P6/Q$3))</f>
        <v>0.42857142857142855</v>
      </c>
      <c r="R6" s="42" t="str">
        <f>IF(P6="","",VLOOKUP(Q6,Table1[],2,TRUE))</f>
        <v>D+</v>
      </c>
      <c r="S6" s="27" t="str">
        <f>IF(AND(N6="",Q6=""),"",IF(OR(N6="-",Q6="-"),"-",IF(AND(N$3&lt;&gt;0,Q$3&lt;&gt;0),VLOOKUP(AVERAGE(N6,Q6),Table1[],2,TRUE),IF(AND(N$3&lt;&gt;0,Q$3=0),O6,R6))))</f>
        <v>D+</v>
      </c>
      <c r="T6" s="27"/>
      <c r="U6" s="84" t="str">
        <f t="shared" ref="U6:U40" si="3">IF(ISBLANK(T6),S6,T6)</f>
        <v>D+</v>
      </c>
      <c r="V6" s="90"/>
      <c r="W6" s="28">
        <v>6</v>
      </c>
      <c r="X6" s="29"/>
      <c r="Y6" s="29"/>
      <c r="Z6" s="29"/>
      <c r="AA6" s="29"/>
      <c r="AB6" s="29"/>
      <c r="AC6" s="29"/>
      <c r="AD6" s="29"/>
      <c r="AE6" s="29"/>
      <c r="AF6" s="29"/>
      <c r="AG6" s="29"/>
      <c r="AH6" s="29"/>
      <c r="AI6" s="30">
        <f>IF(OR(W6="-",Y6="-",AA6="-"),"-",IF(AND(ISBLANK(Y6),ISBLANK(W6),ISBLANK(AA6)),"",W6+Y6+AA6))</f>
        <v>6</v>
      </c>
      <c r="AJ6" s="31">
        <f t="shared" ref="AJ6:AJ40" si="4">IF(OR(AJ$3="",AI6=""),"",IF(AI6="-","-",AI6/AJ$3))</f>
        <v>0.5</v>
      </c>
      <c r="AK6" s="30" t="str">
        <f>IF(AI6="","",VLOOKUP(AJ6,Table1[],2,TRUE))</f>
        <v>C-</v>
      </c>
      <c r="AL6" s="40" t="str">
        <f t="shared" ref="AL6:AL40" si="5">IF(OR(AC6="-",AE6="-",AG6="-"),"-",IF(AND(ISBLANK(AE6),ISBLANK(AC6),ISBLANK(AG6)),"",AC6+AE6+AG6))</f>
        <v/>
      </c>
      <c r="AM6" s="41" t="str">
        <f t="shared" ref="AM6:AM40" si="6">IF(OR(AM$3="",AL6=""),"",IF(AL6="-", "-",AL6/AM$3))</f>
        <v/>
      </c>
      <c r="AN6" s="42" t="str">
        <f>IF(AL6="","",VLOOKUP(AM6,Table1[],2,TRUE))</f>
        <v/>
      </c>
      <c r="AO6" s="27" t="str">
        <f>IF(AND(AJ6="",AM6=""),"",IF(OR(AJ6="-",AM6="-"),"-",IF(AND(AJ$3&lt;&gt;0,AM$3&lt;&gt;0),VLOOKUP(AVERAGE(AJ6,AM6),Table1[],2,TRUE),IF(AND(AJ$3&lt;&gt;0,AM$3=0),AK6,AN6))))</f>
        <v>C-</v>
      </c>
      <c r="AP6" s="27"/>
      <c r="AQ6" s="84" t="str">
        <f t="shared" ref="AQ6:AQ40" si="7">IF(ISBLANK(AP6),AO6,AP6)</f>
        <v>C-</v>
      </c>
      <c r="AR6" s="85"/>
    </row>
    <row r="7" spans="1:44" ht="15" customHeight="1" x14ac:dyDescent="0.25">
      <c r="A7" s="28">
        <v>10</v>
      </c>
      <c r="B7" s="29"/>
      <c r="C7" s="29">
        <v>7</v>
      </c>
      <c r="D7" s="29"/>
      <c r="E7" s="52"/>
      <c r="F7" s="29"/>
      <c r="G7" s="29">
        <v>5.5</v>
      </c>
      <c r="H7" s="29"/>
      <c r="I7" s="29">
        <v>5.5</v>
      </c>
      <c r="J7" s="29"/>
      <c r="K7" s="29"/>
      <c r="L7" s="29"/>
      <c r="M7" s="30">
        <f t="shared" ref="M7:M40" si="8">IF(OR(A7="-",C7="-",E7="-"),"-",IF(AND(ISBLANK(C7),ISBLANK(A7),ISBLANK(E7)),"",A7+C7+E7))</f>
        <v>17</v>
      </c>
      <c r="N7" s="31">
        <f t="shared" si="0"/>
        <v>0.85</v>
      </c>
      <c r="O7" s="30" t="str">
        <f>IF(M7="","",VLOOKUP(N7,Table1[],2,TRUE))</f>
        <v>A-</v>
      </c>
      <c r="P7" s="40">
        <f t="shared" si="1"/>
        <v>11</v>
      </c>
      <c r="Q7" s="41">
        <f t="shared" si="2"/>
        <v>0.7857142857142857</v>
      </c>
      <c r="R7" s="42" t="str">
        <f>IF(P7="","",VLOOKUP(Q7,Table1[],2,TRUE))</f>
        <v>B+</v>
      </c>
      <c r="S7" s="27" t="str">
        <f>IF(AND(N7="",Q7=""),"",IF(OR(N7="-",Q7="-"),"-",IF(AND(N$3&lt;&gt;0,Q$3&lt;&gt;0),VLOOKUP(AVERAGE(N7,Q7),Table1[],2,TRUE),IF(AND(N$3&lt;&gt;0,Q$3=0),O7,R7))))</f>
        <v>A-</v>
      </c>
      <c r="T7" s="27"/>
      <c r="U7" s="84" t="str">
        <f t="shared" si="3"/>
        <v>A-</v>
      </c>
      <c r="V7" s="90"/>
      <c r="W7" s="28">
        <v>10</v>
      </c>
      <c r="X7" s="29"/>
      <c r="Y7" s="29"/>
      <c r="Z7" s="29"/>
      <c r="AA7" s="29"/>
      <c r="AB7" s="29"/>
      <c r="AC7" s="29"/>
      <c r="AD7" s="29"/>
      <c r="AE7" s="29"/>
      <c r="AF7" s="29"/>
      <c r="AG7" s="29"/>
      <c r="AH7" s="29"/>
      <c r="AI7" s="30">
        <f t="shared" ref="AI7:AI40" si="9">IF(OR(W7="-",Y7="-",AA7="-"),"-",IF(AND(ISBLANK(Y7),ISBLANK(W7),ISBLANK(AA7)),"",W7+Y7+AA7))</f>
        <v>10</v>
      </c>
      <c r="AJ7" s="31">
        <f t="shared" si="4"/>
        <v>0.83333333333333337</v>
      </c>
      <c r="AK7" s="30" t="str">
        <f>IF(AI7="","",VLOOKUP(AJ7,Table1[],2,TRUE))</f>
        <v>A-</v>
      </c>
      <c r="AL7" s="40" t="str">
        <f t="shared" si="5"/>
        <v/>
      </c>
      <c r="AM7" s="41" t="str">
        <f t="shared" si="6"/>
        <v/>
      </c>
      <c r="AN7" s="42" t="str">
        <f>IF(AL7="","",VLOOKUP(AM7,Table1[],2,TRUE))</f>
        <v/>
      </c>
      <c r="AO7" s="27" t="str">
        <f>IF(AND(AJ7="",AM7=""),"",IF(OR(AJ7="-",AM7="-"),"-",IF(AND(AJ$3&lt;&gt;0,AM$3&lt;&gt;0),VLOOKUP(AVERAGE(AJ7,AM7),Table1[],2,TRUE),IF(AND(AJ$3&lt;&gt;0,AM$3=0),AK7,AN7))))</f>
        <v>A-</v>
      </c>
      <c r="AP7" s="27"/>
      <c r="AQ7" s="84" t="str">
        <f t="shared" si="7"/>
        <v>A-</v>
      </c>
      <c r="AR7" s="85"/>
    </row>
    <row r="8" spans="1:44" ht="15" customHeight="1" x14ac:dyDescent="0.25">
      <c r="A8" s="28">
        <v>7.5</v>
      </c>
      <c r="B8" s="29"/>
      <c r="C8" s="29">
        <v>6</v>
      </c>
      <c r="D8" s="29"/>
      <c r="E8" s="52"/>
      <c r="F8" s="29"/>
      <c r="G8" s="52"/>
      <c r="H8" s="29"/>
      <c r="I8" s="52"/>
      <c r="J8" s="29"/>
      <c r="K8" s="29"/>
      <c r="L8" s="29"/>
      <c r="M8" s="30">
        <f t="shared" si="8"/>
        <v>13.5</v>
      </c>
      <c r="N8" s="31">
        <f t="shared" si="0"/>
        <v>0.67500000000000004</v>
      </c>
      <c r="O8" s="30" t="str">
        <f>IF(M8="","",VLOOKUP(N8,Table1[],2,TRUE))</f>
        <v>B-</v>
      </c>
      <c r="P8" s="40" t="str">
        <f t="shared" si="1"/>
        <v/>
      </c>
      <c r="Q8" s="41" t="str">
        <f t="shared" si="2"/>
        <v/>
      </c>
      <c r="R8" s="42" t="str">
        <f>IF(P8="","",VLOOKUP(Q8,Table1[],2,TRUE))</f>
        <v/>
      </c>
      <c r="S8" s="27" t="str">
        <f>IF(AND(N8="",Q8=""),"",IF(OR(N8="-",Q8="-"),"-",IF(AND(N$3&lt;&gt;0,Q$3&lt;&gt;0),VLOOKUP(AVERAGE(N8,Q8),Table1[],2,TRUE),IF(AND(N$3&lt;&gt;0,Q$3=0),O8,R8))))</f>
        <v>B-</v>
      </c>
      <c r="T8" s="27"/>
      <c r="U8" s="84" t="str">
        <f t="shared" si="3"/>
        <v>B-</v>
      </c>
      <c r="V8" s="90"/>
      <c r="W8" s="28">
        <v>8</v>
      </c>
      <c r="X8" s="29"/>
      <c r="Y8" s="29"/>
      <c r="Z8" s="29"/>
      <c r="AA8" s="29"/>
      <c r="AB8" s="29"/>
      <c r="AC8" s="29"/>
      <c r="AD8" s="29"/>
      <c r="AE8" s="29"/>
      <c r="AF8" s="29"/>
      <c r="AG8" s="29"/>
      <c r="AH8" s="29"/>
      <c r="AI8" s="30">
        <f t="shared" si="9"/>
        <v>8</v>
      </c>
      <c r="AJ8" s="31">
        <f t="shared" si="4"/>
        <v>0.66666666666666663</v>
      </c>
      <c r="AK8" s="30" t="str">
        <f>IF(AI8="","",VLOOKUP(AJ8,Table1[],2,TRUE))</f>
        <v>B-</v>
      </c>
      <c r="AL8" s="40" t="str">
        <f t="shared" si="5"/>
        <v/>
      </c>
      <c r="AM8" s="41" t="str">
        <f t="shared" si="6"/>
        <v/>
      </c>
      <c r="AN8" s="42" t="str">
        <f>IF(AL8="","",VLOOKUP(AM8,Table1[],2,TRUE))</f>
        <v/>
      </c>
      <c r="AO8" s="27" t="str">
        <f>IF(AND(AJ8="",AM8=""),"",IF(OR(AJ8="-",AM8="-"),"-",IF(AND(AJ$3&lt;&gt;0,AM$3&lt;&gt;0),VLOOKUP(AVERAGE(AJ8,AM8),Table1[],2,TRUE),IF(AND(AJ$3&lt;&gt;0,AM$3=0),AK8,AN8))))</f>
        <v>B-</v>
      </c>
      <c r="AP8" s="27"/>
      <c r="AQ8" s="84" t="str">
        <f t="shared" si="7"/>
        <v>B-</v>
      </c>
      <c r="AR8" s="85"/>
    </row>
    <row r="9" spans="1:44" ht="15" customHeight="1" x14ac:dyDescent="0.25">
      <c r="A9" s="28" t="s">
        <v>18</v>
      </c>
      <c r="B9" s="29"/>
      <c r="C9" s="29" t="s">
        <v>18</v>
      </c>
      <c r="D9" s="29"/>
      <c r="E9" s="52"/>
      <c r="F9" s="29"/>
      <c r="G9" s="29" t="s">
        <v>18</v>
      </c>
      <c r="H9" s="29"/>
      <c r="I9" s="29" t="s">
        <v>18</v>
      </c>
      <c r="J9" s="29"/>
      <c r="K9" s="29"/>
      <c r="L9" s="29"/>
      <c r="M9" s="30" t="str">
        <f t="shared" si="8"/>
        <v>-</v>
      </c>
      <c r="N9" s="31" t="str">
        <f t="shared" si="0"/>
        <v>-</v>
      </c>
      <c r="O9" s="30" t="str">
        <f>IF(M9="","",VLOOKUP(N9,Table1[],2,TRUE))</f>
        <v>-</v>
      </c>
      <c r="P9" s="40" t="str">
        <f t="shared" si="1"/>
        <v>-</v>
      </c>
      <c r="Q9" s="41" t="str">
        <f t="shared" si="2"/>
        <v>-</v>
      </c>
      <c r="R9" s="42" t="str">
        <f>IF(P9="","",VLOOKUP(Q9,Table1[],2,TRUE))</f>
        <v>-</v>
      </c>
      <c r="S9" s="27" t="str">
        <f>IF(AND(N9="",Q9=""),"",IF(OR(N9="-",Q9="-"),"-",IF(AND(N$3&lt;&gt;0,Q$3&lt;&gt;0),VLOOKUP(AVERAGE(N9,Q9),Table1[],2,TRUE),IF(AND(N$3&lt;&gt;0,Q$3=0),O9,R9))))</f>
        <v>-</v>
      </c>
      <c r="T9" s="27"/>
      <c r="U9" s="84" t="str">
        <f t="shared" si="3"/>
        <v>-</v>
      </c>
      <c r="V9" s="90"/>
      <c r="W9" s="52"/>
      <c r="X9" s="29"/>
      <c r="Y9" s="29"/>
      <c r="Z9" s="29"/>
      <c r="AA9" s="29"/>
      <c r="AB9" s="29"/>
      <c r="AC9" s="29"/>
      <c r="AD9" s="29"/>
      <c r="AE9" s="29"/>
      <c r="AF9" s="29"/>
      <c r="AG9" s="29"/>
      <c r="AH9" s="29"/>
      <c r="AI9" s="30" t="str">
        <f t="shared" si="9"/>
        <v/>
      </c>
      <c r="AJ9" s="31" t="str">
        <f t="shared" si="4"/>
        <v/>
      </c>
      <c r="AK9" s="30" t="str">
        <f>IF(AI9="","",VLOOKUP(AJ9,Table1[],2,TRUE))</f>
        <v/>
      </c>
      <c r="AL9" s="40" t="str">
        <f t="shared" si="5"/>
        <v/>
      </c>
      <c r="AM9" s="41" t="str">
        <f t="shared" si="6"/>
        <v/>
      </c>
      <c r="AN9" s="42" t="str">
        <f>IF(AL9="","",VLOOKUP(AM9,Table1[],2,TRUE))</f>
        <v/>
      </c>
      <c r="AO9" s="27" t="str">
        <f>IF(AND(AJ9="",AM9=""),"",IF(OR(AJ9="-",AM9="-"),"-",IF(AND(AJ$3&lt;&gt;0,AM$3&lt;&gt;0),VLOOKUP(AVERAGE(AJ9,AM9),Table1[],2,TRUE),IF(AND(AJ$3&lt;&gt;0,AM$3=0),AK9,AN9))))</f>
        <v/>
      </c>
      <c r="AP9" s="27"/>
      <c r="AQ9" s="84" t="str">
        <f t="shared" si="7"/>
        <v/>
      </c>
      <c r="AR9" s="85"/>
    </row>
    <row r="10" spans="1:44" ht="15" customHeight="1" x14ac:dyDescent="0.25">
      <c r="A10" s="28" t="s">
        <v>18</v>
      </c>
      <c r="B10" s="29"/>
      <c r="C10" s="29" t="s">
        <v>18</v>
      </c>
      <c r="D10" s="29"/>
      <c r="E10" s="52"/>
      <c r="F10" s="29"/>
      <c r="G10" s="29">
        <v>4.5</v>
      </c>
      <c r="H10" s="29"/>
      <c r="I10" s="29">
        <v>6.5</v>
      </c>
      <c r="J10" s="29"/>
      <c r="K10" s="29"/>
      <c r="L10" s="29"/>
      <c r="M10" s="30" t="str">
        <f t="shared" si="8"/>
        <v>-</v>
      </c>
      <c r="N10" s="31" t="str">
        <f t="shared" si="0"/>
        <v>-</v>
      </c>
      <c r="O10" s="30" t="str">
        <f>IF(M10="","",VLOOKUP(N10,Table1[],2,TRUE))</f>
        <v>-</v>
      </c>
      <c r="P10" s="40">
        <f t="shared" si="1"/>
        <v>11</v>
      </c>
      <c r="Q10" s="41">
        <f t="shared" si="2"/>
        <v>0.7857142857142857</v>
      </c>
      <c r="R10" s="42" t="str">
        <f>IF(P10="","",VLOOKUP(Q10,Table1[],2,TRUE))</f>
        <v>B+</v>
      </c>
      <c r="S10" s="27" t="str">
        <f>IF(AND(N10="",Q10=""),"",IF(OR(N10="-",Q10="-"),"-",IF(AND(N$3&lt;&gt;0,Q$3&lt;&gt;0),VLOOKUP(AVERAGE(N10,Q10),Table1[],2,TRUE),IF(AND(N$3&lt;&gt;0,Q$3=0),O10,R10))))</f>
        <v>-</v>
      </c>
      <c r="T10" s="87" t="s">
        <v>14</v>
      </c>
      <c r="U10" s="84" t="str">
        <f t="shared" si="3"/>
        <v>B+</v>
      </c>
      <c r="V10" s="90"/>
      <c r="W10" s="52"/>
      <c r="X10" s="29"/>
      <c r="Y10" s="29"/>
      <c r="Z10" s="29"/>
      <c r="AA10" s="29"/>
      <c r="AB10" s="29"/>
      <c r="AC10" s="29"/>
      <c r="AD10" s="29"/>
      <c r="AE10" s="29"/>
      <c r="AF10" s="29"/>
      <c r="AG10" s="29"/>
      <c r="AH10" s="29"/>
      <c r="AI10" s="30" t="str">
        <f t="shared" si="9"/>
        <v/>
      </c>
      <c r="AJ10" s="31" t="str">
        <f t="shared" si="4"/>
        <v/>
      </c>
      <c r="AK10" s="30" t="str">
        <f>IF(AI10="","",VLOOKUP(AJ10,Table1[],2,TRUE))</f>
        <v/>
      </c>
      <c r="AL10" s="40" t="str">
        <f t="shared" si="5"/>
        <v/>
      </c>
      <c r="AM10" s="41" t="str">
        <f t="shared" si="6"/>
        <v/>
      </c>
      <c r="AN10" s="42" t="str">
        <f>IF(AL10="","",VLOOKUP(AM10,Table1[],2,TRUE))</f>
        <v/>
      </c>
      <c r="AO10" s="27" t="str">
        <f>IF(AND(AJ10="",AM10=""),"",IF(OR(AJ10="-",AM10="-"),"-",IF(AND(AJ$3&lt;&gt;0,AM$3&lt;&gt;0),VLOOKUP(AVERAGE(AJ10,AM10),Table1[],2,TRUE),IF(AND(AJ$3&lt;&gt;0,AM$3=0),AK10,AN10))))</f>
        <v/>
      </c>
      <c r="AP10" s="27"/>
      <c r="AQ10" s="84" t="str">
        <f t="shared" si="7"/>
        <v/>
      </c>
      <c r="AR10" s="85"/>
    </row>
    <row r="11" spans="1:44" ht="15" customHeight="1" x14ac:dyDescent="0.25">
      <c r="A11" s="28"/>
      <c r="B11" s="29"/>
      <c r="C11" s="29"/>
      <c r="D11" s="29"/>
      <c r="E11" s="29"/>
      <c r="F11" s="29"/>
      <c r="G11" s="29"/>
      <c r="H11" s="29"/>
      <c r="I11" s="29"/>
      <c r="J11" s="29"/>
      <c r="K11" s="29"/>
      <c r="L11" s="29"/>
      <c r="M11" s="30" t="str">
        <f>IF(OR(A11="-",C11="-",E11="-"),"-",IF(AND(ISBLANK(C11),ISBLANK(A11),ISBLANK(E11)),"",A11+C11+E11))</f>
        <v/>
      </c>
      <c r="N11" s="31" t="str">
        <f t="shared" si="0"/>
        <v/>
      </c>
      <c r="O11" s="30" t="str">
        <f>IF(M11="","",VLOOKUP(N11,Table1[],2,TRUE))</f>
        <v/>
      </c>
      <c r="P11" s="40" t="str">
        <f t="shared" si="1"/>
        <v/>
      </c>
      <c r="Q11" s="41" t="str">
        <f t="shared" si="2"/>
        <v/>
      </c>
      <c r="R11" s="42" t="str">
        <f>IF(P11="","",VLOOKUP(Q11,Table1[],2,TRUE))</f>
        <v/>
      </c>
      <c r="S11" s="27" t="str">
        <f>IF(AND(N11="",Q11=""),"",IF(OR(N11="-",Q11="-"),"-",IF(AND(N$3&lt;&gt;0,Q$3&lt;&gt;0),VLOOKUP(AVERAGE(N11,Q11),Table1[],2,TRUE),IF(AND(N$3&lt;&gt;0,Q$3=0),O11,R11))))</f>
        <v/>
      </c>
      <c r="T11" s="27"/>
      <c r="U11" s="84" t="str">
        <f t="shared" si="3"/>
        <v/>
      </c>
      <c r="V11" s="90"/>
      <c r="W11" s="28"/>
      <c r="X11" s="29"/>
      <c r="Y11" s="29"/>
      <c r="Z11" s="29"/>
      <c r="AA11" s="29"/>
      <c r="AB11" s="29"/>
      <c r="AC11" s="29"/>
      <c r="AD11" s="29"/>
      <c r="AE11" s="29"/>
      <c r="AF11" s="29"/>
      <c r="AG11" s="29"/>
      <c r="AH11" s="29"/>
      <c r="AI11" s="30" t="str">
        <f>IF(OR(W11="-",Y11="-",AA11="-"),"-",IF(AND(ISBLANK(Y11),ISBLANK(W11),ISBLANK(AA11)),"",W11+Y11+AA11))</f>
        <v/>
      </c>
      <c r="AJ11" s="31" t="str">
        <f t="shared" si="4"/>
        <v/>
      </c>
      <c r="AK11" s="30" t="str">
        <f>IF(AI11="","",VLOOKUP(AJ11,Table1[],2,TRUE))</f>
        <v/>
      </c>
      <c r="AL11" s="40" t="str">
        <f t="shared" si="5"/>
        <v/>
      </c>
      <c r="AM11" s="41" t="str">
        <f t="shared" si="6"/>
        <v/>
      </c>
      <c r="AN11" s="42" t="str">
        <f>IF(AL11="","",VLOOKUP(AM11,Table1[],2,TRUE))</f>
        <v/>
      </c>
      <c r="AO11" s="27" t="str">
        <f>IF(AND(AJ11="",AM11=""),"",IF(OR(AJ11="-",AM11="-"),"-",IF(AND(AJ$3&lt;&gt;0,AM$3&lt;&gt;0),VLOOKUP(AVERAGE(AJ11,AM11),Table1[],2,TRUE),IF(AND(AJ$3&lt;&gt;0,AM$3=0),AK11,AN11))))</f>
        <v/>
      </c>
      <c r="AP11" s="27"/>
      <c r="AQ11" s="84" t="str">
        <f t="shared" si="7"/>
        <v/>
      </c>
      <c r="AR11" s="85"/>
    </row>
    <row r="12" spans="1:44" ht="15" customHeight="1" x14ac:dyDescent="0.25">
      <c r="A12" s="28"/>
      <c r="B12" s="29"/>
      <c r="C12" s="29"/>
      <c r="D12" s="29"/>
      <c r="E12" s="29"/>
      <c r="F12" s="29"/>
      <c r="G12" s="29"/>
      <c r="H12" s="29"/>
      <c r="I12" s="29"/>
      <c r="J12" s="29"/>
      <c r="K12" s="29"/>
      <c r="L12" s="29"/>
      <c r="M12" s="30" t="str">
        <f>IF(OR(A12="-",C12="-",E12="-"),"-",IF(AND(ISBLANK(C12),ISBLANK(A12),ISBLANK(E12)),"",A12+C12+E12))</f>
        <v/>
      </c>
      <c r="N12" s="31" t="str">
        <f t="shared" si="0"/>
        <v/>
      </c>
      <c r="O12" s="30" t="str">
        <f>IF(M12="","",VLOOKUP(N12,Table1[],2,TRUE))</f>
        <v/>
      </c>
      <c r="P12" s="40" t="str">
        <f t="shared" si="1"/>
        <v/>
      </c>
      <c r="Q12" s="41" t="str">
        <f t="shared" si="2"/>
        <v/>
      </c>
      <c r="R12" s="42" t="str">
        <f>IF(P12="","",VLOOKUP(Q12,Table1[],2,TRUE))</f>
        <v/>
      </c>
      <c r="S12" s="27" t="str">
        <f>IF(AND(N12="",Q12=""),"",IF(OR(N12="-",Q12="-"),"-",IF(AND(N$3&lt;&gt;0,Q$3&lt;&gt;0),VLOOKUP(AVERAGE(N12,Q12),Table1[],2,TRUE),IF(AND(N$3&lt;&gt;0,Q$3=0),O12,R12))))</f>
        <v/>
      </c>
      <c r="T12" s="27"/>
      <c r="U12" s="84" t="str">
        <f t="shared" si="3"/>
        <v/>
      </c>
      <c r="V12" s="90"/>
      <c r="W12" s="28"/>
      <c r="X12" s="29"/>
      <c r="Y12" s="29"/>
      <c r="Z12" s="29"/>
      <c r="AA12" s="29"/>
      <c r="AB12" s="29"/>
      <c r="AC12" s="29"/>
      <c r="AD12" s="29"/>
      <c r="AE12" s="29"/>
      <c r="AF12" s="29"/>
      <c r="AG12" s="29"/>
      <c r="AH12" s="29"/>
      <c r="AI12" s="30" t="str">
        <f>IF(OR(W12="-",Y12="-",AA12="-"),"-",IF(AND(ISBLANK(Y12),ISBLANK(W12),ISBLANK(AA12)),"",W12+Y12+AA12))</f>
        <v/>
      </c>
      <c r="AJ12" s="31" t="str">
        <f t="shared" si="4"/>
        <v/>
      </c>
      <c r="AK12" s="30" t="str">
        <f>IF(AI12="","",VLOOKUP(AJ12,Table1[],2,TRUE))</f>
        <v/>
      </c>
      <c r="AL12" s="40" t="str">
        <f t="shared" si="5"/>
        <v/>
      </c>
      <c r="AM12" s="41" t="str">
        <f t="shared" si="6"/>
        <v/>
      </c>
      <c r="AN12" s="42" t="str">
        <f>IF(AL12="","",VLOOKUP(AM12,Table1[],2,TRUE))</f>
        <v/>
      </c>
      <c r="AO12" s="27" t="str">
        <f>IF(AND(AJ12="",AM12=""),"",IF(OR(AJ12="-",AM12="-"),"-",IF(AND(AJ$3&lt;&gt;0,AM$3&lt;&gt;0),VLOOKUP(AVERAGE(AJ12,AM12),Table1[],2,TRUE),IF(AND(AJ$3&lt;&gt;0,AM$3=0),AK12,AN12))))</f>
        <v/>
      </c>
      <c r="AP12" s="27"/>
      <c r="AQ12" s="84" t="str">
        <f t="shared" si="7"/>
        <v/>
      </c>
      <c r="AR12" s="85"/>
    </row>
    <row r="13" spans="1:44" ht="15" customHeight="1" x14ac:dyDescent="0.25">
      <c r="A13" s="28"/>
      <c r="B13" s="29"/>
      <c r="C13" s="29"/>
      <c r="D13" s="29"/>
      <c r="E13" s="29"/>
      <c r="F13" s="29"/>
      <c r="G13" s="29"/>
      <c r="H13" s="29"/>
      <c r="I13" s="29"/>
      <c r="J13" s="29"/>
      <c r="K13" s="29"/>
      <c r="L13" s="29"/>
      <c r="M13" s="30" t="str">
        <f t="shared" si="8"/>
        <v/>
      </c>
      <c r="N13" s="31" t="str">
        <f t="shared" si="0"/>
        <v/>
      </c>
      <c r="O13" s="30" t="str">
        <f>IF(M13="","",VLOOKUP(N13,Table1[],2,TRUE))</f>
        <v/>
      </c>
      <c r="P13" s="40" t="str">
        <f t="shared" si="1"/>
        <v/>
      </c>
      <c r="Q13" s="41" t="str">
        <f t="shared" si="2"/>
        <v/>
      </c>
      <c r="R13" s="42" t="str">
        <f>IF(P13="","",VLOOKUP(Q13,Table1[],2,TRUE))</f>
        <v/>
      </c>
      <c r="S13" s="27" t="str">
        <f>IF(AND(N13="",Q13=""),"",IF(OR(N13="-",Q13="-"),"-",IF(AND(N$3&lt;&gt;0,Q$3&lt;&gt;0),VLOOKUP(AVERAGE(N13,Q13),Table1[],2,TRUE),IF(AND(N$3&lt;&gt;0,Q$3=0),O13,R13))))</f>
        <v/>
      </c>
      <c r="T13" s="27"/>
      <c r="U13" s="84" t="str">
        <f t="shared" si="3"/>
        <v/>
      </c>
      <c r="V13" s="90"/>
      <c r="W13" s="28"/>
      <c r="X13" s="29"/>
      <c r="Y13" s="29"/>
      <c r="Z13" s="29"/>
      <c r="AA13" s="29"/>
      <c r="AB13" s="29"/>
      <c r="AC13" s="29"/>
      <c r="AD13" s="29"/>
      <c r="AE13" s="29"/>
      <c r="AF13" s="29"/>
      <c r="AG13" s="29"/>
      <c r="AH13" s="29"/>
      <c r="AI13" s="30" t="str">
        <f t="shared" si="9"/>
        <v/>
      </c>
      <c r="AJ13" s="31" t="str">
        <f t="shared" si="4"/>
        <v/>
      </c>
      <c r="AK13" s="30" t="str">
        <f>IF(AI13="","",VLOOKUP(AJ13,Table1[],2,TRUE))</f>
        <v/>
      </c>
      <c r="AL13" s="40" t="str">
        <f t="shared" si="5"/>
        <v/>
      </c>
      <c r="AM13" s="41" t="str">
        <f t="shared" si="6"/>
        <v/>
      </c>
      <c r="AN13" s="42" t="str">
        <f>IF(AL13="","",VLOOKUP(AM13,Table1[],2,TRUE))</f>
        <v/>
      </c>
      <c r="AO13" s="27" t="str">
        <f>IF(AND(AJ13="",AM13=""),"",IF(OR(AJ13="-",AM13="-"),"-",IF(AND(AJ$3&lt;&gt;0,AM$3&lt;&gt;0),VLOOKUP(AVERAGE(AJ13,AM13),Table1[],2,TRUE),IF(AND(AJ$3&lt;&gt;0,AM$3=0),AK13,AN13))))</f>
        <v/>
      </c>
      <c r="AP13" s="27"/>
      <c r="AQ13" s="84" t="str">
        <f t="shared" si="7"/>
        <v/>
      </c>
      <c r="AR13" s="85"/>
    </row>
    <row r="14" spans="1:44" x14ac:dyDescent="0.25">
      <c r="A14" s="28"/>
      <c r="B14" s="29"/>
      <c r="C14" s="29"/>
      <c r="D14" s="29"/>
      <c r="E14" s="29"/>
      <c r="F14" s="29"/>
      <c r="G14" s="29"/>
      <c r="H14" s="29"/>
      <c r="I14" s="29"/>
      <c r="J14" s="29"/>
      <c r="K14" s="29"/>
      <c r="L14" s="29"/>
      <c r="M14" s="30" t="str">
        <f t="shared" si="8"/>
        <v/>
      </c>
      <c r="N14" s="31" t="str">
        <f t="shared" si="0"/>
        <v/>
      </c>
      <c r="O14" s="30" t="str">
        <f>IF(M14="","",VLOOKUP(N14,Table1[],2,TRUE))</f>
        <v/>
      </c>
      <c r="P14" s="40" t="str">
        <f t="shared" si="1"/>
        <v/>
      </c>
      <c r="Q14" s="41" t="str">
        <f t="shared" si="2"/>
        <v/>
      </c>
      <c r="R14" s="42" t="str">
        <f>IF(P14="","",VLOOKUP(Q14,Table1[],2,TRUE))</f>
        <v/>
      </c>
      <c r="S14" s="27" t="str">
        <f>IF(AND(N14="",Q14=""),"",IF(OR(N14="-",Q14="-"),"-",IF(AND(N$3&lt;&gt;0,Q$3&lt;&gt;0),VLOOKUP(AVERAGE(N14,Q14),Table1[],2,TRUE),IF(AND(N$3&lt;&gt;0,Q$3=0),O14,R14))))</f>
        <v/>
      </c>
      <c r="T14" s="27"/>
      <c r="U14" s="84" t="str">
        <f t="shared" si="3"/>
        <v/>
      </c>
      <c r="V14" s="90"/>
      <c r="W14" s="28"/>
      <c r="X14" s="29"/>
      <c r="Y14" s="29"/>
      <c r="Z14" s="29"/>
      <c r="AA14" s="29"/>
      <c r="AB14" s="29"/>
      <c r="AC14" s="29"/>
      <c r="AD14" s="29"/>
      <c r="AE14" s="29"/>
      <c r="AF14" s="29"/>
      <c r="AG14" s="29"/>
      <c r="AH14" s="29"/>
      <c r="AI14" s="30" t="str">
        <f t="shared" si="9"/>
        <v/>
      </c>
      <c r="AJ14" s="31" t="str">
        <f t="shared" si="4"/>
        <v/>
      </c>
      <c r="AK14" s="30" t="str">
        <f>IF(AI14="","",VLOOKUP(AJ14,Table1[],2,TRUE))</f>
        <v/>
      </c>
      <c r="AL14" s="40" t="str">
        <f t="shared" si="5"/>
        <v/>
      </c>
      <c r="AM14" s="41" t="str">
        <f t="shared" si="6"/>
        <v/>
      </c>
      <c r="AN14" s="42" t="str">
        <f>IF(AL14="","",VLOOKUP(AM14,Table1[],2,TRUE))</f>
        <v/>
      </c>
      <c r="AO14" s="27" t="str">
        <f>IF(AND(AJ14="",AM14=""),"",IF(OR(AJ14="-",AM14="-"),"-",IF(AND(AJ$3&lt;&gt;0,AM$3&lt;&gt;0),VLOOKUP(AVERAGE(AJ14,AM14),Table1[],2,TRUE),IF(AND(AJ$3&lt;&gt;0,AM$3=0),AK14,AN14))))</f>
        <v/>
      </c>
      <c r="AP14" s="27"/>
      <c r="AQ14" s="84" t="str">
        <f t="shared" si="7"/>
        <v/>
      </c>
      <c r="AR14" s="85"/>
    </row>
    <row r="15" spans="1:44" x14ac:dyDescent="0.25">
      <c r="A15" s="28"/>
      <c r="B15" s="29"/>
      <c r="C15" s="29"/>
      <c r="D15" s="29"/>
      <c r="E15" s="29"/>
      <c r="F15" s="29"/>
      <c r="G15" s="29"/>
      <c r="H15" s="29"/>
      <c r="I15" s="29"/>
      <c r="J15" s="29"/>
      <c r="K15" s="29"/>
      <c r="L15" s="29"/>
      <c r="M15" s="30" t="str">
        <f t="shared" si="8"/>
        <v/>
      </c>
      <c r="N15" s="31" t="str">
        <f t="shared" si="0"/>
        <v/>
      </c>
      <c r="O15" s="30" t="str">
        <f>IF(M15="","",VLOOKUP(N15,Table1[],2,TRUE))</f>
        <v/>
      </c>
      <c r="P15" s="40" t="str">
        <f t="shared" si="1"/>
        <v/>
      </c>
      <c r="Q15" s="41" t="str">
        <f t="shared" si="2"/>
        <v/>
      </c>
      <c r="R15" s="42" t="str">
        <f>IF(P15="","",VLOOKUP(Q15,Table1[],2,TRUE))</f>
        <v/>
      </c>
      <c r="S15" s="27" t="str">
        <f>IF(AND(N15="",Q15=""),"",IF(OR(N15="-",Q15="-"),"-",IF(AND(N$3&lt;&gt;0,Q$3&lt;&gt;0),VLOOKUP(AVERAGE(N15,Q15),Table1[],2,TRUE),IF(AND(N$3&lt;&gt;0,Q$3=0),O15,R15))))</f>
        <v/>
      </c>
      <c r="T15" s="27"/>
      <c r="U15" s="84" t="str">
        <f t="shared" si="3"/>
        <v/>
      </c>
      <c r="V15" s="90"/>
      <c r="W15" s="28"/>
      <c r="X15" s="29"/>
      <c r="Y15" s="29"/>
      <c r="Z15" s="29"/>
      <c r="AA15" s="29"/>
      <c r="AB15" s="29"/>
      <c r="AC15" s="29"/>
      <c r="AD15" s="29"/>
      <c r="AE15" s="29"/>
      <c r="AF15" s="29"/>
      <c r="AG15" s="29"/>
      <c r="AH15" s="29"/>
      <c r="AI15" s="30" t="str">
        <f t="shared" si="9"/>
        <v/>
      </c>
      <c r="AJ15" s="31" t="str">
        <f t="shared" si="4"/>
        <v/>
      </c>
      <c r="AK15" s="30" t="str">
        <f>IF(AI15="","",VLOOKUP(AJ15,Table1[],2,TRUE))</f>
        <v/>
      </c>
      <c r="AL15" s="40" t="str">
        <f t="shared" si="5"/>
        <v/>
      </c>
      <c r="AM15" s="41" t="str">
        <f t="shared" si="6"/>
        <v/>
      </c>
      <c r="AN15" s="42" t="str">
        <f>IF(AL15="","",VLOOKUP(AM15,Table1[],2,TRUE))</f>
        <v/>
      </c>
      <c r="AO15" s="27" t="str">
        <f>IF(AND(AJ15="",AM15=""),"",IF(OR(AJ15="-",AM15="-"),"-",IF(AND(AJ$3&lt;&gt;0,AM$3&lt;&gt;0),VLOOKUP(AVERAGE(AJ15,AM15),Table1[],2,TRUE),IF(AND(AJ$3&lt;&gt;0,AM$3=0),AK15,AN15))))</f>
        <v/>
      </c>
      <c r="AP15" s="27"/>
      <c r="AQ15" s="84" t="str">
        <f t="shared" si="7"/>
        <v/>
      </c>
      <c r="AR15" s="85"/>
    </row>
    <row r="16" spans="1:44" x14ac:dyDescent="0.25">
      <c r="A16" s="28"/>
      <c r="B16" s="29"/>
      <c r="C16" s="29"/>
      <c r="D16" s="29"/>
      <c r="E16" s="29"/>
      <c r="F16" s="29"/>
      <c r="G16" s="29"/>
      <c r="H16" s="29"/>
      <c r="I16" s="29"/>
      <c r="J16" s="29"/>
      <c r="K16" s="29"/>
      <c r="L16" s="29"/>
      <c r="M16" s="30" t="str">
        <f t="shared" si="8"/>
        <v/>
      </c>
      <c r="N16" s="31" t="str">
        <f t="shared" si="0"/>
        <v/>
      </c>
      <c r="O16" s="30" t="str">
        <f>IF(M16="","",VLOOKUP(N16,Table1[],2,TRUE))</f>
        <v/>
      </c>
      <c r="P16" s="40" t="str">
        <f t="shared" si="1"/>
        <v/>
      </c>
      <c r="Q16" s="41" t="str">
        <f t="shared" si="2"/>
        <v/>
      </c>
      <c r="R16" s="42" t="str">
        <f>IF(P16="","",VLOOKUP(Q16,Table1[],2,TRUE))</f>
        <v/>
      </c>
      <c r="S16" s="27" t="str">
        <f>IF(AND(N16="",Q16=""),"",IF(OR(N16="-",Q16="-"),"-",IF(AND(N$3&lt;&gt;0,Q$3&lt;&gt;0),VLOOKUP(AVERAGE(N16,Q16),Table1[],2,TRUE),IF(AND(N$3&lt;&gt;0,Q$3=0),O16,R16))))</f>
        <v/>
      </c>
      <c r="T16" s="27"/>
      <c r="U16" s="84" t="str">
        <f t="shared" si="3"/>
        <v/>
      </c>
      <c r="V16" s="90"/>
      <c r="W16" s="28"/>
      <c r="X16" s="29"/>
      <c r="Y16" s="29"/>
      <c r="Z16" s="29"/>
      <c r="AA16" s="29"/>
      <c r="AB16" s="29"/>
      <c r="AC16" s="29"/>
      <c r="AD16" s="29"/>
      <c r="AE16" s="29"/>
      <c r="AF16" s="29"/>
      <c r="AG16" s="29"/>
      <c r="AH16" s="29"/>
      <c r="AI16" s="30" t="str">
        <f t="shared" si="9"/>
        <v/>
      </c>
      <c r="AJ16" s="31" t="str">
        <f t="shared" si="4"/>
        <v/>
      </c>
      <c r="AK16" s="30" t="str">
        <f>IF(AI16="","",VLOOKUP(AJ16,Table1[],2,TRUE))</f>
        <v/>
      </c>
      <c r="AL16" s="40" t="str">
        <f t="shared" si="5"/>
        <v/>
      </c>
      <c r="AM16" s="41" t="str">
        <f t="shared" si="6"/>
        <v/>
      </c>
      <c r="AN16" s="42" t="str">
        <f>IF(AL16="","",VLOOKUP(AM16,Table1[],2,TRUE))</f>
        <v/>
      </c>
      <c r="AO16" s="27" t="str">
        <f>IF(AND(AJ16="",AM16=""),"",IF(OR(AJ16="-",AM16="-"),"-",IF(AND(AJ$3&lt;&gt;0,AM$3&lt;&gt;0),VLOOKUP(AVERAGE(AJ16,AM16),Table1[],2,TRUE),IF(AND(AJ$3&lt;&gt;0,AM$3=0),AK16,AN16))))</f>
        <v/>
      </c>
      <c r="AP16" s="27"/>
      <c r="AQ16" s="84" t="str">
        <f t="shared" si="7"/>
        <v/>
      </c>
      <c r="AR16" s="85"/>
    </row>
    <row r="17" spans="1:44" x14ac:dyDescent="0.25">
      <c r="A17" s="28"/>
      <c r="B17" s="29"/>
      <c r="C17" s="29"/>
      <c r="D17" s="29"/>
      <c r="E17" s="29"/>
      <c r="F17" s="29"/>
      <c r="G17" s="29"/>
      <c r="H17" s="29"/>
      <c r="I17" s="29"/>
      <c r="J17" s="29"/>
      <c r="K17" s="29"/>
      <c r="L17" s="29"/>
      <c r="M17" s="30" t="str">
        <f t="shared" si="8"/>
        <v/>
      </c>
      <c r="N17" s="31" t="str">
        <f t="shared" si="0"/>
        <v/>
      </c>
      <c r="O17" s="30" t="str">
        <f>IF(M17="","",VLOOKUP(N17,Table1[],2,TRUE))</f>
        <v/>
      </c>
      <c r="P17" s="40" t="str">
        <f t="shared" si="1"/>
        <v/>
      </c>
      <c r="Q17" s="41" t="str">
        <f t="shared" si="2"/>
        <v/>
      </c>
      <c r="R17" s="42" t="str">
        <f>IF(P17="","",VLOOKUP(Q17,Table1[],2,TRUE))</f>
        <v/>
      </c>
      <c r="S17" s="27" t="str">
        <f>IF(AND(N17="",Q17=""),"",IF(OR(N17="-",Q17="-"),"-",IF(AND(N$3&lt;&gt;0,Q$3&lt;&gt;0),VLOOKUP(AVERAGE(N17,Q17),Table1[],2,TRUE),IF(AND(N$3&lt;&gt;0,Q$3=0),O17,R17))))</f>
        <v/>
      </c>
      <c r="T17" s="27"/>
      <c r="U17" s="84" t="str">
        <f t="shared" si="3"/>
        <v/>
      </c>
      <c r="V17" s="90"/>
      <c r="W17" s="28"/>
      <c r="X17" s="29"/>
      <c r="Y17" s="29"/>
      <c r="Z17" s="29"/>
      <c r="AA17" s="29"/>
      <c r="AB17" s="29"/>
      <c r="AC17" s="29"/>
      <c r="AD17" s="29"/>
      <c r="AE17" s="29"/>
      <c r="AF17" s="29"/>
      <c r="AG17" s="29"/>
      <c r="AH17" s="29"/>
      <c r="AI17" s="30" t="str">
        <f t="shared" si="9"/>
        <v/>
      </c>
      <c r="AJ17" s="31" t="str">
        <f t="shared" si="4"/>
        <v/>
      </c>
      <c r="AK17" s="30" t="str">
        <f>IF(AI17="","",VLOOKUP(AJ17,Table1[],2,TRUE))</f>
        <v/>
      </c>
      <c r="AL17" s="40" t="str">
        <f t="shared" si="5"/>
        <v/>
      </c>
      <c r="AM17" s="41" t="str">
        <f t="shared" si="6"/>
        <v/>
      </c>
      <c r="AN17" s="42" t="str">
        <f>IF(AL17="","",VLOOKUP(AM17,Table1[],2,TRUE))</f>
        <v/>
      </c>
      <c r="AO17" s="27" t="str">
        <f>IF(AND(AJ17="",AM17=""),"",IF(OR(AJ17="-",AM17="-"),"-",IF(AND(AJ$3&lt;&gt;0,AM$3&lt;&gt;0),VLOOKUP(AVERAGE(AJ17,AM17),Table1[],2,TRUE),IF(AND(AJ$3&lt;&gt;0,AM$3=0),AK17,AN17))))</f>
        <v/>
      </c>
      <c r="AP17" s="27"/>
      <c r="AQ17" s="84" t="str">
        <f t="shared" si="7"/>
        <v/>
      </c>
      <c r="AR17" s="85"/>
    </row>
    <row r="18" spans="1:44" x14ac:dyDescent="0.25">
      <c r="A18" s="28"/>
      <c r="B18" s="29"/>
      <c r="C18" s="29"/>
      <c r="D18" s="29"/>
      <c r="E18" s="29"/>
      <c r="F18" s="29"/>
      <c r="G18" s="29"/>
      <c r="H18" s="29"/>
      <c r="I18" s="29"/>
      <c r="J18" s="29"/>
      <c r="K18" s="29"/>
      <c r="L18" s="29"/>
      <c r="M18" s="30" t="str">
        <f>IF(OR(A18="-",C18="-",E18="-"),"-",IF(AND(ISBLANK(C18),ISBLANK(A18),ISBLANK(E18)),"",A18+C18+E18))</f>
        <v/>
      </c>
      <c r="N18" s="31" t="str">
        <f t="shared" si="0"/>
        <v/>
      </c>
      <c r="O18" s="30" t="str">
        <f>IF(M18="","",VLOOKUP(N18,Table1[],2,TRUE))</f>
        <v/>
      </c>
      <c r="P18" s="40" t="str">
        <f t="shared" si="1"/>
        <v/>
      </c>
      <c r="Q18" s="41" t="str">
        <f t="shared" si="2"/>
        <v/>
      </c>
      <c r="R18" s="42" t="str">
        <f>IF(P18="","",VLOOKUP(Q18,Table1[],2,TRUE))</f>
        <v/>
      </c>
      <c r="S18" s="27" t="str">
        <f>IF(AND(N18="",Q18=""),"",IF(OR(N18="-",Q18="-"),"-",IF(AND(N$3&lt;&gt;0,Q$3&lt;&gt;0),VLOOKUP(AVERAGE(N18,Q18),Table1[],2,TRUE),IF(AND(N$3&lt;&gt;0,Q$3=0),O18,R18))))</f>
        <v/>
      </c>
      <c r="T18" s="27"/>
      <c r="U18" s="84" t="str">
        <f t="shared" si="3"/>
        <v/>
      </c>
      <c r="V18" s="90"/>
      <c r="W18" s="28"/>
      <c r="X18" s="29"/>
      <c r="Y18" s="29"/>
      <c r="Z18" s="29"/>
      <c r="AA18" s="29"/>
      <c r="AB18" s="29"/>
      <c r="AC18" s="29"/>
      <c r="AD18" s="29"/>
      <c r="AE18" s="29"/>
      <c r="AF18" s="29"/>
      <c r="AG18" s="29"/>
      <c r="AH18" s="29"/>
      <c r="AI18" s="30" t="str">
        <f>IF(OR(W18="-",Y18="-",AA18="-"),"-",IF(AND(ISBLANK(Y18),ISBLANK(W18),ISBLANK(AA18)),"",W18+Y18+AA18))</f>
        <v/>
      </c>
      <c r="AJ18" s="31" t="str">
        <f t="shared" si="4"/>
        <v/>
      </c>
      <c r="AK18" s="30" t="str">
        <f>IF(AI18="","",VLOOKUP(AJ18,Table1[],2,TRUE))</f>
        <v/>
      </c>
      <c r="AL18" s="40" t="str">
        <f t="shared" si="5"/>
        <v/>
      </c>
      <c r="AM18" s="41" t="str">
        <f t="shared" si="6"/>
        <v/>
      </c>
      <c r="AN18" s="42" t="str">
        <f>IF(AL18="","",VLOOKUP(AM18,Table1[],2,TRUE))</f>
        <v/>
      </c>
      <c r="AO18" s="27" t="str">
        <f>IF(AND(AJ18="",AM18=""),"",IF(OR(AJ18="-",AM18="-"),"-",IF(AND(AJ$3&lt;&gt;0,AM$3&lt;&gt;0),VLOOKUP(AVERAGE(AJ18,AM18),Table1[],2,TRUE),IF(AND(AJ$3&lt;&gt;0,AM$3=0),AK18,AN18))))</f>
        <v/>
      </c>
      <c r="AP18" s="27"/>
      <c r="AQ18" s="84" t="str">
        <f t="shared" si="7"/>
        <v/>
      </c>
      <c r="AR18" s="85"/>
    </row>
    <row r="19" spans="1:44" x14ac:dyDescent="0.25">
      <c r="A19" s="28"/>
      <c r="B19" s="29"/>
      <c r="C19" s="29"/>
      <c r="D19" s="29"/>
      <c r="E19" s="29"/>
      <c r="F19" s="29"/>
      <c r="G19" s="29"/>
      <c r="H19" s="29"/>
      <c r="I19" s="29"/>
      <c r="J19" s="29"/>
      <c r="K19" s="29"/>
      <c r="L19" s="29"/>
      <c r="M19" s="30" t="str">
        <f t="shared" si="8"/>
        <v/>
      </c>
      <c r="N19" s="31" t="str">
        <f t="shared" si="0"/>
        <v/>
      </c>
      <c r="O19" s="30" t="str">
        <f>IF(M19="","",VLOOKUP(N19,Table1[],2,TRUE))</f>
        <v/>
      </c>
      <c r="P19" s="40" t="str">
        <f t="shared" si="1"/>
        <v/>
      </c>
      <c r="Q19" s="41" t="str">
        <f t="shared" si="2"/>
        <v/>
      </c>
      <c r="R19" s="42" t="str">
        <f>IF(P19="","",VLOOKUP(Q19,Table1[],2,TRUE))</f>
        <v/>
      </c>
      <c r="S19" s="27" t="str">
        <f>IF(AND(N19="",Q19=""),"",IF(OR(N19="-",Q19="-"),"-",IF(AND(N$3&lt;&gt;0,Q$3&lt;&gt;0),VLOOKUP(AVERAGE(N19,Q19),Table1[],2,TRUE),IF(AND(N$3&lt;&gt;0,Q$3=0),O19,R19))))</f>
        <v/>
      </c>
      <c r="T19" s="27"/>
      <c r="U19" s="84" t="str">
        <f t="shared" si="3"/>
        <v/>
      </c>
      <c r="V19" s="90"/>
      <c r="W19" s="28"/>
      <c r="X19" s="29"/>
      <c r="Y19" s="29"/>
      <c r="Z19" s="29"/>
      <c r="AA19" s="29"/>
      <c r="AB19" s="29"/>
      <c r="AC19" s="29"/>
      <c r="AD19" s="29"/>
      <c r="AE19" s="29"/>
      <c r="AF19" s="29"/>
      <c r="AG19" s="29"/>
      <c r="AH19" s="29"/>
      <c r="AI19" s="30" t="str">
        <f t="shared" si="9"/>
        <v/>
      </c>
      <c r="AJ19" s="31" t="str">
        <f t="shared" si="4"/>
        <v/>
      </c>
      <c r="AK19" s="30" t="str">
        <f>IF(AI19="","",VLOOKUP(AJ19,Table1[],2,TRUE))</f>
        <v/>
      </c>
      <c r="AL19" s="40" t="str">
        <f t="shared" si="5"/>
        <v/>
      </c>
      <c r="AM19" s="41" t="str">
        <f t="shared" si="6"/>
        <v/>
      </c>
      <c r="AN19" s="42" t="str">
        <f>IF(AL19="","",VLOOKUP(AM19,Table1[],2,TRUE))</f>
        <v/>
      </c>
      <c r="AO19" s="27" t="str">
        <f>IF(AND(AJ19="",AM19=""),"",IF(OR(AJ19="-",AM19="-"),"-",IF(AND(AJ$3&lt;&gt;0,AM$3&lt;&gt;0),VLOOKUP(AVERAGE(AJ19,AM19),Table1[],2,TRUE),IF(AND(AJ$3&lt;&gt;0,AM$3=0),AK19,AN19))))</f>
        <v/>
      </c>
      <c r="AP19" s="27"/>
      <c r="AQ19" s="84" t="str">
        <f t="shared" si="7"/>
        <v/>
      </c>
      <c r="AR19" s="85"/>
    </row>
    <row r="20" spans="1:44" x14ac:dyDescent="0.25">
      <c r="A20" s="28"/>
      <c r="B20" s="29"/>
      <c r="C20" s="29"/>
      <c r="D20" s="29"/>
      <c r="E20" s="29"/>
      <c r="F20" s="29"/>
      <c r="G20" s="29"/>
      <c r="H20" s="29"/>
      <c r="I20" s="29"/>
      <c r="J20" s="29"/>
      <c r="K20" s="29"/>
      <c r="L20" s="29"/>
      <c r="M20" s="30" t="str">
        <f t="shared" si="8"/>
        <v/>
      </c>
      <c r="N20" s="31" t="str">
        <f t="shared" si="0"/>
        <v/>
      </c>
      <c r="O20" s="30" t="str">
        <f>IF(M20="","",VLOOKUP(N20,Table1[],2,TRUE))</f>
        <v/>
      </c>
      <c r="P20" s="40" t="str">
        <f t="shared" si="1"/>
        <v/>
      </c>
      <c r="Q20" s="41" t="str">
        <f t="shared" si="2"/>
        <v/>
      </c>
      <c r="R20" s="42" t="str">
        <f>IF(P20="","",VLOOKUP(Q20,Table1[],2,TRUE))</f>
        <v/>
      </c>
      <c r="S20" s="27" t="str">
        <f>IF(AND(N20="",Q20=""),"",IF(OR(N20="-",Q20="-"),"-",IF(AND(N$3&lt;&gt;0,Q$3&lt;&gt;0),VLOOKUP(AVERAGE(N20,Q20),Table1[],2,TRUE),IF(AND(N$3&lt;&gt;0,Q$3=0),O20,R20))))</f>
        <v/>
      </c>
      <c r="T20" s="27"/>
      <c r="U20" s="84" t="str">
        <f t="shared" si="3"/>
        <v/>
      </c>
      <c r="V20" s="90"/>
      <c r="W20" s="28"/>
      <c r="X20" s="29"/>
      <c r="Y20" s="29"/>
      <c r="Z20" s="29"/>
      <c r="AA20" s="29"/>
      <c r="AB20" s="29"/>
      <c r="AC20" s="29"/>
      <c r="AD20" s="29"/>
      <c r="AE20" s="29"/>
      <c r="AF20" s="29"/>
      <c r="AG20" s="29"/>
      <c r="AH20" s="29"/>
      <c r="AI20" s="30" t="str">
        <f t="shared" si="9"/>
        <v/>
      </c>
      <c r="AJ20" s="31" t="str">
        <f t="shared" si="4"/>
        <v/>
      </c>
      <c r="AK20" s="30" t="str">
        <f>IF(AI20="","",VLOOKUP(AJ20,Table1[],2,TRUE))</f>
        <v/>
      </c>
      <c r="AL20" s="40" t="str">
        <f t="shared" si="5"/>
        <v/>
      </c>
      <c r="AM20" s="41" t="str">
        <f t="shared" si="6"/>
        <v/>
      </c>
      <c r="AN20" s="42" t="str">
        <f>IF(AL20="","",VLOOKUP(AM20,Table1[],2,TRUE))</f>
        <v/>
      </c>
      <c r="AO20" s="27" t="str">
        <f>IF(AND(AJ20="",AM20=""),"",IF(OR(AJ20="-",AM20="-"),"-",IF(AND(AJ$3&lt;&gt;0,AM$3&lt;&gt;0),VLOOKUP(AVERAGE(AJ20,AM20),Table1[],2,TRUE),IF(AND(AJ$3&lt;&gt;0,AM$3=0),AK20,AN20))))</f>
        <v/>
      </c>
      <c r="AP20" s="27"/>
      <c r="AQ20" s="84" t="str">
        <f t="shared" si="7"/>
        <v/>
      </c>
      <c r="AR20" s="85"/>
    </row>
    <row r="21" spans="1:44" x14ac:dyDescent="0.25">
      <c r="A21" s="28"/>
      <c r="B21" s="29"/>
      <c r="C21" s="29"/>
      <c r="D21" s="29"/>
      <c r="E21" s="29"/>
      <c r="F21" s="29"/>
      <c r="G21" s="29"/>
      <c r="H21" s="29"/>
      <c r="I21" s="29"/>
      <c r="J21" s="29"/>
      <c r="K21" s="29"/>
      <c r="L21" s="29"/>
      <c r="M21" s="30" t="str">
        <f t="shared" si="8"/>
        <v/>
      </c>
      <c r="N21" s="31" t="str">
        <f t="shared" si="0"/>
        <v/>
      </c>
      <c r="O21" s="30" t="str">
        <f>IF(M21="","",VLOOKUP(N21,Table1[],2,TRUE))</f>
        <v/>
      </c>
      <c r="P21" s="40" t="str">
        <f t="shared" si="1"/>
        <v/>
      </c>
      <c r="Q21" s="41" t="str">
        <f t="shared" si="2"/>
        <v/>
      </c>
      <c r="R21" s="42" t="str">
        <f>IF(P21="","",VLOOKUP(Q21,Table1[],2,TRUE))</f>
        <v/>
      </c>
      <c r="S21" s="27" t="str">
        <f>IF(AND(N21="",Q21=""),"",IF(OR(N21="-",Q21="-"),"-",IF(AND(N$3&lt;&gt;0,Q$3&lt;&gt;0),VLOOKUP(AVERAGE(N21,Q21),Table1[],2,TRUE),IF(AND(N$3&lt;&gt;0,Q$3=0),O21,R21))))</f>
        <v/>
      </c>
      <c r="T21" s="27"/>
      <c r="U21" s="84" t="str">
        <f t="shared" si="3"/>
        <v/>
      </c>
      <c r="V21" s="90"/>
      <c r="W21" s="28"/>
      <c r="X21" s="29"/>
      <c r="Y21" s="29"/>
      <c r="Z21" s="29"/>
      <c r="AA21" s="29"/>
      <c r="AB21" s="29"/>
      <c r="AC21" s="29"/>
      <c r="AD21" s="29"/>
      <c r="AE21" s="29"/>
      <c r="AF21" s="29"/>
      <c r="AG21" s="29"/>
      <c r="AH21" s="29"/>
      <c r="AI21" s="30" t="str">
        <f t="shared" si="9"/>
        <v/>
      </c>
      <c r="AJ21" s="31" t="str">
        <f t="shared" si="4"/>
        <v/>
      </c>
      <c r="AK21" s="30" t="str">
        <f>IF(AI21="","",VLOOKUP(AJ21,Table1[],2,TRUE))</f>
        <v/>
      </c>
      <c r="AL21" s="40" t="str">
        <f t="shared" si="5"/>
        <v/>
      </c>
      <c r="AM21" s="41" t="str">
        <f t="shared" si="6"/>
        <v/>
      </c>
      <c r="AN21" s="42" t="str">
        <f>IF(AL21="","",VLOOKUP(AM21,Table1[],2,TRUE))</f>
        <v/>
      </c>
      <c r="AO21" s="27" t="str">
        <f>IF(AND(AJ21="",AM21=""),"",IF(OR(AJ21="-",AM21="-"),"-",IF(AND(AJ$3&lt;&gt;0,AM$3&lt;&gt;0),VLOOKUP(AVERAGE(AJ21,AM21),Table1[],2,TRUE),IF(AND(AJ$3&lt;&gt;0,AM$3=0),AK21,AN21))))</f>
        <v/>
      </c>
      <c r="AP21" s="27"/>
      <c r="AQ21" s="84" t="str">
        <f t="shared" si="7"/>
        <v/>
      </c>
      <c r="AR21" s="85"/>
    </row>
    <row r="22" spans="1:44" x14ac:dyDescent="0.25">
      <c r="A22" s="28"/>
      <c r="B22" s="29"/>
      <c r="C22" s="29"/>
      <c r="D22" s="29"/>
      <c r="E22" s="29"/>
      <c r="F22" s="29"/>
      <c r="G22" s="29"/>
      <c r="H22" s="29"/>
      <c r="I22" s="29"/>
      <c r="J22" s="29"/>
      <c r="K22" s="29"/>
      <c r="L22" s="29"/>
      <c r="M22" s="30" t="str">
        <f t="shared" si="8"/>
        <v/>
      </c>
      <c r="N22" s="31" t="str">
        <f t="shared" si="0"/>
        <v/>
      </c>
      <c r="O22" s="30" t="str">
        <f>IF(M22="","",VLOOKUP(N22,Table1[],2,TRUE))</f>
        <v/>
      </c>
      <c r="P22" s="40" t="str">
        <f>IF(OR(G22="-",I22="-",K22="-"),"-",IF(AND(ISBLANK(I22),ISBLANK(G22),ISBLANK(K22)),"",G22+I22+K22))</f>
        <v/>
      </c>
      <c r="Q22" s="41" t="str">
        <f t="shared" si="2"/>
        <v/>
      </c>
      <c r="R22" s="42" t="str">
        <f>IF(P22="","",VLOOKUP(Q22,Table1[],2,TRUE))</f>
        <v/>
      </c>
      <c r="S22" s="27" t="str">
        <f>IF(AND(N22="",Q22=""),"",IF(OR(N22="-",Q22="-"),"-",IF(AND(N$3&lt;&gt;0,Q$3&lt;&gt;0),VLOOKUP(AVERAGE(N22,Q22),Table1[],2,TRUE),IF(AND(N$3&lt;&gt;0,Q$3=0),O22,R22))))</f>
        <v/>
      </c>
      <c r="T22" s="27"/>
      <c r="U22" s="84" t="str">
        <f t="shared" si="3"/>
        <v/>
      </c>
      <c r="V22" s="90"/>
      <c r="W22" s="28"/>
      <c r="X22" s="29"/>
      <c r="Y22" s="29"/>
      <c r="Z22" s="29"/>
      <c r="AA22" s="29"/>
      <c r="AB22" s="29"/>
      <c r="AC22" s="29"/>
      <c r="AD22" s="29"/>
      <c r="AE22" s="29"/>
      <c r="AF22" s="29"/>
      <c r="AG22" s="29"/>
      <c r="AH22" s="29"/>
      <c r="AI22" s="30" t="str">
        <f t="shared" si="9"/>
        <v/>
      </c>
      <c r="AJ22" s="31" t="str">
        <f t="shared" si="4"/>
        <v/>
      </c>
      <c r="AK22" s="30" t="str">
        <f>IF(AI22="","",VLOOKUP(AJ22,Table1[],2,TRUE))</f>
        <v/>
      </c>
      <c r="AL22" s="40" t="str">
        <f>IF(OR(AC22="-",AE22="-",AG22="-"),"-",IF(AND(ISBLANK(AE22),ISBLANK(AC22),ISBLANK(AG22)),"",AC22+AE22+AG22))</f>
        <v/>
      </c>
      <c r="AM22" s="41" t="str">
        <f t="shared" si="6"/>
        <v/>
      </c>
      <c r="AN22" s="42" t="str">
        <f>IF(AL22="","",VLOOKUP(AM22,Table1[],2,TRUE))</f>
        <v/>
      </c>
      <c r="AO22" s="27" t="str">
        <f>IF(AND(AJ22="",AM22=""),"",IF(OR(AJ22="-",AM22="-"),"-",IF(AND(AJ$3&lt;&gt;0,AM$3&lt;&gt;0),VLOOKUP(AVERAGE(AJ22,AM22),Table1[],2,TRUE),IF(AND(AJ$3&lt;&gt;0,AM$3=0),AK22,AN22))))</f>
        <v/>
      </c>
      <c r="AP22" s="27"/>
      <c r="AQ22" s="84" t="str">
        <f t="shared" si="7"/>
        <v/>
      </c>
      <c r="AR22" s="85"/>
    </row>
    <row r="23" spans="1:44" x14ac:dyDescent="0.25">
      <c r="A23" s="28"/>
      <c r="B23" s="29"/>
      <c r="C23" s="29"/>
      <c r="D23" s="29"/>
      <c r="E23" s="29"/>
      <c r="F23" s="29"/>
      <c r="G23" s="29"/>
      <c r="H23" s="29"/>
      <c r="I23" s="29"/>
      <c r="J23" s="29"/>
      <c r="K23" s="29"/>
      <c r="L23" s="29"/>
      <c r="M23" s="30" t="str">
        <f t="shared" si="8"/>
        <v/>
      </c>
      <c r="N23" s="31" t="str">
        <f t="shared" si="0"/>
        <v/>
      </c>
      <c r="O23" s="30" t="str">
        <f>IF(M23="","",VLOOKUP(N23,Table1[],2,TRUE))</f>
        <v/>
      </c>
      <c r="P23" s="40" t="str">
        <f t="shared" si="1"/>
        <v/>
      </c>
      <c r="Q23" s="41" t="str">
        <f t="shared" si="2"/>
        <v/>
      </c>
      <c r="R23" s="42" t="str">
        <f>IF(P23="","",VLOOKUP(Q23,Table1[],2,TRUE))</f>
        <v/>
      </c>
      <c r="S23" s="27" t="str">
        <f>IF(AND(N23="",Q23=""),"",IF(OR(N23="-",Q23="-"),"-",IF(AND(N$3&lt;&gt;0,Q$3&lt;&gt;0),VLOOKUP(AVERAGE(N23,Q23),Table1[],2,TRUE),IF(AND(N$3&lt;&gt;0,Q$3=0),O23,R23))))</f>
        <v/>
      </c>
      <c r="T23" s="27"/>
      <c r="U23" s="84" t="str">
        <f t="shared" si="3"/>
        <v/>
      </c>
      <c r="V23" s="90"/>
      <c r="W23" s="28"/>
      <c r="X23" s="29"/>
      <c r="Y23" s="29"/>
      <c r="Z23" s="29"/>
      <c r="AA23" s="29"/>
      <c r="AB23" s="29"/>
      <c r="AC23" s="29"/>
      <c r="AD23" s="29"/>
      <c r="AE23" s="29"/>
      <c r="AF23" s="29"/>
      <c r="AG23" s="29"/>
      <c r="AH23" s="29"/>
      <c r="AI23" s="30" t="str">
        <f t="shared" si="9"/>
        <v/>
      </c>
      <c r="AJ23" s="31" t="str">
        <f t="shared" si="4"/>
        <v/>
      </c>
      <c r="AK23" s="30" t="str">
        <f>IF(AI23="","",VLOOKUP(AJ23,Table1[],2,TRUE))</f>
        <v/>
      </c>
      <c r="AL23" s="40" t="str">
        <f t="shared" si="5"/>
        <v/>
      </c>
      <c r="AM23" s="41" t="str">
        <f t="shared" si="6"/>
        <v/>
      </c>
      <c r="AN23" s="42" t="str">
        <f>IF(AL23="","",VLOOKUP(AM23,Table1[],2,TRUE))</f>
        <v/>
      </c>
      <c r="AO23" s="27" t="str">
        <f>IF(AND(AJ23="",AM23=""),"",IF(OR(AJ23="-",AM23="-"),"-",IF(AND(AJ$3&lt;&gt;0,AM$3&lt;&gt;0),VLOOKUP(AVERAGE(AJ23,AM23),Table1[],2,TRUE),IF(AND(AJ$3&lt;&gt;0,AM$3=0),AK23,AN23))))</f>
        <v/>
      </c>
      <c r="AP23" s="27"/>
      <c r="AQ23" s="84" t="str">
        <f t="shared" si="7"/>
        <v/>
      </c>
      <c r="AR23" s="85"/>
    </row>
    <row r="24" spans="1:44" x14ac:dyDescent="0.25">
      <c r="A24" s="28"/>
      <c r="B24" s="29"/>
      <c r="C24" s="29"/>
      <c r="D24" s="29"/>
      <c r="E24" s="29"/>
      <c r="F24" s="29"/>
      <c r="G24" s="29"/>
      <c r="H24" s="29"/>
      <c r="I24" s="29"/>
      <c r="J24" s="29"/>
      <c r="K24" s="29"/>
      <c r="L24" s="29"/>
      <c r="M24" s="30" t="str">
        <f t="shared" si="8"/>
        <v/>
      </c>
      <c r="N24" s="31" t="str">
        <f t="shared" si="0"/>
        <v/>
      </c>
      <c r="O24" s="30" t="str">
        <f>IF(M24="","",VLOOKUP(N24,Table1[],2,TRUE))</f>
        <v/>
      </c>
      <c r="P24" s="40" t="str">
        <f t="shared" si="1"/>
        <v/>
      </c>
      <c r="Q24" s="41" t="str">
        <f t="shared" si="2"/>
        <v/>
      </c>
      <c r="R24" s="42" t="str">
        <f>IF(P24="","",VLOOKUP(Q24,Table1[],2,TRUE))</f>
        <v/>
      </c>
      <c r="S24" s="27" t="str">
        <f>IF(AND(N24="",Q24=""),"",IF(OR(N24="-",Q24="-"),"-",IF(AND(N$3&lt;&gt;0,Q$3&lt;&gt;0),VLOOKUP(AVERAGE(N24,Q24),Table1[],2,TRUE),IF(AND(N$3&lt;&gt;0,Q$3=0),O24,R24))))</f>
        <v/>
      </c>
      <c r="T24" s="27"/>
      <c r="U24" s="84" t="str">
        <f t="shared" si="3"/>
        <v/>
      </c>
      <c r="V24" s="90"/>
      <c r="W24" s="28"/>
      <c r="X24" s="29"/>
      <c r="Y24" s="29"/>
      <c r="Z24" s="29"/>
      <c r="AA24" s="29"/>
      <c r="AB24" s="29"/>
      <c r="AC24" s="29"/>
      <c r="AD24" s="29"/>
      <c r="AE24" s="29"/>
      <c r="AF24" s="29"/>
      <c r="AG24" s="29"/>
      <c r="AH24" s="29"/>
      <c r="AI24" s="30" t="str">
        <f t="shared" si="9"/>
        <v/>
      </c>
      <c r="AJ24" s="31" t="str">
        <f t="shared" si="4"/>
        <v/>
      </c>
      <c r="AK24" s="30" t="str">
        <f>IF(AI24="","",VLOOKUP(AJ24,Table1[],2,TRUE))</f>
        <v/>
      </c>
      <c r="AL24" s="40" t="str">
        <f t="shared" si="5"/>
        <v/>
      </c>
      <c r="AM24" s="41" t="str">
        <f t="shared" si="6"/>
        <v/>
      </c>
      <c r="AN24" s="42" t="str">
        <f>IF(AL24="","",VLOOKUP(AM24,Table1[],2,TRUE))</f>
        <v/>
      </c>
      <c r="AO24" s="27" t="str">
        <f>IF(AND(AJ24="",AM24=""),"",IF(OR(AJ24="-",AM24="-"),"-",IF(AND(AJ$3&lt;&gt;0,AM$3&lt;&gt;0),VLOOKUP(AVERAGE(AJ24,AM24),Table1[],2,TRUE),IF(AND(AJ$3&lt;&gt;0,AM$3=0),AK24,AN24))))</f>
        <v/>
      </c>
      <c r="AP24" s="27"/>
      <c r="AQ24" s="84" t="str">
        <f t="shared" si="7"/>
        <v/>
      </c>
      <c r="AR24" s="85"/>
    </row>
    <row r="25" spans="1:44" x14ac:dyDescent="0.25">
      <c r="A25" s="28"/>
      <c r="B25" s="29"/>
      <c r="C25" s="29"/>
      <c r="D25" s="29"/>
      <c r="E25" s="29"/>
      <c r="F25" s="29"/>
      <c r="G25" s="29"/>
      <c r="H25" s="29"/>
      <c r="I25" s="29"/>
      <c r="J25" s="29"/>
      <c r="K25" s="29"/>
      <c r="L25" s="29"/>
      <c r="M25" s="30" t="str">
        <f t="shared" si="8"/>
        <v/>
      </c>
      <c r="N25" s="31" t="str">
        <f t="shared" si="0"/>
        <v/>
      </c>
      <c r="O25" s="30" t="str">
        <f>IF(M25="","",VLOOKUP(N25,Table1[],2,TRUE))</f>
        <v/>
      </c>
      <c r="P25" s="40" t="str">
        <f t="shared" si="1"/>
        <v/>
      </c>
      <c r="Q25" s="41" t="str">
        <f t="shared" si="2"/>
        <v/>
      </c>
      <c r="R25" s="42" t="str">
        <f>IF(P25="","",VLOOKUP(Q25,Table1[],2,TRUE))</f>
        <v/>
      </c>
      <c r="S25" s="27" t="str">
        <f>IF(AND(N25="",Q25=""),"",IF(OR(N25="-",Q25="-"),"-",IF(AND(N$3&lt;&gt;0,Q$3&lt;&gt;0),VLOOKUP(AVERAGE(N25,Q25),Table1[],2,TRUE),IF(AND(N$3&lt;&gt;0,Q$3=0),O25,R25))))</f>
        <v/>
      </c>
      <c r="T25" s="27"/>
      <c r="U25" s="84" t="str">
        <f t="shared" si="3"/>
        <v/>
      </c>
      <c r="V25" s="90"/>
      <c r="W25" s="28"/>
      <c r="X25" s="29"/>
      <c r="Y25" s="29"/>
      <c r="Z25" s="29"/>
      <c r="AA25" s="29"/>
      <c r="AB25" s="29"/>
      <c r="AC25" s="29"/>
      <c r="AD25" s="29"/>
      <c r="AE25" s="29"/>
      <c r="AF25" s="29"/>
      <c r="AG25" s="29"/>
      <c r="AH25" s="29"/>
      <c r="AI25" s="30" t="str">
        <f t="shared" si="9"/>
        <v/>
      </c>
      <c r="AJ25" s="31" t="str">
        <f t="shared" si="4"/>
        <v/>
      </c>
      <c r="AK25" s="30" t="str">
        <f>IF(AI25="","",VLOOKUP(AJ25,Table1[],2,TRUE))</f>
        <v/>
      </c>
      <c r="AL25" s="40" t="str">
        <f t="shared" si="5"/>
        <v/>
      </c>
      <c r="AM25" s="41" t="str">
        <f t="shared" si="6"/>
        <v/>
      </c>
      <c r="AN25" s="42" t="str">
        <f>IF(AL25="","",VLOOKUP(AM25,Table1[],2,TRUE))</f>
        <v/>
      </c>
      <c r="AO25" s="27" t="str">
        <f>IF(AND(AJ25="",AM25=""),"",IF(OR(AJ25="-",AM25="-"),"-",IF(AND(AJ$3&lt;&gt;0,AM$3&lt;&gt;0),VLOOKUP(AVERAGE(AJ25,AM25),Table1[],2,TRUE),IF(AND(AJ$3&lt;&gt;0,AM$3=0),AK25,AN25))))</f>
        <v/>
      </c>
      <c r="AP25" s="27"/>
      <c r="AQ25" s="84" t="str">
        <f t="shared" si="7"/>
        <v/>
      </c>
      <c r="AR25" s="85"/>
    </row>
    <row r="26" spans="1:44" x14ac:dyDescent="0.25">
      <c r="A26" s="28"/>
      <c r="B26" s="29"/>
      <c r="C26" s="29"/>
      <c r="D26" s="29"/>
      <c r="E26" s="29"/>
      <c r="F26" s="29"/>
      <c r="G26" s="29"/>
      <c r="H26" s="29"/>
      <c r="I26" s="29"/>
      <c r="J26" s="29"/>
      <c r="K26" s="29"/>
      <c r="L26" s="29"/>
      <c r="M26" s="30" t="str">
        <f t="shared" si="8"/>
        <v/>
      </c>
      <c r="N26" s="31" t="str">
        <f t="shared" si="0"/>
        <v/>
      </c>
      <c r="O26" s="30" t="str">
        <f>IF(M26="","",VLOOKUP(N26,Table1[],2,TRUE))</f>
        <v/>
      </c>
      <c r="P26" s="40" t="str">
        <f t="shared" si="1"/>
        <v/>
      </c>
      <c r="Q26" s="41" t="str">
        <f t="shared" si="2"/>
        <v/>
      </c>
      <c r="R26" s="42" t="str">
        <f>IF(P26="","",VLOOKUP(Q26,Table1[],2,TRUE))</f>
        <v/>
      </c>
      <c r="S26" s="27" t="str">
        <f>IF(AND(N26="",Q26=""),"",IF(OR(N26="-",Q26="-"),"-",IF(AND(N$3&lt;&gt;0,Q$3&lt;&gt;0),VLOOKUP(AVERAGE(N26,Q26),Table1[],2,TRUE),IF(AND(N$3&lt;&gt;0,Q$3=0),O26,R26))))</f>
        <v/>
      </c>
      <c r="T26" s="27"/>
      <c r="U26" s="84" t="str">
        <f t="shared" si="3"/>
        <v/>
      </c>
      <c r="V26" s="90"/>
      <c r="W26" s="28"/>
      <c r="X26" s="29"/>
      <c r="Y26" s="29"/>
      <c r="Z26" s="29"/>
      <c r="AA26" s="29"/>
      <c r="AB26" s="29"/>
      <c r="AC26" s="29"/>
      <c r="AD26" s="29"/>
      <c r="AE26" s="29"/>
      <c r="AF26" s="29"/>
      <c r="AG26" s="29"/>
      <c r="AH26" s="29"/>
      <c r="AI26" s="30" t="str">
        <f t="shared" si="9"/>
        <v/>
      </c>
      <c r="AJ26" s="31" t="str">
        <f t="shared" si="4"/>
        <v/>
      </c>
      <c r="AK26" s="30" t="str">
        <f>IF(AI26="","",VLOOKUP(AJ26,Table1[],2,TRUE))</f>
        <v/>
      </c>
      <c r="AL26" s="40" t="str">
        <f t="shared" si="5"/>
        <v/>
      </c>
      <c r="AM26" s="41" t="str">
        <f t="shared" si="6"/>
        <v/>
      </c>
      <c r="AN26" s="42" t="str">
        <f>IF(AL26="","",VLOOKUP(AM26,Table1[],2,TRUE))</f>
        <v/>
      </c>
      <c r="AO26" s="27" t="str">
        <f>IF(AND(AJ26="",AM26=""),"",IF(OR(AJ26="-",AM26="-"),"-",IF(AND(AJ$3&lt;&gt;0,AM$3&lt;&gt;0),VLOOKUP(AVERAGE(AJ26,AM26),Table1[],2,TRUE),IF(AND(AJ$3&lt;&gt;0,AM$3=0),AK26,AN26))))</f>
        <v/>
      </c>
      <c r="AP26" s="27"/>
      <c r="AQ26" s="84" t="str">
        <f t="shared" si="7"/>
        <v/>
      </c>
      <c r="AR26" s="85"/>
    </row>
    <row r="27" spans="1:44" x14ac:dyDescent="0.25">
      <c r="A27" s="28"/>
      <c r="B27" s="29"/>
      <c r="C27" s="29"/>
      <c r="D27" s="29"/>
      <c r="E27" s="29"/>
      <c r="F27" s="29"/>
      <c r="G27" s="29"/>
      <c r="H27" s="29"/>
      <c r="I27" s="29"/>
      <c r="J27" s="29"/>
      <c r="K27" s="29"/>
      <c r="L27" s="29"/>
      <c r="M27" s="30" t="str">
        <f t="shared" si="8"/>
        <v/>
      </c>
      <c r="N27" s="31" t="str">
        <f t="shared" si="0"/>
        <v/>
      </c>
      <c r="O27" s="30" t="str">
        <f>IF(M27="","",VLOOKUP(N27,Table1[],2,TRUE))</f>
        <v/>
      </c>
      <c r="P27" s="40" t="str">
        <f t="shared" si="1"/>
        <v/>
      </c>
      <c r="Q27" s="41" t="str">
        <f t="shared" si="2"/>
        <v/>
      </c>
      <c r="R27" s="42" t="str">
        <f>IF(P27="","",VLOOKUP(Q27,Table1[],2,TRUE))</f>
        <v/>
      </c>
      <c r="S27" s="27" t="str">
        <f>IF(AND(N27="",Q27=""),"",IF(OR(N27="-",Q27="-"),"-",IF(AND(N$3&lt;&gt;0,Q$3&lt;&gt;0),VLOOKUP(AVERAGE(N27,Q27),Table1[],2,TRUE),IF(AND(N$3&lt;&gt;0,Q$3=0),O27,R27))))</f>
        <v/>
      </c>
      <c r="T27" s="27"/>
      <c r="U27" s="84" t="str">
        <f t="shared" si="3"/>
        <v/>
      </c>
      <c r="V27" s="90"/>
      <c r="W27" s="28"/>
      <c r="X27" s="29"/>
      <c r="Y27" s="29"/>
      <c r="Z27" s="29"/>
      <c r="AA27" s="29"/>
      <c r="AB27" s="29"/>
      <c r="AC27" s="29"/>
      <c r="AD27" s="29"/>
      <c r="AE27" s="29"/>
      <c r="AF27" s="29"/>
      <c r="AG27" s="29"/>
      <c r="AH27" s="29"/>
      <c r="AI27" s="30" t="str">
        <f t="shared" si="9"/>
        <v/>
      </c>
      <c r="AJ27" s="31" t="str">
        <f t="shared" si="4"/>
        <v/>
      </c>
      <c r="AK27" s="30" t="str">
        <f>IF(AI27="","",VLOOKUP(AJ27,Table1[],2,TRUE))</f>
        <v/>
      </c>
      <c r="AL27" s="40" t="str">
        <f t="shared" si="5"/>
        <v/>
      </c>
      <c r="AM27" s="41" t="str">
        <f t="shared" si="6"/>
        <v/>
      </c>
      <c r="AN27" s="42" t="str">
        <f>IF(AL27="","",VLOOKUP(AM27,Table1[],2,TRUE))</f>
        <v/>
      </c>
      <c r="AO27" s="27" t="str">
        <f>IF(AND(AJ27="",AM27=""),"",IF(OR(AJ27="-",AM27="-"),"-",IF(AND(AJ$3&lt;&gt;0,AM$3&lt;&gt;0),VLOOKUP(AVERAGE(AJ27,AM27),Table1[],2,TRUE),IF(AND(AJ$3&lt;&gt;0,AM$3=0),AK27,AN27))))</f>
        <v/>
      </c>
      <c r="AP27" s="27"/>
      <c r="AQ27" s="84" t="str">
        <f t="shared" si="7"/>
        <v/>
      </c>
      <c r="AR27" s="85"/>
    </row>
    <row r="28" spans="1:44" x14ac:dyDescent="0.25">
      <c r="A28" s="28"/>
      <c r="B28" s="29"/>
      <c r="C28" s="29"/>
      <c r="D28" s="29"/>
      <c r="E28" s="29"/>
      <c r="F28" s="29"/>
      <c r="G28" s="29"/>
      <c r="H28" s="29"/>
      <c r="I28" s="29"/>
      <c r="J28" s="29"/>
      <c r="K28" s="29"/>
      <c r="L28" s="29"/>
      <c r="M28" s="30" t="str">
        <f t="shared" si="8"/>
        <v/>
      </c>
      <c r="N28" s="31" t="str">
        <f t="shared" si="0"/>
        <v/>
      </c>
      <c r="O28" s="30" t="str">
        <f>IF(M28="","",VLOOKUP(N28,Table1[],2,TRUE))</f>
        <v/>
      </c>
      <c r="P28" s="40" t="str">
        <f t="shared" si="1"/>
        <v/>
      </c>
      <c r="Q28" s="41" t="str">
        <f t="shared" si="2"/>
        <v/>
      </c>
      <c r="R28" s="42" t="str">
        <f>IF(P28="","",VLOOKUP(Q28,Table1[],2,TRUE))</f>
        <v/>
      </c>
      <c r="S28" s="27" t="str">
        <f>IF(AND(N28="",Q28=""),"",IF(OR(N28="-",Q28="-"),"-",IF(AND(N$3&lt;&gt;0,Q$3&lt;&gt;0),VLOOKUP(AVERAGE(N28,Q28),Table1[],2,TRUE),IF(AND(N$3&lt;&gt;0,Q$3=0),O28,R28))))</f>
        <v/>
      </c>
      <c r="T28" s="27"/>
      <c r="U28" s="84" t="str">
        <f t="shared" si="3"/>
        <v/>
      </c>
      <c r="V28" s="90"/>
      <c r="W28" s="28"/>
      <c r="X28" s="29"/>
      <c r="Y28" s="29"/>
      <c r="Z28" s="29"/>
      <c r="AA28" s="29"/>
      <c r="AB28" s="29"/>
      <c r="AC28" s="29"/>
      <c r="AD28" s="29"/>
      <c r="AE28" s="29"/>
      <c r="AF28" s="29"/>
      <c r="AG28" s="29"/>
      <c r="AH28" s="29"/>
      <c r="AI28" s="30" t="str">
        <f t="shared" si="9"/>
        <v/>
      </c>
      <c r="AJ28" s="31" t="str">
        <f t="shared" si="4"/>
        <v/>
      </c>
      <c r="AK28" s="30" t="str">
        <f>IF(AI28="","",VLOOKUP(AJ28,Table1[],2,TRUE))</f>
        <v/>
      </c>
      <c r="AL28" s="40" t="str">
        <f t="shared" si="5"/>
        <v/>
      </c>
      <c r="AM28" s="41" t="str">
        <f t="shared" si="6"/>
        <v/>
      </c>
      <c r="AN28" s="42" t="str">
        <f>IF(AL28="","",VLOOKUP(AM28,Table1[],2,TRUE))</f>
        <v/>
      </c>
      <c r="AO28" s="27" t="str">
        <f>IF(AND(AJ28="",AM28=""),"",IF(OR(AJ28="-",AM28="-"),"-",IF(AND(AJ$3&lt;&gt;0,AM$3&lt;&gt;0),VLOOKUP(AVERAGE(AJ28,AM28),Table1[],2,TRUE),IF(AND(AJ$3&lt;&gt;0,AM$3=0),AK28,AN28))))</f>
        <v/>
      </c>
      <c r="AP28" s="27"/>
      <c r="AQ28" s="84" t="str">
        <f t="shared" si="7"/>
        <v/>
      </c>
      <c r="AR28" s="85"/>
    </row>
    <row r="29" spans="1:44" x14ac:dyDescent="0.25">
      <c r="A29" s="35"/>
      <c r="B29" s="36"/>
      <c r="C29" s="36"/>
      <c r="D29" s="36"/>
      <c r="E29" s="36"/>
      <c r="F29" s="36"/>
      <c r="G29" s="36"/>
      <c r="H29" s="36"/>
      <c r="I29" s="36"/>
      <c r="J29" s="36"/>
      <c r="K29" s="36"/>
      <c r="L29" s="36"/>
      <c r="M29" s="30" t="str">
        <f t="shared" si="8"/>
        <v/>
      </c>
      <c r="N29" s="31" t="str">
        <f t="shared" si="0"/>
        <v/>
      </c>
      <c r="O29" s="30" t="str">
        <f>IF(M29="","",VLOOKUP(N29,Table1[],2,TRUE))</f>
        <v/>
      </c>
      <c r="P29" s="40" t="str">
        <f t="shared" si="1"/>
        <v/>
      </c>
      <c r="Q29" s="41" t="str">
        <f t="shared" si="2"/>
        <v/>
      </c>
      <c r="R29" s="42" t="str">
        <f>IF(P29="","",VLOOKUP(Q29,Table1[],2,TRUE))</f>
        <v/>
      </c>
      <c r="S29" s="27" t="str">
        <f>IF(AND(N29="",Q29=""),"",IF(OR(N29="-",Q29="-"),"-",IF(AND(N$3&lt;&gt;0,Q$3&lt;&gt;0),VLOOKUP(AVERAGE(N29,Q29),Table1[],2,TRUE),IF(AND(N$3&lt;&gt;0,Q$3=0),O29,R29))))</f>
        <v/>
      </c>
      <c r="T29" s="27"/>
      <c r="U29" s="84" t="str">
        <f t="shared" si="3"/>
        <v/>
      </c>
      <c r="V29" s="90"/>
      <c r="W29" s="35"/>
      <c r="X29" s="36"/>
      <c r="Y29" s="36"/>
      <c r="Z29" s="36"/>
      <c r="AA29" s="36"/>
      <c r="AB29" s="36"/>
      <c r="AC29" s="36"/>
      <c r="AD29" s="36"/>
      <c r="AE29" s="36"/>
      <c r="AF29" s="36"/>
      <c r="AG29" s="36"/>
      <c r="AH29" s="36"/>
      <c r="AI29" s="30" t="str">
        <f t="shared" si="9"/>
        <v/>
      </c>
      <c r="AJ29" s="31" t="str">
        <f t="shared" si="4"/>
        <v/>
      </c>
      <c r="AK29" s="30" t="str">
        <f>IF(AI29="","",VLOOKUP(AJ29,Table1[],2,TRUE))</f>
        <v/>
      </c>
      <c r="AL29" s="40" t="str">
        <f t="shared" si="5"/>
        <v/>
      </c>
      <c r="AM29" s="41" t="str">
        <f t="shared" si="6"/>
        <v/>
      </c>
      <c r="AN29" s="42" t="str">
        <f>IF(AL29="","",VLOOKUP(AM29,Table1[],2,TRUE))</f>
        <v/>
      </c>
      <c r="AO29" s="27" t="str">
        <f>IF(AND(AJ29="",AM29=""),"",IF(OR(AJ29="-",AM29="-"),"-",IF(AND(AJ$3&lt;&gt;0,AM$3&lt;&gt;0),VLOOKUP(AVERAGE(AJ29,AM29),Table1[],2,TRUE),IF(AND(AJ$3&lt;&gt;0,AM$3=0),AK29,AN29))))</f>
        <v/>
      </c>
      <c r="AP29" s="27"/>
      <c r="AQ29" s="84" t="str">
        <f t="shared" si="7"/>
        <v/>
      </c>
      <c r="AR29" s="85"/>
    </row>
    <row r="30" spans="1:44" x14ac:dyDescent="0.25">
      <c r="A30" s="35"/>
      <c r="B30" s="36"/>
      <c r="C30" s="36"/>
      <c r="D30" s="36"/>
      <c r="E30" s="36"/>
      <c r="F30" s="36"/>
      <c r="G30" s="36"/>
      <c r="H30" s="36"/>
      <c r="I30" s="36"/>
      <c r="J30" s="36"/>
      <c r="K30" s="36"/>
      <c r="L30" s="36"/>
      <c r="M30" s="30" t="str">
        <f t="shared" si="8"/>
        <v/>
      </c>
      <c r="N30" s="31" t="str">
        <f t="shared" si="0"/>
        <v/>
      </c>
      <c r="O30" s="30" t="str">
        <f>IF(M30="","",VLOOKUP(N30,Table1[],2,TRUE))</f>
        <v/>
      </c>
      <c r="P30" s="40" t="str">
        <f t="shared" si="1"/>
        <v/>
      </c>
      <c r="Q30" s="41" t="str">
        <f t="shared" si="2"/>
        <v/>
      </c>
      <c r="R30" s="42" t="str">
        <f>IF(P30="","",VLOOKUP(Q30,Table1[],2,TRUE))</f>
        <v/>
      </c>
      <c r="S30" s="27" t="str">
        <f>IF(AND(N30="",Q30=""),"",IF(OR(N30="-",Q30="-"),"-",IF(AND(N$3&lt;&gt;0,Q$3&lt;&gt;0),VLOOKUP(AVERAGE(N30,Q30),Table1[],2,TRUE),IF(AND(N$3&lt;&gt;0,Q$3=0),O30,R30))))</f>
        <v/>
      </c>
      <c r="T30" s="27"/>
      <c r="U30" s="84" t="str">
        <f t="shared" si="3"/>
        <v/>
      </c>
      <c r="V30" s="90"/>
      <c r="W30" s="35"/>
      <c r="X30" s="36"/>
      <c r="Y30" s="36"/>
      <c r="Z30" s="36"/>
      <c r="AA30" s="36"/>
      <c r="AB30" s="36"/>
      <c r="AC30" s="36"/>
      <c r="AD30" s="36"/>
      <c r="AE30" s="36"/>
      <c r="AF30" s="36"/>
      <c r="AG30" s="36"/>
      <c r="AH30" s="36"/>
      <c r="AI30" s="30" t="str">
        <f t="shared" si="9"/>
        <v/>
      </c>
      <c r="AJ30" s="31" t="str">
        <f t="shared" si="4"/>
        <v/>
      </c>
      <c r="AK30" s="30" t="str">
        <f>IF(AI30="","",VLOOKUP(AJ30,Table1[],2,TRUE))</f>
        <v/>
      </c>
      <c r="AL30" s="40" t="str">
        <f t="shared" si="5"/>
        <v/>
      </c>
      <c r="AM30" s="41" t="str">
        <f t="shared" si="6"/>
        <v/>
      </c>
      <c r="AN30" s="42" t="str">
        <f>IF(AL30="","",VLOOKUP(AM30,Table1[],2,TRUE))</f>
        <v/>
      </c>
      <c r="AO30" s="27" t="str">
        <f>IF(AND(AJ30="",AM30=""),"",IF(OR(AJ30="-",AM30="-"),"-",IF(AND(AJ$3&lt;&gt;0,AM$3&lt;&gt;0),VLOOKUP(AVERAGE(AJ30,AM30),Table1[],2,TRUE),IF(AND(AJ$3&lt;&gt;0,AM$3=0),AK30,AN30))))</f>
        <v/>
      </c>
      <c r="AP30" s="27"/>
      <c r="AQ30" s="84" t="str">
        <f t="shared" si="7"/>
        <v/>
      </c>
      <c r="AR30" s="85"/>
    </row>
    <row r="31" spans="1:44" x14ac:dyDescent="0.25">
      <c r="A31" s="35"/>
      <c r="B31" s="36"/>
      <c r="C31" s="36"/>
      <c r="D31" s="36"/>
      <c r="E31" s="36"/>
      <c r="F31" s="36"/>
      <c r="G31" s="36"/>
      <c r="H31" s="36"/>
      <c r="I31" s="36"/>
      <c r="J31" s="36"/>
      <c r="K31" s="36"/>
      <c r="L31" s="36"/>
      <c r="M31" s="30" t="str">
        <f t="shared" si="8"/>
        <v/>
      </c>
      <c r="N31" s="31" t="str">
        <f t="shared" si="0"/>
        <v/>
      </c>
      <c r="O31" s="30" t="str">
        <f>IF(M31="","",VLOOKUP(N31,Table1[],2,TRUE))</f>
        <v/>
      </c>
      <c r="P31" s="40" t="str">
        <f t="shared" si="1"/>
        <v/>
      </c>
      <c r="Q31" s="41" t="str">
        <f t="shared" si="2"/>
        <v/>
      </c>
      <c r="R31" s="42" t="str">
        <f>IF(P31="","",VLOOKUP(Q31,Table1[],2,TRUE))</f>
        <v/>
      </c>
      <c r="S31" s="27" t="str">
        <f>IF(AND(N31="",Q31=""),"",IF(OR(N31="-",Q31="-"),"-",IF(AND(N$3&lt;&gt;0,Q$3&lt;&gt;0),VLOOKUP(AVERAGE(N31,Q31),Table1[],2,TRUE),IF(AND(N$3&lt;&gt;0,Q$3=0),O31,R31))))</f>
        <v/>
      </c>
      <c r="T31" s="27"/>
      <c r="U31" s="84" t="str">
        <f t="shared" si="3"/>
        <v/>
      </c>
      <c r="V31" s="90"/>
      <c r="W31" s="35"/>
      <c r="X31" s="36"/>
      <c r="Y31" s="36"/>
      <c r="Z31" s="36"/>
      <c r="AA31" s="36"/>
      <c r="AB31" s="36"/>
      <c r="AC31" s="36"/>
      <c r="AD31" s="36"/>
      <c r="AE31" s="36"/>
      <c r="AF31" s="36"/>
      <c r="AG31" s="36"/>
      <c r="AH31" s="36"/>
      <c r="AI31" s="30" t="str">
        <f t="shared" si="9"/>
        <v/>
      </c>
      <c r="AJ31" s="31" t="str">
        <f t="shared" si="4"/>
        <v/>
      </c>
      <c r="AK31" s="30" t="str">
        <f>IF(AI31="","",VLOOKUP(AJ31,Table1[],2,TRUE))</f>
        <v/>
      </c>
      <c r="AL31" s="40" t="str">
        <f t="shared" si="5"/>
        <v/>
      </c>
      <c r="AM31" s="41" t="str">
        <f t="shared" si="6"/>
        <v/>
      </c>
      <c r="AN31" s="42" t="str">
        <f>IF(AL31="","",VLOOKUP(AM31,Table1[],2,TRUE))</f>
        <v/>
      </c>
      <c r="AO31" s="27" t="str">
        <f>IF(AND(AJ31="",AM31=""),"",IF(OR(AJ31="-",AM31="-"),"-",IF(AND(AJ$3&lt;&gt;0,AM$3&lt;&gt;0),VLOOKUP(AVERAGE(AJ31,AM31),Table1[],2,TRUE),IF(AND(AJ$3&lt;&gt;0,AM$3=0),AK31,AN31))))</f>
        <v/>
      </c>
      <c r="AP31" s="27"/>
      <c r="AQ31" s="84" t="str">
        <f t="shared" si="7"/>
        <v/>
      </c>
      <c r="AR31" s="85"/>
    </row>
    <row r="32" spans="1:44" x14ac:dyDescent="0.25">
      <c r="A32" s="35"/>
      <c r="B32" s="36"/>
      <c r="C32" s="36"/>
      <c r="D32" s="36"/>
      <c r="E32" s="36"/>
      <c r="F32" s="36"/>
      <c r="G32" s="36"/>
      <c r="H32" s="36"/>
      <c r="I32" s="36"/>
      <c r="J32" s="36"/>
      <c r="K32" s="36"/>
      <c r="L32" s="36"/>
      <c r="M32" s="30" t="str">
        <f t="shared" si="8"/>
        <v/>
      </c>
      <c r="N32" s="31" t="str">
        <f t="shared" si="0"/>
        <v/>
      </c>
      <c r="O32" s="30" t="str">
        <f>IF(M32="","",VLOOKUP(N32,Table1[],2,TRUE))</f>
        <v/>
      </c>
      <c r="P32" s="40" t="str">
        <f t="shared" si="1"/>
        <v/>
      </c>
      <c r="Q32" s="41" t="str">
        <f t="shared" si="2"/>
        <v/>
      </c>
      <c r="R32" s="42" t="str">
        <f>IF(P32="","",VLOOKUP(Q32,Table1[],2,TRUE))</f>
        <v/>
      </c>
      <c r="S32" s="27" t="str">
        <f>IF(AND(N32="",Q32=""),"",IF(OR(N32="-",Q32="-"),"-",IF(AND(N$3&lt;&gt;0,Q$3&lt;&gt;0),VLOOKUP(AVERAGE(N32,Q32),Table1[],2,TRUE),IF(AND(N$3&lt;&gt;0,Q$3=0),O32,R32))))</f>
        <v/>
      </c>
      <c r="T32" s="27"/>
      <c r="U32" s="84" t="str">
        <f t="shared" si="3"/>
        <v/>
      </c>
      <c r="V32" s="90"/>
      <c r="W32" s="35"/>
      <c r="X32" s="36"/>
      <c r="Y32" s="36"/>
      <c r="Z32" s="36"/>
      <c r="AA32" s="36"/>
      <c r="AB32" s="36"/>
      <c r="AC32" s="36"/>
      <c r="AD32" s="36"/>
      <c r="AE32" s="36"/>
      <c r="AF32" s="36"/>
      <c r="AG32" s="36"/>
      <c r="AH32" s="36"/>
      <c r="AI32" s="30" t="str">
        <f t="shared" si="9"/>
        <v/>
      </c>
      <c r="AJ32" s="31" t="str">
        <f t="shared" si="4"/>
        <v/>
      </c>
      <c r="AK32" s="30" t="str">
        <f>IF(AI32="","",VLOOKUP(AJ32,Table1[],2,TRUE))</f>
        <v/>
      </c>
      <c r="AL32" s="40" t="str">
        <f t="shared" si="5"/>
        <v/>
      </c>
      <c r="AM32" s="41" t="str">
        <f t="shared" si="6"/>
        <v/>
      </c>
      <c r="AN32" s="42" t="str">
        <f>IF(AL32="","",VLOOKUP(AM32,Table1[],2,TRUE))</f>
        <v/>
      </c>
      <c r="AO32" s="27" t="str">
        <f>IF(AND(AJ32="",AM32=""),"",IF(OR(AJ32="-",AM32="-"),"-",IF(AND(AJ$3&lt;&gt;0,AM$3&lt;&gt;0),VLOOKUP(AVERAGE(AJ32,AM32),Table1[],2,TRUE),IF(AND(AJ$3&lt;&gt;0,AM$3=0),AK32,AN32))))</f>
        <v/>
      </c>
      <c r="AP32" s="27"/>
      <c r="AQ32" s="84" t="str">
        <f t="shared" si="7"/>
        <v/>
      </c>
      <c r="AR32" s="85"/>
    </row>
    <row r="33" spans="1:44" x14ac:dyDescent="0.25">
      <c r="A33" s="35"/>
      <c r="B33" s="36"/>
      <c r="C33" s="36"/>
      <c r="D33" s="36"/>
      <c r="E33" s="36"/>
      <c r="F33" s="36"/>
      <c r="G33" s="36"/>
      <c r="H33" s="36"/>
      <c r="I33" s="36"/>
      <c r="J33" s="36"/>
      <c r="K33" s="36"/>
      <c r="L33" s="36"/>
      <c r="M33" s="30" t="str">
        <f t="shared" si="8"/>
        <v/>
      </c>
      <c r="N33" s="31" t="str">
        <f t="shared" si="0"/>
        <v/>
      </c>
      <c r="O33" s="30" t="str">
        <f>IF(M33="","",VLOOKUP(N33,Table1[],2,TRUE))</f>
        <v/>
      </c>
      <c r="P33" s="40" t="str">
        <f t="shared" si="1"/>
        <v/>
      </c>
      <c r="Q33" s="41" t="str">
        <f t="shared" si="2"/>
        <v/>
      </c>
      <c r="R33" s="42" t="str">
        <f>IF(P33="","",VLOOKUP(Q33,Table1[],2,TRUE))</f>
        <v/>
      </c>
      <c r="S33" s="27" t="str">
        <f>IF(AND(N33="",Q33=""),"",IF(OR(N33="-",Q33="-"),"-",IF(AND(N$3&lt;&gt;0,Q$3&lt;&gt;0),VLOOKUP(AVERAGE(N33,Q33),Table1[],2,TRUE),IF(AND(N$3&lt;&gt;0,Q$3=0),O33,R33))))</f>
        <v/>
      </c>
      <c r="T33" s="27"/>
      <c r="U33" s="84" t="str">
        <f t="shared" si="3"/>
        <v/>
      </c>
      <c r="V33" s="90"/>
      <c r="W33" s="35"/>
      <c r="X33" s="36"/>
      <c r="Y33" s="36"/>
      <c r="Z33" s="36"/>
      <c r="AA33" s="36"/>
      <c r="AB33" s="36"/>
      <c r="AC33" s="36"/>
      <c r="AD33" s="36"/>
      <c r="AE33" s="36"/>
      <c r="AF33" s="36"/>
      <c r="AG33" s="36"/>
      <c r="AH33" s="36"/>
      <c r="AI33" s="30" t="str">
        <f t="shared" si="9"/>
        <v/>
      </c>
      <c r="AJ33" s="31" t="str">
        <f t="shared" si="4"/>
        <v/>
      </c>
      <c r="AK33" s="30" t="str">
        <f>IF(AI33="","",VLOOKUP(AJ33,Table1[],2,TRUE))</f>
        <v/>
      </c>
      <c r="AL33" s="40" t="str">
        <f t="shared" si="5"/>
        <v/>
      </c>
      <c r="AM33" s="41" t="str">
        <f t="shared" si="6"/>
        <v/>
      </c>
      <c r="AN33" s="42" t="str">
        <f>IF(AL33="","",VLOOKUP(AM33,Table1[],2,TRUE))</f>
        <v/>
      </c>
      <c r="AO33" s="27" t="str">
        <f>IF(AND(AJ33="",AM33=""),"",IF(OR(AJ33="-",AM33="-"),"-",IF(AND(AJ$3&lt;&gt;0,AM$3&lt;&gt;0),VLOOKUP(AVERAGE(AJ33,AM33),Table1[],2,TRUE),IF(AND(AJ$3&lt;&gt;0,AM$3=0),AK33,AN33))))</f>
        <v/>
      </c>
      <c r="AP33" s="27"/>
      <c r="AQ33" s="84" t="str">
        <f t="shared" si="7"/>
        <v/>
      </c>
      <c r="AR33" s="85"/>
    </row>
    <row r="34" spans="1:44" x14ac:dyDescent="0.25">
      <c r="A34" s="35"/>
      <c r="B34" s="36"/>
      <c r="C34" s="36"/>
      <c r="D34" s="36"/>
      <c r="E34" s="36"/>
      <c r="F34" s="36"/>
      <c r="G34" s="36"/>
      <c r="H34" s="36"/>
      <c r="I34" s="36"/>
      <c r="J34" s="36"/>
      <c r="K34" s="36"/>
      <c r="L34" s="36"/>
      <c r="M34" s="30" t="str">
        <f t="shared" si="8"/>
        <v/>
      </c>
      <c r="N34" s="31" t="str">
        <f t="shared" si="0"/>
        <v/>
      </c>
      <c r="O34" s="30" t="str">
        <f>IF(M34="","",VLOOKUP(N34,Table1[],2,TRUE))</f>
        <v/>
      </c>
      <c r="P34" s="40" t="str">
        <f t="shared" si="1"/>
        <v/>
      </c>
      <c r="Q34" s="41" t="str">
        <f t="shared" si="2"/>
        <v/>
      </c>
      <c r="R34" s="42" t="str">
        <f>IF(P34="","",VLOOKUP(Q34,Table1[],2,TRUE))</f>
        <v/>
      </c>
      <c r="S34" s="27" t="str">
        <f>IF(AND(N34="",Q34=""),"",IF(OR(N34="-",Q34="-"),"-",IF(AND(N$3&lt;&gt;0,Q$3&lt;&gt;0),VLOOKUP(AVERAGE(N34,Q34),Table1[],2,TRUE),IF(AND(N$3&lt;&gt;0,Q$3=0),O34,R34))))</f>
        <v/>
      </c>
      <c r="T34" s="27"/>
      <c r="U34" s="84" t="str">
        <f t="shared" si="3"/>
        <v/>
      </c>
      <c r="V34" s="90"/>
      <c r="W34" s="35"/>
      <c r="X34" s="36"/>
      <c r="Y34" s="36"/>
      <c r="Z34" s="36"/>
      <c r="AA34" s="36"/>
      <c r="AB34" s="36"/>
      <c r="AC34" s="36"/>
      <c r="AD34" s="36"/>
      <c r="AE34" s="36"/>
      <c r="AF34" s="36"/>
      <c r="AG34" s="36"/>
      <c r="AH34" s="36"/>
      <c r="AI34" s="30" t="str">
        <f t="shared" si="9"/>
        <v/>
      </c>
      <c r="AJ34" s="31" t="str">
        <f t="shared" si="4"/>
        <v/>
      </c>
      <c r="AK34" s="30" t="str">
        <f>IF(AI34="","",VLOOKUP(AJ34,Table1[],2,TRUE))</f>
        <v/>
      </c>
      <c r="AL34" s="40" t="str">
        <f t="shared" si="5"/>
        <v/>
      </c>
      <c r="AM34" s="41" t="str">
        <f t="shared" si="6"/>
        <v/>
      </c>
      <c r="AN34" s="42" t="str">
        <f>IF(AL34="","",VLOOKUP(AM34,Table1[],2,TRUE))</f>
        <v/>
      </c>
      <c r="AO34" s="27" t="str">
        <f>IF(AND(AJ34="",AM34=""),"",IF(OR(AJ34="-",AM34="-"),"-",IF(AND(AJ$3&lt;&gt;0,AM$3&lt;&gt;0),VLOOKUP(AVERAGE(AJ34,AM34),Table1[],2,TRUE),IF(AND(AJ$3&lt;&gt;0,AM$3=0),AK34,AN34))))</f>
        <v/>
      </c>
      <c r="AP34" s="27"/>
      <c r="AQ34" s="84" t="str">
        <f t="shared" si="7"/>
        <v/>
      </c>
      <c r="AR34" s="85"/>
    </row>
    <row r="35" spans="1:44" x14ac:dyDescent="0.25">
      <c r="A35" s="35"/>
      <c r="B35" s="36"/>
      <c r="C35" s="36"/>
      <c r="D35" s="36"/>
      <c r="E35" s="36"/>
      <c r="F35" s="36"/>
      <c r="G35" s="36"/>
      <c r="H35" s="36"/>
      <c r="I35" s="36"/>
      <c r="J35" s="36"/>
      <c r="K35" s="36"/>
      <c r="L35" s="36"/>
      <c r="M35" s="30" t="str">
        <f t="shared" si="8"/>
        <v/>
      </c>
      <c r="N35" s="31" t="str">
        <f t="shared" si="0"/>
        <v/>
      </c>
      <c r="O35" s="30" t="str">
        <f>IF(M35="","",VLOOKUP(N35,Table1[],2,TRUE))</f>
        <v/>
      </c>
      <c r="P35" s="40" t="str">
        <f t="shared" si="1"/>
        <v/>
      </c>
      <c r="Q35" s="41" t="str">
        <f t="shared" si="2"/>
        <v/>
      </c>
      <c r="R35" s="42" t="str">
        <f>IF(P35="","",VLOOKUP(Q35,Table1[],2,TRUE))</f>
        <v/>
      </c>
      <c r="S35" s="27" t="str">
        <f>IF(AND(N35="",Q35=""),"",IF(OR(N35="-",Q35="-"),"-",IF(AND(N$3&lt;&gt;0,Q$3&lt;&gt;0),VLOOKUP(AVERAGE(N35,Q35),Table1[],2,TRUE),IF(AND(N$3&lt;&gt;0,Q$3=0),O35,R35))))</f>
        <v/>
      </c>
      <c r="T35" s="27"/>
      <c r="U35" s="84" t="str">
        <f t="shared" si="3"/>
        <v/>
      </c>
      <c r="V35" s="90"/>
      <c r="W35" s="35"/>
      <c r="X35" s="36"/>
      <c r="Y35" s="36"/>
      <c r="Z35" s="36"/>
      <c r="AA35" s="36"/>
      <c r="AB35" s="36"/>
      <c r="AC35" s="36"/>
      <c r="AD35" s="36"/>
      <c r="AE35" s="36"/>
      <c r="AF35" s="36"/>
      <c r="AG35" s="36"/>
      <c r="AH35" s="36"/>
      <c r="AI35" s="30" t="str">
        <f t="shared" si="9"/>
        <v/>
      </c>
      <c r="AJ35" s="31" t="str">
        <f t="shared" si="4"/>
        <v/>
      </c>
      <c r="AK35" s="30" t="str">
        <f>IF(AI35="","",VLOOKUP(AJ35,Table1[],2,TRUE))</f>
        <v/>
      </c>
      <c r="AL35" s="40" t="str">
        <f t="shared" si="5"/>
        <v/>
      </c>
      <c r="AM35" s="41" t="str">
        <f t="shared" si="6"/>
        <v/>
      </c>
      <c r="AN35" s="42" t="str">
        <f>IF(AL35="","",VLOOKUP(AM35,Table1[],2,TRUE))</f>
        <v/>
      </c>
      <c r="AO35" s="27" t="str">
        <f>IF(AND(AJ35="",AM35=""),"",IF(OR(AJ35="-",AM35="-"),"-",IF(AND(AJ$3&lt;&gt;0,AM$3&lt;&gt;0),VLOOKUP(AVERAGE(AJ35,AM35),Table1[],2,TRUE),IF(AND(AJ$3&lt;&gt;0,AM$3=0),AK35,AN35))))</f>
        <v/>
      </c>
      <c r="AP35" s="27"/>
      <c r="AQ35" s="84" t="str">
        <f t="shared" si="7"/>
        <v/>
      </c>
      <c r="AR35" s="85"/>
    </row>
    <row r="36" spans="1:44" x14ac:dyDescent="0.25">
      <c r="A36" s="35"/>
      <c r="B36" s="36"/>
      <c r="C36" s="36"/>
      <c r="D36" s="36"/>
      <c r="E36" s="36"/>
      <c r="F36" s="36"/>
      <c r="G36" s="36"/>
      <c r="H36" s="36"/>
      <c r="I36" s="36"/>
      <c r="J36" s="36"/>
      <c r="K36" s="36"/>
      <c r="L36" s="36"/>
      <c r="M36" s="30" t="str">
        <f t="shared" si="8"/>
        <v/>
      </c>
      <c r="N36" s="31" t="str">
        <f t="shared" si="0"/>
        <v/>
      </c>
      <c r="O36" s="30" t="str">
        <f>IF(M36="","",VLOOKUP(N36,Table1[],2,TRUE))</f>
        <v/>
      </c>
      <c r="P36" s="40" t="str">
        <f t="shared" si="1"/>
        <v/>
      </c>
      <c r="Q36" s="41" t="str">
        <f t="shared" si="2"/>
        <v/>
      </c>
      <c r="R36" s="42" t="str">
        <f>IF(P36="","",VLOOKUP(Q36,Table1[],2,TRUE))</f>
        <v/>
      </c>
      <c r="S36" s="27" t="str">
        <f>IF(AND(N36="",Q36=""),"",IF(OR(N36="-",Q36="-"),"-",IF(AND(N$3&lt;&gt;0,Q$3&lt;&gt;0),VLOOKUP(AVERAGE(N36,Q36),Table1[],2,TRUE),IF(AND(N$3&lt;&gt;0,Q$3=0),O36,R36))))</f>
        <v/>
      </c>
      <c r="T36" s="27"/>
      <c r="U36" s="84" t="str">
        <f t="shared" si="3"/>
        <v/>
      </c>
      <c r="V36" s="90"/>
      <c r="W36" s="35"/>
      <c r="X36" s="36"/>
      <c r="Y36" s="36"/>
      <c r="Z36" s="36"/>
      <c r="AA36" s="36"/>
      <c r="AB36" s="36"/>
      <c r="AC36" s="36"/>
      <c r="AD36" s="36"/>
      <c r="AE36" s="36"/>
      <c r="AF36" s="36"/>
      <c r="AG36" s="36"/>
      <c r="AH36" s="36"/>
      <c r="AI36" s="30" t="str">
        <f t="shared" si="9"/>
        <v/>
      </c>
      <c r="AJ36" s="31" t="str">
        <f t="shared" si="4"/>
        <v/>
      </c>
      <c r="AK36" s="30" t="str">
        <f>IF(AI36="","",VLOOKUP(AJ36,Table1[],2,TRUE))</f>
        <v/>
      </c>
      <c r="AL36" s="40" t="str">
        <f t="shared" si="5"/>
        <v/>
      </c>
      <c r="AM36" s="41" t="str">
        <f t="shared" si="6"/>
        <v/>
      </c>
      <c r="AN36" s="42" t="str">
        <f>IF(AL36="","",VLOOKUP(AM36,Table1[],2,TRUE))</f>
        <v/>
      </c>
      <c r="AO36" s="27" t="str">
        <f>IF(AND(AJ36="",AM36=""),"",IF(OR(AJ36="-",AM36="-"),"-",IF(AND(AJ$3&lt;&gt;0,AM$3&lt;&gt;0),VLOOKUP(AVERAGE(AJ36,AM36),Table1[],2,TRUE),IF(AND(AJ$3&lt;&gt;0,AM$3=0),AK36,AN36))))</f>
        <v/>
      </c>
      <c r="AP36" s="27"/>
      <c r="AQ36" s="84" t="str">
        <f t="shared" si="7"/>
        <v/>
      </c>
      <c r="AR36" s="85"/>
    </row>
    <row r="37" spans="1:44" x14ac:dyDescent="0.25">
      <c r="A37" s="35"/>
      <c r="B37" s="36"/>
      <c r="C37" s="36"/>
      <c r="D37" s="36"/>
      <c r="E37" s="36"/>
      <c r="F37" s="36"/>
      <c r="G37" s="36"/>
      <c r="H37" s="36"/>
      <c r="I37" s="36"/>
      <c r="J37" s="36"/>
      <c r="K37" s="36"/>
      <c r="L37" s="36"/>
      <c r="M37" s="30" t="str">
        <f t="shared" si="8"/>
        <v/>
      </c>
      <c r="N37" s="31" t="str">
        <f t="shared" si="0"/>
        <v/>
      </c>
      <c r="O37" s="30" t="str">
        <f>IF(M37="","",VLOOKUP(N37,Table1[],2,TRUE))</f>
        <v/>
      </c>
      <c r="P37" s="40" t="str">
        <f t="shared" si="1"/>
        <v/>
      </c>
      <c r="Q37" s="41" t="str">
        <f t="shared" si="2"/>
        <v/>
      </c>
      <c r="R37" s="42" t="str">
        <f>IF(P37="","",VLOOKUP(Q37,Table1[],2,TRUE))</f>
        <v/>
      </c>
      <c r="S37" s="27" t="str">
        <f>IF(AND(N37="",Q37=""),"",IF(OR(N37="-",Q37="-"),"-",IF(AND(N$3&lt;&gt;0,Q$3&lt;&gt;0),VLOOKUP(AVERAGE(N37,Q37),Table1[],2,TRUE),IF(AND(N$3&lt;&gt;0,Q$3=0),O37,R37))))</f>
        <v/>
      </c>
      <c r="T37" s="27"/>
      <c r="U37" s="84" t="str">
        <f t="shared" si="3"/>
        <v/>
      </c>
      <c r="V37" s="90"/>
      <c r="W37" s="35"/>
      <c r="X37" s="36"/>
      <c r="Y37" s="36"/>
      <c r="Z37" s="36"/>
      <c r="AA37" s="36"/>
      <c r="AB37" s="36"/>
      <c r="AC37" s="36"/>
      <c r="AD37" s="36"/>
      <c r="AE37" s="36"/>
      <c r="AF37" s="36"/>
      <c r="AG37" s="36"/>
      <c r="AH37" s="36"/>
      <c r="AI37" s="30" t="str">
        <f t="shared" si="9"/>
        <v/>
      </c>
      <c r="AJ37" s="31" t="str">
        <f t="shared" si="4"/>
        <v/>
      </c>
      <c r="AK37" s="30" t="str">
        <f>IF(AI37="","",VLOOKUP(AJ37,Table1[],2,TRUE))</f>
        <v/>
      </c>
      <c r="AL37" s="40" t="str">
        <f t="shared" si="5"/>
        <v/>
      </c>
      <c r="AM37" s="41" t="str">
        <f t="shared" si="6"/>
        <v/>
      </c>
      <c r="AN37" s="42" t="str">
        <f>IF(AL37="","",VLOOKUP(AM37,Table1[],2,TRUE))</f>
        <v/>
      </c>
      <c r="AO37" s="27" t="str">
        <f>IF(AND(AJ37="",AM37=""),"",IF(OR(AJ37="-",AM37="-"),"-",IF(AND(AJ$3&lt;&gt;0,AM$3&lt;&gt;0),VLOOKUP(AVERAGE(AJ37,AM37),Table1[],2,TRUE),IF(AND(AJ$3&lt;&gt;0,AM$3=0),AK37,AN37))))</f>
        <v/>
      </c>
      <c r="AP37" s="27"/>
      <c r="AQ37" s="84" t="str">
        <f t="shared" si="7"/>
        <v/>
      </c>
      <c r="AR37" s="85"/>
    </row>
    <row r="38" spans="1:44" x14ac:dyDescent="0.25">
      <c r="A38" s="35"/>
      <c r="B38" s="36"/>
      <c r="C38" s="36"/>
      <c r="D38" s="36"/>
      <c r="E38" s="36"/>
      <c r="F38" s="36"/>
      <c r="G38" s="36"/>
      <c r="H38" s="36"/>
      <c r="I38" s="36"/>
      <c r="J38" s="36"/>
      <c r="K38" s="36"/>
      <c r="L38" s="36"/>
      <c r="M38" s="30" t="str">
        <f t="shared" si="8"/>
        <v/>
      </c>
      <c r="N38" s="31" t="str">
        <f t="shared" si="0"/>
        <v/>
      </c>
      <c r="O38" s="30" t="str">
        <f>IF(M38="","",VLOOKUP(N38,Table1[],2,TRUE))</f>
        <v/>
      </c>
      <c r="P38" s="40" t="str">
        <f t="shared" si="1"/>
        <v/>
      </c>
      <c r="Q38" s="41" t="str">
        <f t="shared" si="2"/>
        <v/>
      </c>
      <c r="R38" s="42" t="str">
        <f>IF(P38="","",VLOOKUP(Q38,Table1[],2,TRUE))</f>
        <v/>
      </c>
      <c r="S38" s="27" t="str">
        <f>IF(AND(N38="",Q38=""),"",IF(OR(N38="-",Q38="-"),"-",IF(AND(N$3&lt;&gt;0,Q$3&lt;&gt;0),VLOOKUP(AVERAGE(N38,Q38),Table1[],2,TRUE),IF(AND(N$3&lt;&gt;0,Q$3=0),O38,R38))))</f>
        <v/>
      </c>
      <c r="T38" s="27"/>
      <c r="U38" s="84" t="str">
        <f t="shared" si="3"/>
        <v/>
      </c>
      <c r="V38" s="90"/>
      <c r="W38" s="35"/>
      <c r="X38" s="36"/>
      <c r="Y38" s="36"/>
      <c r="Z38" s="36"/>
      <c r="AA38" s="36"/>
      <c r="AB38" s="36"/>
      <c r="AC38" s="36"/>
      <c r="AD38" s="36"/>
      <c r="AE38" s="36"/>
      <c r="AF38" s="36"/>
      <c r="AG38" s="36"/>
      <c r="AH38" s="36"/>
      <c r="AI38" s="30" t="str">
        <f t="shared" si="9"/>
        <v/>
      </c>
      <c r="AJ38" s="31" t="str">
        <f t="shared" si="4"/>
        <v/>
      </c>
      <c r="AK38" s="30" t="str">
        <f>IF(AI38="","",VLOOKUP(AJ38,Table1[],2,TRUE))</f>
        <v/>
      </c>
      <c r="AL38" s="40" t="str">
        <f t="shared" si="5"/>
        <v/>
      </c>
      <c r="AM38" s="41" t="str">
        <f t="shared" si="6"/>
        <v/>
      </c>
      <c r="AN38" s="42" t="str">
        <f>IF(AL38="","",VLOOKUP(AM38,Table1[],2,TRUE))</f>
        <v/>
      </c>
      <c r="AO38" s="27" t="str">
        <f>IF(AND(AJ38="",AM38=""),"",IF(OR(AJ38="-",AM38="-"),"-",IF(AND(AJ$3&lt;&gt;0,AM$3&lt;&gt;0),VLOOKUP(AVERAGE(AJ38,AM38),Table1[],2,TRUE),IF(AND(AJ$3&lt;&gt;0,AM$3=0),AK38,AN38))))</f>
        <v/>
      </c>
      <c r="AP38" s="27"/>
      <c r="AQ38" s="84" t="str">
        <f t="shared" si="7"/>
        <v/>
      </c>
      <c r="AR38" s="85"/>
    </row>
    <row r="39" spans="1:44" x14ac:dyDescent="0.25">
      <c r="A39" s="35"/>
      <c r="B39" s="36"/>
      <c r="C39" s="36"/>
      <c r="D39" s="36"/>
      <c r="E39" s="36"/>
      <c r="F39" s="36"/>
      <c r="G39" s="36"/>
      <c r="H39" s="36"/>
      <c r="I39" s="36"/>
      <c r="J39" s="36"/>
      <c r="K39" s="36"/>
      <c r="L39" s="36"/>
      <c r="M39" s="30" t="str">
        <f t="shared" si="8"/>
        <v/>
      </c>
      <c r="N39" s="31" t="str">
        <f t="shared" si="0"/>
        <v/>
      </c>
      <c r="O39" s="30" t="str">
        <f>IF(M39="","",VLOOKUP(N39,Table1[],2,TRUE))</f>
        <v/>
      </c>
      <c r="P39" s="40" t="str">
        <f t="shared" si="1"/>
        <v/>
      </c>
      <c r="Q39" s="41" t="str">
        <f t="shared" si="2"/>
        <v/>
      </c>
      <c r="R39" s="42" t="str">
        <f>IF(P39="","",VLOOKUP(Q39,Table1[],2,TRUE))</f>
        <v/>
      </c>
      <c r="S39" s="27" t="str">
        <f>IF(AND(N39="",Q39=""),"",IF(OR(N39="-",Q39="-"),"-",IF(AND(N$3&lt;&gt;0,Q$3&lt;&gt;0),VLOOKUP(AVERAGE(N39,Q39),Table1[],2,TRUE),IF(AND(N$3&lt;&gt;0,Q$3=0),O39,R39))))</f>
        <v/>
      </c>
      <c r="T39" s="27"/>
      <c r="U39" s="84" t="str">
        <f t="shared" si="3"/>
        <v/>
      </c>
      <c r="V39" s="90"/>
      <c r="W39" s="35"/>
      <c r="X39" s="36"/>
      <c r="Y39" s="36"/>
      <c r="Z39" s="36"/>
      <c r="AA39" s="36"/>
      <c r="AB39" s="36"/>
      <c r="AC39" s="36"/>
      <c r="AD39" s="36"/>
      <c r="AE39" s="36"/>
      <c r="AF39" s="36"/>
      <c r="AG39" s="36"/>
      <c r="AH39" s="36"/>
      <c r="AI39" s="30" t="str">
        <f t="shared" si="9"/>
        <v/>
      </c>
      <c r="AJ39" s="31" t="str">
        <f t="shared" si="4"/>
        <v/>
      </c>
      <c r="AK39" s="30" t="str">
        <f>IF(AI39="","",VLOOKUP(AJ39,Table1[],2,TRUE))</f>
        <v/>
      </c>
      <c r="AL39" s="40" t="str">
        <f t="shared" si="5"/>
        <v/>
      </c>
      <c r="AM39" s="41" t="str">
        <f t="shared" si="6"/>
        <v/>
      </c>
      <c r="AN39" s="42" t="str">
        <f>IF(AL39="","",VLOOKUP(AM39,Table1[],2,TRUE))</f>
        <v/>
      </c>
      <c r="AO39" s="27" t="str">
        <f>IF(AND(AJ39="",AM39=""),"",IF(OR(AJ39="-",AM39="-"),"-",IF(AND(AJ$3&lt;&gt;0,AM$3&lt;&gt;0),VLOOKUP(AVERAGE(AJ39,AM39),Table1[],2,TRUE),IF(AND(AJ$3&lt;&gt;0,AM$3=0),AK39,AN39))))</f>
        <v/>
      </c>
      <c r="AP39" s="27"/>
      <c r="AQ39" s="84" t="str">
        <f t="shared" si="7"/>
        <v/>
      </c>
      <c r="AR39" s="85"/>
    </row>
    <row r="40" spans="1:44" ht="15.75" thickBot="1" x14ac:dyDescent="0.3">
      <c r="A40" s="37"/>
      <c r="B40" s="38"/>
      <c r="C40" s="38"/>
      <c r="D40" s="38"/>
      <c r="E40" s="38"/>
      <c r="F40" s="38"/>
      <c r="G40" s="38"/>
      <c r="H40" s="38"/>
      <c r="I40" s="38"/>
      <c r="J40" s="38"/>
      <c r="K40" s="38"/>
      <c r="L40" s="38"/>
      <c r="M40" s="32" t="str">
        <f t="shared" si="8"/>
        <v/>
      </c>
      <c r="N40" s="44" t="str">
        <f t="shared" si="0"/>
        <v/>
      </c>
      <c r="O40" s="32" t="str">
        <f>IF(M40="","",VLOOKUP(N40,Table1[],2,TRUE))</f>
        <v/>
      </c>
      <c r="P40" s="45" t="str">
        <f t="shared" si="1"/>
        <v/>
      </c>
      <c r="Q40" s="24" t="str">
        <f t="shared" si="2"/>
        <v/>
      </c>
      <c r="R40" s="25" t="str">
        <f>IF(P40="","",VLOOKUP(Q40,Table1[],2,TRUE))</f>
        <v/>
      </c>
      <c r="S40" s="82" t="str">
        <f>IF(AND(N40="",Q40=""),"",IF(OR(N40="-",Q40="-"),"-",IF(AND(N$3&lt;&gt;0,Q$3&lt;&gt;0),VLOOKUP(AVERAGE(N40,Q40),Table1[],2,TRUE),IF(AND(N$3&lt;&gt;0,Q$3=0),O40,R40))))</f>
        <v/>
      </c>
      <c r="T40" s="81"/>
      <c r="U40" s="34" t="str">
        <f t="shared" si="3"/>
        <v/>
      </c>
      <c r="V40" s="91"/>
      <c r="W40" s="37"/>
      <c r="X40" s="38"/>
      <c r="Y40" s="38"/>
      <c r="Z40" s="38"/>
      <c r="AA40" s="38"/>
      <c r="AB40" s="38"/>
      <c r="AC40" s="38"/>
      <c r="AD40" s="38"/>
      <c r="AE40" s="38"/>
      <c r="AF40" s="38"/>
      <c r="AG40" s="38"/>
      <c r="AH40" s="38"/>
      <c r="AI40" s="32" t="str">
        <f t="shared" si="9"/>
        <v/>
      </c>
      <c r="AJ40" s="44" t="str">
        <f t="shared" si="4"/>
        <v/>
      </c>
      <c r="AK40" s="32" t="str">
        <f>IF(AI40="","",VLOOKUP(AJ40,Table1[],2,TRUE))</f>
        <v/>
      </c>
      <c r="AL40" s="45" t="str">
        <f t="shared" si="5"/>
        <v/>
      </c>
      <c r="AM40" s="24" t="str">
        <f t="shared" si="6"/>
        <v/>
      </c>
      <c r="AN40" s="25" t="str">
        <f>IF(AL40="","",VLOOKUP(AM40,Table1[],2,TRUE))</f>
        <v/>
      </c>
      <c r="AO40" s="82" t="str">
        <f>IF(AND(AJ40="",AM40=""),"",IF(OR(AJ40="-",AM40="-"),"-",IF(AND(AJ$3&lt;&gt;0,AM$3&lt;&gt;0),VLOOKUP(AVERAGE(AJ40,AM40),Table1[],2,TRUE),IF(AND(AJ$3&lt;&gt;0,AM$3=0),AK40,AN40))))</f>
        <v/>
      </c>
      <c r="AP40" s="81"/>
      <c r="AQ40" s="34" t="str">
        <f t="shared" si="7"/>
        <v/>
      </c>
      <c r="AR40" s="86"/>
    </row>
    <row r="41" spans="1:44" x14ac:dyDescent="0.25">
      <c r="F41" s="9"/>
      <c r="G41" s="9"/>
      <c r="H41" s="9"/>
      <c r="I41" s="9"/>
      <c r="J41" s="9"/>
      <c r="L41" s="9"/>
      <c r="N41" s="9"/>
      <c r="Q41" s="9"/>
      <c r="T41" s="9"/>
      <c r="U41" s="9"/>
      <c r="V41" s="9"/>
    </row>
    <row r="42" spans="1:44" x14ac:dyDescent="0.25">
      <c r="F42" s="9"/>
      <c r="G42" s="9"/>
      <c r="H42" s="9"/>
      <c r="I42" s="9"/>
      <c r="J42" s="9"/>
      <c r="L42" s="9"/>
      <c r="N42" s="9"/>
      <c r="Q42" s="9"/>
      <c r="T42" s="9"/>
      <c r="U42" s="9"/>
      <c r="V42" s="9"/>
    </row>
    <row r="43" spans="1:44" x14ac:dyDescent="0.25">
      <c r="F43" s="9"/>
      <c r="G43" s="9"/>
      <c r="H43" s="9"/>
      <c r="I43" s="9"/>
      <c r="J43" s="9"/>
      <c r="L43" s="9"/>
      <c r="N43" s="9"/>
      <c r="Q43" s="9"/>
      <c r="T43" s="9"/>
      <c r="U43" s="9"/>
      <c r="V43" s="9"/>
    </row>
    <row r="44" spans="1:44" x14ac:dyDescent="0.25">
      <c r="F44" s="9"/>
      <c r="G44" s="9"/>
      <c r="H44" s="9"/>
      <c r="I44" s="9"/>
      <c r="J44" s="9"/>
      <c r="L44" s="9"/>
      <c r="N44" s="9"/>
      <c r="Q44" s="9"/>
      <c r="T44" s="9"/>
      <c r="U44" s="9"/>
      <c r="V44" s="9"/>
    </row>
    <row r="45" spans="1:44" x14ac:dyDescent="0.25">
      <c r="F45" s="9"/>
      <c r="G45" s="9"/>
      <c r="H45" s="9"/>
      <c r="I45" s="9"/>
      <c r="J45" s="9"/>
      <c r="L45" s="9"/>
      <c r="N45" s="9"/>
      <c r="Q45" s="9"/>
      <c r="T45" s="9"/>
      <c r="U45" s="9"/>
      <c r="V45" s="9"/>
    </row>
    <row r="46" spans="1:44" x14ac:dyDescent="0.25">
      <c r="F46" s="9"/>
      <c r="G46" s="9"/>
      <c r="H46" s="9"/>
      <c r="I46" s="9"/>
      <c r="J46" s="9"/>
      <c r="L46" s="9"/>
      <c r="N46" s="9"/>
      <c r="Q46" s="9"/>
      <c r="T46" s="9"/>
      <c r="U46" s="9"/>
    </row>
    <row r="47" spans="1:44" x14ac:dyDescent="0.25">
      <c r="F47" s="9"/>
      <c r="G47" s="9"/>
      <c r="H47" s="9"/>
      <c r="I47" s="9"/>
      <c r="J47" s="9"/>
      <c r="L47" s="9"/>
      <c r="N47" s="9"/>
      <c r="Q47" s="9"/>
      <c r="T47" s="9"/>
      <c r="U47" s="9"/>
    </row>
    <row r="48" spans="1:44"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sheetProtection sheet="1" objects="1" scenarios="1"/>
  <mergeCells count="30">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s>
  <conditionalFormatting sqref="T40">
    <cfRule type="expression" dxfId="20" priority="20">
      <formula>OR(ISNUMBER(SEARCH("D",T40)),ISNUMBER(SEARCH("E",T40)))</formula>
    </cfRule>
  </conditionalFormatting>
  <conditionalFormatting sqref="U40">
    <cfRule type="expression" dxfId="19" priority="18">
      <formula>OR(ISNUMBER(SEARCH("D",U40)),ISNUMBER(SEARCH("E",U40)))</formula>
    </cfRule>
  </conditionalFormatting>
  <conditionalFormatting sqref="A5:A40 C5:C40 K5:K40 E5:E40 G5:G40 I5:I40">
    <cfRule type="expression" dxfId="18" priority="24">
      <formula>NOT(ISBLANK(A5))</formula>
    </cfRule>
    <cfRule type="expression" dxfId="17" priority="25">
      <formula>IF(NOT($B5=""),TRUE,FALSE)</formula>
    </cfRule>
  </conditionalFormatting>
  <conditionalFormatting sqref="O5:O40 R5:S39 R40">
    <cfRule type="expression" dxfId="16" priority="23">
      <formula>OR(ISNUMBER(SEARCH("D",O5)),ISNUMBER(SEARCH("E",O5)))</formula>
    </cfRule>
  </conditionalFormatting>
  <conditionalFormatting sqref="T5:T39">
    <cfRule type="expression" dxfId="15" priority="22">
      <formula>OR(ISNUMBER(SEARCH("D",T5)),ISNUMBER(SEARCH("E",T5)))</formula>
    </cfRule>
  </conditionalFormatting>
  <conditionalFormatting sqref="S40">
    <cfRule type="expression" dxfId="14" priority="21">
      <formula>OR(ISNUMBER(SEARCH("D",S40)),ISNUMBER(SEARCH("E",S40)))</formula>
    </cfRule>
  </conditionalFormatting>
  <conditionalFormatting sqref="U5:U39">
    <cfRule type="expression" dxfId="13" priority="19">
      <formula>OR(ISNUMBER(SEARCH("D",U5)),ISNUMBER(SEARCH("E",U5)))</formula>
    </cfRule>
  </conditionalFormatting>
  <conditionalFormatting sqref="W5:W8 Y5:Y40 AC5:AC40 AE5:AE40 AA5:AA40 AG5:AG40 W11:W40">
    <cfRule type="expression" dxfId="12" priority="16">
      <formula>NOT(ISBLANK(W5))</formula>
    </cfRule>
    <cfRule type="expression" dxfId="11" priority="17">
      <formula>IF(NOT($B5=""),TRUE,FALSE)</formula>
    </cfRule>
  </conditionalFormatting>
  <conditionalFormatting sqref="AK5:AK40 AN5:AO39 AN40">
    <cfRule type="expression" dxfId="10" priority="15">
      <formula>OR(ISNUMBER(SEARCH("D",AK5)),ISNUMBER(SEARCH("E",AK5)))</formula>
    </cfRule>
  </conditionalFormatting>
  <conditionalFormatting sqref="AP5:AP39">
    <cfRule type="expression" dxfId="9" priority="14">
      <formula>OR(ISNUMBER(SEARCH("D",AP5)),ISNUMBER(SEARCH("E",AP5)))</formula>
    </cfRule>
  </conditionalFormatting>
  <conditionalFormatting sqref="AQ40">
    <cfRule type="expression" dxfId="8" priority="10">
      <formula>OR(ISNUMBER(SEARCH("D",AQ40)),ISNUMBER(SEARCH("E",AQ40)))</formula>
    </cfRule>
  </conditionalFormatting>
  <conditionalFormatting sqref="AO40">
    <cfRule type="expression" dxfId="7" priority="13">
      <formula>OR(ISNUMBER(SEARCH("D",AO40)),ISNUMBER(SEARCH("E",AO40)))</formula>
    </cfRule>
  </conditionalFormatting>
  <conditionalFormatting sqref="AP40">
    <cfRule type="expression" dxfId="6" priority="12">
      <formula>OR(ISNUMBER(SEARCH("D",AP40)),ISNUMBER(SEARCH("E",AP40)))</formula>
    </cfRule>
  </conditionalFormatting>
  <conditionalFormatting sqref="AQ5:AQ39">
    <cfRule type="expression" dxfId="5" priority="11">
      <formula>OR(ISNUMBER(SEARCH("D",AQ5)),ISNUMBER(SEARCH("E",AQ5)))</formula>
    </cfRule>
  </conditionalFormatting>
  <conditionalFormatting sqref="W9:W10">
    <cfRule type="expression" dxfId="4" priority="8">
      <formula>NOT(ISBLANK(W9))</formula>
    </cfRule>
    <cfRule type="expression" dxfId="3"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Normal="100" workbookViewId="0">
      <selection activeCell="B13" sqref="B13"/>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56"/>
      <c r="B2" s="2"/>
      <c r="C2" s="16"/>
    </row>
    <row r="3" spans="1:5" x14ac:dyDescent="0.25">
      <c r="A3" s="57">
        <v>0</v>
      </c>
      <c r="B3" s="1" t="s">
        <v>3</v>
      </c>
      <c r="C3" s="3">
        <v>1</v>
      </c>
    </row>
    <row r="4" spans="1:5" x14ac:dyDescent="0.25">
      <c r="A4" s="57">
        <v>0.09</v>
      </c>
      <c r="B4" s="1" t="s">
        <v>4</v>
      </c>
      <c r="C4" s="3">
        <v>2</v>
      </c>
      <c r="D4" s="33"/>
      <c r="E4" s="60"/>
    </row>
    <row r="5" spans="1:5" x14ac:dyDescent="0.25">
      <c r="A5" s="57">
        <v>0.17</v>
      </c>
      <c r="B5" s="1" t="s">
        <v>5</v>
      </c>
      <c r="C5" s="3">
        <v>3</v>
      </c>
      <c r="D5" s="33"/>
    </row>
    <row r="6" spans="1:5" x14ac:dyDescent="0.25">
      <c r="A6" s="57">
        <v>0.25</v>
      </c>
      <c r="B6" s="1" t="s">
        <v>6</v>
      </c>
      <c r="C6" s="3">
        <v>4</v>
      </c>
      <c r="D6" s="33"/>
    </row>
    <row r="7" spans="1:5" x14ac:dyDescent="0.25">
      <c r="A7" s="57">
        <v>0.32</v>
      </c>
      <c r="B7" s="1" t="s">
        <v>7</v>
      </c>
      <c r="C7" s="3">
        <v>5</v>
      </c>
      <c r="D7" s="33"/>
    </row>
    <row r="8" spans="1:5" x14ac:dyDescent="0.25">
      <c r="A8" s="57">
        <v>0.38</v>
      </c>
      <c r="B8" s="1" t="s">
        <v>8</v>
      </c>
      <c r="C8" s="3">
        <v>6</v>
      </c>
      <c r="D8" s="33"/>
    </row>
    <row r="9" spans="1:5" x14ac:dyDescent="0.25">
      <c r="A9" s="57">
        <v>0.45</v>
      </c>
      <c r="B9" s="1" t="s">
        <v>9</v>
      </c>
      <c r="C9" s="3">
        <v>7</v>
      </c>
      <c r="D9" s="33"/>
    </row>
    <row r="10" spans="1:5" x14ac:dyDescent="0.25">
      <c r="A10" s="57">
        <v>0.52</v>
      </c>
      <c r="B10" s="1" t="s">
        <v>10</v>
      </c>
      <c r="C10" s="3">
        <v>8</v>
      </c>
      <c r="D10" s="33"/>
    </row>
    <row r="11" spans="1:5" x14ac:dyDescent="0.25">
      <c r="A11" s="57">
        <v>0.59</v>
      </c>
      <c r="B11" s="1" t="s">
        <v>11</v>
      </c>
      <c r="C11" s="3">
        <v>9</v>
      </c>
      <c r="D11" s="33"/>
    </row>
    <row r="12" spans="1:5" x14ac:dyDescent="0.25">
      <c r="A12" s="57">
        <v>0.65</v>
      </c>
      <c r="B12" s="1" t="s">
        <v>12</v>
      </c>
      <c r="C12" s="3">
        <v>10</v>
      </c>
      <c r="D12" s="33"/>
    </row>
    <row r="13" spans="1:5" x14ac:dyDescent="0.25">
      <c r="A13" s="57">
        <v>0.7</v>
      </c>
      <c r="B13" s="1" t="s">
        <v>13</v>
      </c>
      <c r="C13" s="3">
        <v>11</v>
      </c>
      <c r="D13" s="33"/>
    </row>
    <row r="14" spans="1:5" x14ac:dyDescent="0.25">
      <c r="A14" s="57">
        <v>0.75</v>
      </c>
      <c r="B14" s="1" t="s">
        <v>14</v>
      </c>
      <c r="C14" s="3">
        <v>12</v>
      </c>
      <c r="D14" s="33"/>
    </row>
    <row r="15" spans="1:5" x14ac:dyDescent="0.25">
      <c r="A15" s="57">
        <v>0.8</v>
      </c>
      <c r="B15" s="1" t="s">
        <v>15</v>
      </c>
      <c r="C15" s="3">
        <v>13</v>
      </c>
      <c r="D15" s="33"/>
    </row>
    <row r="16" spans="1:5" x14ac:dyDescent="0.25">
      <c r="A16" s="57">
        <v>0.87</v>
      </c>
      <c r="B16" s="1" t="s">
        <v>16</v>
      </c>
      <c r="C16" s="3">
        <v>14</v>
      </c>
      <c r="D16" s="33"/>
    </row>
    <row r="17" spans="1:4" x14ac:dyDescent="0.25">
      <c r="A17" s="57">
        <v>0.94</v>
      </c>
      <c r="B17" s="1" t="s">
        <v>17</v>
      </c>
      <c r="C17" s="3">
        <v>15</v>
      </c>
      <c r="D17" s="33"/>
    </row>
    <row r="18" spans="1:4" x14ac:dyDescent="0.25">
      <c r="A18" s="58" t="s">
        <v>18</v>
      </c>
      <c r="B18" s="7" t="s">
        <v>18</v>
      </c>
      <c r="C18" s="8"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4" sqref="E14"/>
    </sheetView>
  </sheetViews>
  <sheetFormatPr defaultRowHeight="15" x14ac:dyDescent="0.25"/>
  <cols>
    <col min="1" max="1" width="9.140625" style="67"/>
    <col min="2" max="2" width="16.42578125" style="68" bestFit="1" customWidth="1"/>
    <col min="3" max="3" width="9.28515625" style="68" bestFit="1" customWidth="1"/>
    <col min="4" max="4" width="10.7109375" style="68" bestFit="1" customWidth="1"/>
    <col min="5" max="5" width="63.5703125" style="69" customWidth="1"/>
    <col min="6" max="6" width="9.140625" style="67"/>
    <col min="7" max="7" width="20.28515625" style="67" bestFit="1" customWidth="1"/>
    <col min="8" max="8" width="1.5703125" style="67" customWidth="1"/>
    <col min="9" max="16384" width="9.140625" style="67"/>
  </cols>
  <sheetData>
    <row r="1" spans="2:7" ht="15.75" thickBot="1" x14ac:dyDescent="0.3"/>
    <row r="2" spans="2:7" ht="15.75" thickBot="1" x14ac:dyDescent="0.3">
      <c r="B2" s="70" t="s">
        <v>44</v>
      </c>
      <c r="C2" s="71" t="s">
        <v>47</v>
      </c>
      <c r="D2" s="71" t="s">
        <v>45</v>
      </c>
      <c r="E2" s="72" t="s">
        <v>46</v>
      </c>
      <c r="G2" s="73"/>
    </row>
    <row r="3" spans="2:7" ht="75" x14ac:dyDescent="0.25">
      <c r="B3" s="74" t="s">
        <v>50</v>
      </c>
      <c r="C3" s="75" t="s">
        <v>48</v>
      </c>
      <c r="D3" s="76">
        <v>43641</v>
      </c>
      <c r="E3" s="77" t="s">
        <v>51</v>
      </c>
    </row>
    <row r="4" spans="2:7" ht="45" x14ac:dyDescent="0.25">
      <c r="B4" s="78" t="s">
        <v>49</v>
      </c>
      <c r="C4" s="78" t="s">
        <v>48</v>
      </c>
      <c r="D4" s="79">
        <v>43643</v>
      </c>
      <c r="E4" s="80" t="s">
        <v>52</v>
      </c>
    </row>
    <row r="5" spans="2:7" ht="135" x14ac:dyDescent="0.25">
      <c r="B5" s="78" t="s">
        <v>60</v>
      </c>
      <c r="C5" s="78" t="s">
        <v>48</v>
      </c>
      <c r="D5" s="79">
        <v>43655</v>
      </c>
      <c r="E5" s="80" t="s">
        <v>59</v>
      </c>
    </row>
    <row r="6" spans="2:7" x14ac:dyDescent="0.25">
      <c r="B6" s="78" t="s">
        <v>61</v>
      </c>
      <c r="C6" s="78" t="s">
        <v>48</v>
      </c>
      <c r="D6" s="79">
        <v>43663</v>
      </c>
      <c r="E6" s="80" t="s">
        <v>62</v>
      </c>
    </row>
    <row r="7" spans="2:7" ht="60" x14ac:dyDescent="0.25">
      <c r="B7" s="78" t="s">
        <v>63</v>
      </c>
      <c r="C7" s="78" t="s">
        <v>48</v>
      </c>
      <c r="D7" s="79">
        <v>43678</v>
      </c>
      <c r="E7" s="80" t="s">
        <v>64</v>
      </c>
    </row>
    <row r="8" spans="2:7" x14ac:dyDescent="0.25">
      <c r="B8" s="78" t="s">
        <v>65</v>
      </c>
      <c r="C8" s="78" t="s">
        <v>48</v>
      </c>
      <c r="D8" s="79">
        <v>43679</v>
      </c>
      <c r="E8" s="80" t="s">
        <v>66</v>
      </c>
    </row>
    <row r="9" spans="2:7" x14ac:dyDescent="0.25">
      <c r="B9" s="78" t="s">
        <v>67</v>
      </c>
      <c r="C9" s="78" t="s">
        <v>48</v>
      </c>
      <c r="D9" s="79">
        <v>43684</v>
      </c>
      <c r="E9" s="80" t="s">
        <v>68</v>
      </c>
    </row>
    <row r="10" spans="2:7" ht="30" x14ac:dyDescent="0.25">
      <c r="B10" s="78" t="s">
        <v>69</v>
      </c>
      <c r="C10" s="78" t="s">
        <v>48</v>
      </c>
      <c r="D10" s="79">
        <v>43738</v>
      </c>
      <c r="E10" s="80" t="s">
        <v>70</v>
      </c>
    </row>
    <row r="11" spans="2:7" ht="45" x14ac:dyDescent="0.25">
      <c r="B11" s="78" t="s">
        <v>71</v>
      </c>
      <c r="C11" s="78" t="s">
        <v>48</v>
      </c>
      <c r="D11" s="79">
        <v>43742</v>
      </c>
      <c r="E11" s="80" t="s">
        <v>72</v>
      </c>
    </row>
    <row r="12" spans="2:7" x14ac:dyDescent="0.25">
      <c r="B12" s="78" t="s">
        <v>127</v>
      </c>
      <c r="C12" s="78" t="s">
        <v>48</v>
      </c>
      <c r="D12" s="78" t="s">
        <v>128</v>
      </c>
      <c r="E12" s="80" t="s">
        <v>128</v>
      </c>
    </row>
    <row r="13" spans="2:7" ht="30" x14ac:dyDescent="0.25">
      <c r="B13" s="78" t="s">
        <v>129</v>
      </c>
      <c r="C13" s="78" t="s">
        <v>48</v>
      </c>
      <c r="D13" s="197">
        <v>43810</v>
      </c>
      <c r="E13" s="80" t="s">
        <v>130</v>
      </c>
    </row>
    <row r="14" spans="2:7" x14ac:dyDescent="0.25">
      <c r="B14" s="78"/>
      <c r="C14" s="78"/>
      <c r="D14" s="78"/>
      <c r="E14" s="80"/>
    </row>
    <row r="15" spans="2:7" x14ac:dyDescent="0.25">
      <c r="B15" s="78"/>
      <c r="C15" s="78"/>
      <c r="D15" s="78"/>
      <c r="E15" s="80"/>
    </row>
    <row r="16" spans="2:7" x14ac:dyDescent="0.25">
      <c r="B16" s="78"/>
      <c r="C16" s="78"/>
      <c r="D16" s="78"/>
      <c r="E16" s="80"/>
    </row>
    <row r="17" spans="2:5" x14ac:dyDescent="0.25">
      <c r="B17" s="78"/>
      <c r="C17" s="78"/>
      <c r="D17" s="78"/>
      <c r="E17" s="80"/>
    </row>
    <row r="18" spans="2:5" x14ac:dyDescent="0.25">
      <c r="B18" s="78"/>
      <c r="C18" s="78"/>
      <c r="D18" s="78"/>
      <c r="E18" s="80"/>
    </row>
    <row r="19" spans="2:5" x14ac:dyDescent="0.25">
      <c r="B19" s="78"/>
      <c r="C19" s="78"/>
      <c r="D19" s="78"/>
      <c r="E19" s="80"/>
    </row>
    <row r="20" spans="2:5" x14ac:dyDescent="0.25">
      <c r="B20" s="78"/>
      <c r="C20" s="78"/>
      <c r="D20" s="78"/>
      <c r="E20" s="80"/>
    </row>
    <row r="21" spans="2:5" x14ac:dyDescent="0.25">
      <c r="B21" s="78"/>
      <c r="C21" s="78"/>
      <c r="D21" s="78"/>
      <c r="E21" s="80"/>
    </row>
    <row r="22" spans="2:5" x14ac:dyDescent="0.25">
      <c r="B22" s="78"/>
      <c r="C22" s="78"/>
      <c r="D22" s="78"/>
      <c r="E22" s="80"/>
    </row>
    <row r="23" spans="2:5" x14ac:dyDescent="0.25">
      <c r="B23" s="78"/>
      <c r="C23" s="78"/>
      <c r="D23" s="78"/>
      <c r="E23" s="80"/>
    </row>
    <row r="24" spans="2:5" x14ac:dyDescent="0.25">
      <c r="B24" s="78"/>
      <c r="C24" s="78"/>
      <c r="D24" s="78"/>
      <c r="E24" s="80"/>
    </row>
    <row r="25" spans="2:5" x14ac:dyDescent="0.25">
      <c r="B25" s="78"/>
      <c r="C25" s="78"/>
      <c r="D25" s="78"/>
      <c r="E25" s="80"/>
    </row>
    <row r="26" spans="2:5" x14ac:dyDescent="0.25">
      <c r="B26" s="78"/>
      <c r="C26" s="78"/>
      <c r="D26" s="78"/>
      <c r="E26" s="80"/>
    </row>
    <row r="27" spans="2:5" x14ac:dyDescent="0.25">
      <c r="B27" s="78"/>
      <c r="C27" s="78"/>
      <c r="D27" s="78"/>
      <c r="E27" s="80"/>
    </row>
    <row r="28" spans="2:5" x14ac:dyDescent="0.25">
      <c r="B28" s="78"/>
      <c r="C28" s="78"/>
      <c r="D28" s="78"/>
      <c r="E28" s="80"/>
    </row>
    <row r="29" spans="2:5" x14ac:dyDescent="0.25">
      <c r="B29" s="78"/>
      <c r="C29" s="78"/>
      <c r="D29" s="78"/>
      <c r="E29" s="80"/>
    </row>
    <row r="30" spans="2:5" x14ac:dyDescent="0.25">
      <c r="B30" s="78"/>
      <c r="C30" s="78"/>
      <c r="D30" s="78"/>
      <c r="E30" s="80"/>
    </row>
    <row r="31" spans="2:5" x14ac:dyDescent="0.25">
      <c r="B31" s="78"/>
      <c r="C31" s="78"/>
      <c r="D31" s="78"/>
      <c r="E31" s="80"/>
    </row>
    <row r="32" spans="2:5" x14ac:dyDescent="0.25">
      <c r="B32" s="78"/>
      <c r="C32" s="78"/>
      <c r="D32" s="78"/>
      <c r="E32" s="80"/>
    </row>
    <row r="33" spans="2:5" x14ac:dyDescent="0.25">
      <c r="B33" s="78"/>
      <c r="C33" s="78"/>
      <c r="D33" s="78"/>
      <c r="E33" s="80"/>
    </row>
    <row r="34" spans="2:5" x14ac:dyDescent="0.25">
      <c r="B34" s="78"/>
      <c r="C34" s="78"/>
      <c r="D34" s="78"/>
      <c r="E34" s="80"/>
    </row>
    <row r="35" spans="2:5" x14ac:dyDescent="0.25">
      <c r="B35" s="78"/>
      <c r="C35" s="78"/>
      <c r="D35" s="78"/>
      <c r="E35" s="80"/>
    </row>
    <row r="36" spans="2:5" x14ac:dyDescent="0.25">
      <c r="B36" s="78"/>
      <c r="C36" s="78"/>
      <c r="D36" s="78"/>
      <c r="E36" s="80"/>
    </row>
    <row r="37" spans="2:5" x14ac:dyDescent="0.25">
      <c r="B37" s="78"/>
      <c r="C37" s="78"/>
      <c r="D37" s="78"/>
      <c r="E37" s="80"/>
    </row>
    <row r="100" spans="1:1" x14ac:dyDescent="0.25">
      <c r="A100" s="66" t="s">
        <v>53</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2019-12-11T06:59:16Z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