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9DF35C99-C40E-4B60-92D3-59D2FF75970B}" xr6:coauthVersionLast="46" xr6:coauthVersionMax="46" xr10:uidLastSave="{00000000-0000-0000-0000-000000000000}"/>
  <bookViews>
    <workbookView xWindow="-120" yWindow="-16320" windowWidth="29040" windowHeight="15840" tabRatio="723" activeTab="2"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40" i="14" l="1"/>
  <c r="AF39" i="14"/>
  <c r="AF38" i="14"/>
  <c r="AF37" i="14"/>
  <c r="AF36" i="14"/>
  <c r="AF35" i="14"/>
  <c r="AF34" i="14"/>
  <c r="AF33" i="14"/>
  <c r="AF32" i="14"/>
  <c r="AF31" i="14"/>
  <c r="AF30" i="14"/>
  <c r="AF29" i="14"/>
  <c r="AF28" i="14"/>
  <c r="AF27" i="14"/>
  <c r="AF26" i="14"/>
  <c r="AF25" i="14"/>
  <c r="AF24" i="14"/>
  <c r="AF23" i="14"/>
  <c r="AF22" i="14"/>
  <c r="AF21" i="14"/>
  <c r="AF20" i="14"/>
  <c r="AF19" i="14"/>
  <c r="AF18" i="14"/>
  <c r="AF17" i="14"/>
  <c r="AF16" i="14"/>
  <c r="AF15" i="14"/>
  <c r="AF14" i="14"/>
  <c r="AF13" i="14"/>
  <c r="AF12" i="14"/>
  <c r="AF11" i="14"/>
  <c r="AF10" i="14"/>
  <c r="AF9" i="14"/>
  <c r="AF8" i="14"/>
  <c r="AF7" i="14"/>
  <c r="AF6" i="14"/>
  <c r="AD40" i="14"/>
  <c r="AD39" i="14"/>
  <c r="AD38" i="14"/>
  <c r="AD37" i="14"/>
  <c r="AD36" i="14"/>
  <c r="AD35" i="14"/>
  <c r="AD34" i="14"/>
  <c r="AD33" i="14"/>
  <c r="AD32" i="14"/>
  <c r="AD31" i="14"/>
  <c r="AD30" i="14"/>
  <c r="AD29" i="14"/>
  <c r="AD28" i="14"/>
  <c r="AD27" i="14"/>
  <c r="AD26" i="14"/>
  <c r="AD25" i="14"/>
  <c r="AD24" i="14"/>
  <c r="AD23" i="14"/>
  <c r="AD22" i="14"/>
  <c r="AD21" i="14"/>
  <c r="AD20" i="14"/>
  <c r="AD19" i="14"/>
  <c r="AD18" i="14"/>
  <c r="AD17" i="14"/>
  <c r="AD16" i="14"/>
  <c r="AD15" i="14"/>
  <c r="AD14" i="14"/>
  <c r="AD13" i="14"/>
  <c r="AD12" i="14"/>
  <c r="AD11" i="14"/>
  <c r="AD10" i="14"/>
  <c r="AD9" i="14"/>
  <c r="AD8" i="14"/>
  <c r="AD7" i="14"/>
  <c r="AD6" i="14"/>
  <c r="AF5" i="14"/>
  <c r="U4" i="14"/>
  <c r="AA4" i="14"/>
  <c r="X4" i="14"/>
  <c r="B2" i="3"/>
  <c r="AA40" i="14"/>
  <c r="AC40" i="14" s="1"/>
  <c r="AA7" i="14"/>
  <c r="AC7" i="14" s="1"/>
  <c r="AA8" i="14"/>
  <c r="AC8" i="14" s="1"/>
  <c r="AA9" i="14"/>
  <c r="AC9" i="14" s="1"/>
  <c r="AA10" i="14"/>
  <c r="AC10" i="14" s="1"/>
  <c r="AA11" i="14"/>
  <c r="AC11" i="14" s="1"/>
  <c r="AA12" i="14"/>
  <c r="AC12" i="14" s="1"/>
  <c r="AA13" i="14"/>
  <c r="AC13" i="14" s="1"/>
  <c r="AA14" i="14"/>
  <c r="AC14" i="14" s="1"/>
  <c r="AA15" i="14"/>
  <c r="AC15" i="14" s="1"/>
  <c r="AA16" i="14"/>
  <c r="AC16" i="14" s="1"/>
  <c r="AA17" i="14"/>
  <c r="AA18" i="14"/>
  <c r="AC18" i="14" s="1"/>
  <c r="AA19" i="14"/>
  <c r="AA20" i="14"/>
  <c r="AA21" i="14"/>
  <c r="AC21" i="14" s="1"/>
  <c r="AA22" i="14"/>
  <c r="AC22" i="14" s="1"/>
  <c r="AA23" i="14"/>
  <c r="AC23" i="14" s="1"/>
  <c r="AA24" i="14"/>
  <c r="AC24" i="14" s="1"/>
  <c r="AA25" i="14"/>
  <c r="AC25" i="14" s="1"/>
  <c r="AA26" i="14"/>
  <c r="AC26" i="14" s="1"/>
  <c r="AA27" i="14"/>
  <c r="AC27" i="14" s="1"/>
  <c r="AA28" i="14"/>
  <c r="AC28" i="14" s="1"/>
  <c r="AA29" i="14"/>
  <c r="AC29" i="14" s="1"/>
  <c r="AA30" i="14"/>
  <c r="AC30" i="14" s="1"/>
  <c r="AA31" i="14"/>
  <c r="AC31" i="14" s="1"/>
  <c r="AA32" i="14"/>
  <c r="AC32" i="14" s="1"/>
  <c r="AA33" i="14"/>
  <c r="AC33" i="14" s="1"/>
  <c r="AA34" i="14"/>
  <c r="AC34" i="14" s="1"/>
  <c r="AA35" i="14"/>
  <c r="AC35" i="14" s="1"/>
  <c r="AA36" i="14"/>
  <c r="AC36" i="14" s="1"/>
  <c r="AA37" i="14"/>
  <c r="AC37" i="14" s="1"/>
  <c r="AA38" i="14"/>
  <c r="AC38" i="14" s="1"/>
  <c r="AA39" i="14"/>
  <c r="AC39" i="14" s="1"/>
  <c r="AA6" i="14"/>
  <c r="AC6" i="14" s="1"/>
  <c r="AC17" i="14"/>
  <c r="AB3" i="14"/>
  <c r="AA5" i="14" s="1"/>
  <c r="AB5" i="14" s="1"/>
  <c r="AA3" i="14"/>
  <c r="AC20" i="14"/>
  <c r="AC19" i="14"/>
  <c r="X40" i="14"/>
  <c r="Y40" i="14" s="1"/>
  <c r="X39" i="14"/>
  <c r="Y39" i="14" s="1"/>
  <c r="X38" i="14"/>
  <c r="Y38" i="14" s="1"/>
  <c r="X37" i="14"/>
  <c r="Y37" i="14" s="1"/>
  <c r="X36" i="14"/>
  <c r="Y36" i="14" s="1"/>
  <c r="X35" i="14"/>
  <c r="Y35" i="14" s="1"/>
  <c r="X34" i="14"/>
  <c r="Y34" i="14" s="1"/>
  <c r="X33" i="14"/>
  <c r="Y33" i="14" s="1"/>
  <c r="X32" i="14"/>
  <c r="Y32" i="14" s="1"/>
  <c r="X31" i="14"/>
  <c r="Y31" i="14" s="1"/>
  <c r="X30" i="14"/>
  <c r="Y30" i="14" s="1"/>
  <c r="X29" i="14"/>
  <c r="Y29" i="14" s="1"/>
  <c r="X28" i="14"/>
  <c r="Y28" i="14" s="1"/>
  <c r="X27" i="14"/>
  <c r="Y27" i="14" s="1"/>
  <c r="X26" i="14"/>
  <c r="Y26" i="14" s="1"/>
  <c r="X25" i="14"/>
  <c r="Y25" i="14" s="1"/>
  <c r="X24" i="14"/>
  <c r="Y24" i="14" s="1"/>
  <c r="X23" i="14"/>
  <c r="Y23" i="14" s="1"/>
  <c r="X22" i="14"/>
  <c r="Y22" i="14" s="1"/>
  <c r="X21" i="14"/>
  <c r="Y21" i="14" s="1"/>
  <c r="X20" i="14"/>
  <c r="Y20" i="14" s="1"/>
  <c r="X19" i="14"/>
  <c r="Y19" i="14" s="1"/>
  <c r="X18" i="14"/>
  <c r="Y18" i="14" s="1"/>
  <c r="X17" i="14"/>
  <c r="Y17" i="14" s="1"/>
  <c r="X16" i="14"/>
  <c r="Y16" i="14" s="1"/>
  <c r="X15" i="14"/>
  <c r="Y15" i="14" s="1"/>
  <c r="X14" i="14"/>
  <c r="Y14" i="14" s="1"/>
  <c r="X13" i="14"/>
  <c r="Y13" i="14" s="1"/>
  <c r="X12" i="14"/>
  <c r="Y12" i="14" s="1"/>
  <c r="X11" i="14"/>
  <c r="Y11" i="14" s="1"/>
  <c r="X10" i="14"/>
  <c r="Y10" i="14" s="1"/>
  <c r="X9" i="14"/>
  <c r="Y9" i="14" s="1"/>
  <c r="X8" i="14"/>
  <c r="Y8" i="14" s="1"/>
  <c r="X7" i="14"/>
  <c r="Y7" i="14" s="1"/>
  <c r="X6" i="14"/>
  <c r="Y6" i="14" s="1"/>
  <c r="U40" i="14"/>
  <c r="V40" i="14" s="1"/>
  <c r="U6" i="14"/>
  <c r="V6" i="14" s="1"/>
  <c r="U7" i="14"/>
  <c r="V7" i="14" s="1"/>
  <c r="U8" i="14"/>
  <c r="V8" i="14" s="1"/>
  <c r="U9" i="14"/>
  <c r="V9" i="14" s="1"/>
  <c r="U10" i="14"/>
  <c r="V10" i="14" s="1"/>
  <c r="U11" i="14"/>
  <c r="V11" i="14" s="1"/>
  <c r="U12" i="14"/>
  <c r="V12" i="14" s="1"/>
  <c r="U13" i="14"/>
  <c r="V13" i="14" s="1"/>
  <c r="U14" i="14"/>
  <c r="V14" i="14" s="1"/>
  <c r="U15" i="14"/>
  <c r="V15" i="14" s="1"/>
  <c r="U16" i="14"/>
  <c r="V16" i="14" s="1"/>
  <c r="U17" i="14"/>
  <c r="V17" i="14" s="1"/>
  <c r="U18" i="14"/>
  <c r="V18" i="14" s="1"/>
  <c r="U19" i="14"/>
  <c r="V19" i="14" s="1"/>
  <c r="U20" i="14"/>
  <c r="V20" i="14" s="1"/>
  <c r="U21" i="14"/>
  <c r="V21" i="14" s="1"/>
  <c r="U22" i="14"/>
  <c r="V22" i="14" s="1"/>
  <c r="U23" i="14"/>
  <c r="V23" i="14" s="1"/>
  <c r="U24" i="14"/>
  <c r="V24" i="14" s="1"/>
  <c r="U25" i="14"/>
  <c r="V25" i="14" s="1"/>
  <c r="U26" i="14"/>
  <c r="V26" i="14" s="1"/>
  <c r="U27" i="14"/>
  <c r="V27" i="14" s="1"/>
  <c r="U28" i="14"/>
  <c r="V28" i="14" s="1"/>
  <c r="U29" i="14"/>
  <c r="V29" i="14" s="1"/>
  <c r="U30" i="14"/>
  <c r="V30" i="14" s="1"/>
  <c r="U31" i="14"/>
  <c r="V31" i="14" s="1"/>
  <c r="U32" i="14"/>
  <c r="V32" i="14" s="1"/>
  <c r="U33" i="14"/>
  <c r="V33" i="14" s="1"/>
  <c r="U34" i="14"/>
  <c r="V34" i="14" s="1"/>
  <c r="U35" i="14"/>
  <c r="V35" i="14" s="1"/>
  <c r="U36" i="14"/>
  <c r="V36" i="14" s="1"/>
  <c r="U37" i="14"/>
  <c r="V37" i="14" s="1"/>
  <c r="U38" i="14"/>
  <c r="V38" i="14" s="1"/>
  <c r="U39" i="14"/>
  <c r="V39" i="14" s="1"/>
  <c r="AC5" i="14" l="1"/>
  <c r="AB7" i="14"/>
  <c r="AB9" i="14"/>
  <c r="AB11" i="14"/>
  <c r="AB13" i="14"/>
  <c r="AB15" i="14"/>
  <c r="AB17" i="14"/>
  <c r="AB19" i="14"/>
  <c r="AB21" i="14"/>
  <c r="AB23" i="14"/>
  <c r="AB25" i="14"/>
  <c r="AB27" i="14"/>
  <c r="AB29" i="14"/>
  <c r="AB31" i="14"/>
  <c r="AB33" i="14"/>
  <c r="AB35" i="14"/>
  <c r="AB37" i="14"/>
  <c r="AB39" i="14"/>
  <c r="AB6" i="14"/>
  <c r="AB8" i="14"/>
  <c r="AB10" i="14"/>
  <c r="AB12" i="14"/>
  <c r="AB14" i="14"/>
  <c r="AB16" i="14"/>
  <c r="AB18" i="14"/>
  <c r="AB20" i="14"/>
  <c r="AB22" i="14"/>
  <c r="AB24" i="14"/>
  <c r="AB26" i="14"/>
  <c r="AB28" i="14"/>
  <c r="AB30" i="14"/>
  <c r="AB32" i="14"/>
  <c r="AB34" i="14"/>
  <c r="AB36" i="14"/>
  <c r="AB38" i="14"/>
  <c r="AB40" i="14"/>
  <c r="A1" i="17"/>
  <c r="XCW40" i="17" l="1"/>
  <c r="B40" i="17"/>
  <c r="A40" i="17"/>
  <c r="XCW39" i="17"/>
  <c r="B39" i="17"/>
  <c r="A39" i="17"/>
  <c r="XCW38" i="17"/>
  <c r="B38" i="17"/>
  <c r="A38" i="17"/>
  <c r="XCW37" i="17"/>
  <c r="B37" i="17"/>
  <c r="A37" i="17"/>
  <c r="XCW36" i="17"/>
  <c r="B36" i="17"/>
  <c r="A36" i="17"/>
  <c r="XCW35" i="17"/>
  <c r="B35" i="17"/>
  <c r="A35" i="17"/>
  <c r="XCW34" i="17"/>
  <c r="B34" i="17"/>
  <c r="A34" i="17"/>
  <c r="XCW33" i="17"/>
  <c r="B33" i="17"/>
  <c r="A33" i="17"/>
  <c r="XCW32" i="17"/>
  <c r="B32" i="17"/>
  <c r="A32" i="17"/>
  <c r="XCW31" i="17"/>
  <c r="B31" i="17"/>
  <c r="A31" i="17"/>
  <c r="XCW30" i="17"/>
  <c r="B30" i="17"/>
  <c r="A30" i="17"/>
  <c r="XCW29" i="17"/>
  <c r="B29" i="17"/>
  <c r="A29" i="17"/>
  <c r="XCW28" i="17"/>
  <c r="B28" i="17"/>
  <c r="A28" i="17"/>
  <c r="XCW27" i="17"/>
  <c r="B27" i="17"/>
  <c r="A27" i="17"/>
  <c r="XCW26" i="17"/>
  <c r="B26" i="17"/>
  <c r="A26" i="17"/>
  <c r="XCW25" i="17"/>
  <c r="B25" i="17"/>
  <c r="A25" i="17"/>
  <c r="XCW24" i="17"/>
  <c r="B24" i="17"/>
  <c r="A24" i="17"/>
  <c r="XCW23" i="17"/>
  <c r="B23" i="17"/>
  <c r="A23" i="17"/>
  <c r="XCW22" i="17"/>
  <c r="B22" i="17"/>
  <c r="A22" i="17"/>
  <c r="XCW21" i="17"/>
  <c r="B21" i="17"/>
  <c r="A21" i="17"/>
  <c r="XCW20" i="17"/>
  <c r="B20" i="17"/>
  <c r="A20" i="17"/>
  <c r="XCW19" i="17"/>
  <c r="B19" i="17"/>
  <c r="A19" i="17"/>
  <c r="XCW18" i="17"/>
  <c r="B18" i="17"/>
  <c r="A18" i="17"/>
  <c r="XCW17" i="17"/>
  <c r="B17" i="17"/>
  <c r="A17" i="17"/>
  <c r="XCW16" i="17"/>
  <c r="B16" i="17"/>
  <c r="A16" i="17"/>
  <c r="XCW15" i="17"/>
  <c r="B15" i="17"/>
  <c r="A15" i="17"/>
  <c r="XCW14" i="17"/>
  <c r="B14" i="17"/>
  <c r="A14" i="17"/>
  <c r="XCW13" i="17"/>
  <c r="B13" i="17"/>
  <c r="A13" i="17"/>
  <c r="XCW12" i="17"/>
  <c r="B12" i="17"/>
  <c r="A12" i="17"/>
  <c r="XCW11" i="17"/>
  <c r="B11" i="17"/>
  <c r="A11" i="17"/>
  <c r="XCW10" i="17"/>
  <c r="B10" i="17"/>
  <c r="A10" i="17"/>
  <c r="XCW9" i="17"/>
  <c r="B9" i="17"/>
  <c r="A9" i="17"/>
  <c r="XCW8" i="17"/>
  <c r="B8" i="17"/>
  <c r="A8" i="17"/>
  <c r="XCW7" i="17"/>
  <c r="B7" i="17"/>
  <c r="A7" i="17"/>
  <c r="XCW6" i="17"/>
  <c r="B6" i="17"/>
  <c r="A6" i="17"/>
  <c r="XCW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FK6" i="4"/>
  <c r="WFK7" i="4"/>
  <c r="WFK8" i="4"/>
  <c r="WFK9" i="4"/>
  <c r="WFK10" i="4"/>
  <c r="WFK11" i="4"/>
  <c r="WFK12" i="4"/>
  <c r="WFK13" i="4"/>
  <c r="WFK14" i="4"/>
  <c r="WFK15" i="4"/>
  <c r="WFK16" i="4"/>
  <c r="WFK17" i="4"/>
  <c r="WFK18" i="4"/>
  <c r="WFK19" i="4"/>
  <c r="WFK20" i="4"/>
  <c r="WFK21" i="4"/>
  <c r="WFK22" i="4"/>
  <c r="WFK23" i="4"/>
  <c r="WFK24" i="4"/>
  <c r="WFK25" i="4"/>
  <c r="WFK26" i="4"/>
  <c r="WFK27" i="4"/>
  <c r="WFK28" i="4"/>
  <c r="WFK29" i="4"/>
  <c r="WFK30" i="4"/>
  <c r="WFK31" i="4"/>
  <c r="WFK32" i="4"/>
  <c r="WFK33" i="4"/>
  <c r="WFK34" i="4"/>
  <c r="WFK35" i="4"/>
  <c r="WFK36" i="4"/>
  <c r="WFK37" i="4"/>
  <c r="WFK38" i="4"/>
  <c r="WFK39" i="4"/>
  <c r="WFK40" i="4"/>
  <c r="WFK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Y3" i="14"/>
  <c r="X5" i="14" s="1"/>
  <c r="Y5" i="14" s="1"/>
  <c r="V3" i="14"/>
  <c r="U5" i="14" s="1"/>
  <c r="V5" i="14" s="1"/>
  <c r="X3" i="14"/>
  <c r="U3" i="14"/>
  <c r="AD5" i="14" l="1"/>
  <c r="W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6" i="14"/>
  <c r="Z10" i="14"/>
  <c r="Z18" i="14"/>
  <c r="Z22" i="14"/>
  <c r="Z26" i="14"/>
  <c r="Z34" i="14"/>
  <c r="Z38" i="14"/>
  <c r="Z9" i="14"/>
  <c r="Z13" i="14"/>
  <c r="Z25" i="14"/>
  <c r="Z29" i="14"/>
  <c r="Z37" i="14"/>
  <c r="W7" i="14"/>
  <c r="W8" i="14"/>
  <c r="W9" i="14"/>
  <c r="W12" i="14"/>
  <c r="W17" i="14"/>
  <c r="W18" i="14"/>
  <c r="W19" i="14"/>
  <c r="W24" i="14"/>
  <c r="W25" i="14"/>
  <c r="W31" i="14"/>
  <c r="W33" i="14"/>
  <c r="W35" i="14"/>
  <c r="W39" i="14"/>
  <c r="Z40" i="14" l="1"/>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<sst xmlns="http://schemas.openxmlformats.org/spreadsheetml/2006/main" count="305" uniqueCount="107">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</sst>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5">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85">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5" fillId="4" borderId="69"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2" xfId="3" applyFont="1" applyBorder="1" applyAlignment="1" applyProtection="1">
      <alignment horizontal="center"/>
      <protection locked="0"/>
    </xf>
    <xf numFmtId="0" fontId="6" fillId="2" borderId="30" xfId="3" applyFont="1" applyBorder="1" applyAlignment="1" applyProtection="1">
      <alignment horizontal="center"/>
      <protection locked="0"/>
    </xf>
    <xf numFmtId="0" fontId="6" fillId="2" borderId="1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4" fillId="4" borderId="78" xfId="6" applyFont="1" applyBorder="1" applyAlignment="1" applyProtection="1">
      <alignment horizontal="center" vertical="center"/>
      <protection locked="0"/>
    </xf>
    <xf numFmtId="0" fontId="4" fillId="4" borderId="79" xfId="6" applyFont="1" applyBorder="1" applyAlignment="1" applyProtection="1">
      <alignment horizontal="center" vertical="center"/>
      <protection locked="0"/>
    </xf>
    <xf numFmtId="0" fontId="13" fillId="0" borderId="39" xfId="5" applyFont="1" applyBorder="1" applyAlignment="1" applyProtection="1">
      <alignment horizontal="centerContinuous"/>
      <protection locked="0"/>
    </xf>
    <xf numFmtId="0" fontId="13" fillId="0" borderId="37" xfId="5" applyFont="1" applyBorder="1" applyAlignment="1" applyProtection="1">
      <alignment horizontal="centerContinuous"/>
      <protection locked="0"/>
    </xf>
    <xf numFmtId="0" fontId="13" fillId="0" borderId="57" xfId="5" applyFont="1" applyBorder="1" applyAlignment="1" applyProtection="1">
      <alignment horizontal="centerContinuous"/>
      <protection locked="0"/>
    </xf>
    <xf numFmtId="0" fontId="0" fillId="0" borderId="0" xfId="0" applyBorder="1" applyAlignment="1">
      <alignment horizontal="center"/>
    </xf>
    <xf numFmtId="0" fontId="6" fillId="2" borderId="35" xfId="3" applyFont="1" applyBorder="1" applyAlignment="1" applyProtection="1">
      <alignment horizont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0" fontId="4" fillId="12" borderId="43" xfId="8" applyFont="1" applyFill="1" applyBorder="1" applyAlignment="1" applyProtection="1">
      <alignment horizontal="center"/>
      <protection locked="0"/>
    </xf>
    <xf numFmtId="9" fontId="4" fillId="12" borderId="74" xfId="8" applyNumberFormat="1" applyFont="1" applyFill="1" applyBorder="1" applyAlignment="1" applyProtection="1">
      <alignment horizontal="center"/>
      <protection locked="0"/>
    </xf>
    <xf numFmtId="0" fontId="4" fillId="12" borderId="75" xfId="8" applyFont="1" applyFill="1" applyBorder="1" applyAlignment="1" applyProtection="1">
      <alignment horizontal="center"/>
      <protection locked="0"/>
    </xf>
    <xf numFmtId="164" fontId="5" fillId="12" borderId="42" xfId="8" applyNumberFormat="1" applyFill="1" applyBorder="1" applyAlignment="1" applyProtection="1">
      <alignment horizontal="center" vertical="center"/>
      <protection locked="0"/>
    </xf>
    <xf numFmtId="9" fontId="5" fillId="12" borderId="58" xfId="4" applyFill="1" applyBorder="1" applyAlignment="1" applyProtection="1">
      <alignment horizontal="center" vertical="center"/>
      <protection locked="0"/>
    </xf>
    <xf numFmtId="164" fontId="5" fillId="12" borderId="58" xfId="8" applyNumberFormat="1" applyFill="1" applyBorder="1" applyAlignment="1" applyProtection="1">
      <alignment horizontal="center" vertical="center"/>
      <protection locked="0"/>
    </xf>
    <xf numFmtId="164" fontId="5" fillId="12" borderId="70" xfId="8" applyNumberFormat="1" applyFill="1" applyBorder="1" applyAlignment="1" applyProtection="1">
      <alignment horizontal="center" vertical="center"/>
      <protection locked="0"/>
    </xf>
    <xf numFmtId="164" fontId="5" fillId="12" borderId="71" xfId="8" applyNumberFormat="1" applyFill="1" applyBorder="1" applyAlignment="1" applyProtection="1">
      <alignment horizontal="center" vertical="center"/>
      <protection locked="0"/>
    </xf>
    <xf numFmtId="9" fontId="5" fillId="12" borderId="68" xfId="4"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164" fontId="0" fillId="0" borderId="83" xfId="0" applyNumberFormat="1" applyFill="1" applyBorder="1" applyAlignment="1" applyProtection="1">
      <alignment horizontal="center" vertical="center"/>
      <protection locked="0"/>
    </xf>
    <xf numFmtId="164" fontId="0" fillId="0" borderId="84" xfId="0" applyNumberFormat="1" applyFill="1" applyBorder="1" applyAlignment="1" applyProtection="1">
      <alignment horizontal="center" vertical="center"/>
      <protection locked="0"/>
    </xf>
    <xf numFmtId="0" fontId="4" fillId="14" borderId="65" xfId="7" applyFont="1" applyFill="1" applyBorder="1" applyAlignment="1" applyProtection="1">
      <alignment horizontal="center"/>
      <protection locked="0"/>
    </xf>
    <xf numFmtId="9" fontId="4" fillId="14" borderId="72"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0" xfId="4" applyFill="1" applyBorder="1" applyAlignment="1" applyProtection="1">
      <alignment horizontal="center"/>
      <protection locked="0"/>
    </xf>
    <xf numFmtId="0" fontId="5" fillId="14" borderId="60" xfId="7" applyFill="1" applyBorder="1" applyAlignment="1" applyProtection="1">
      <alignment horizontal="center"/>
      <protection locked="0"/>
    </xf>
    <xf numFmtId="164" fontId="5" fillId="14" borderId="66" xfId="7" applyNumberFormat="1" applyFill="1" applyBorder="1" applyAlignment="1" applyProtection="1">
      <alignment horizontal="center"/>
      <protection locked="0"/>
    </xf>
    <xf numFmtId="9" fontId="5" fillId="14" borderId="67" xfId="4" applyFill="1" applyBorder="1" applyAlignment="1" applyProtection="1">
      <alignment horizontal="center"/>
      <protection locked="0"/>
    </xf>
    <xf numFmtId="0" fontId="5" fillId="14" borderId="67" xfId="7" applyFill="1" applyBorder="1" applyAlignment="1" applyProtection="1">
      <alignment horizontal="center"/>
      <protection locked="0"/>
    </xf>
    <xf numFmtId="0" fontId="0" fillId="14" borderId="37" xfId="0" applyFill="1" applyBorder="1" applyAlignment="1" applyProtection="1">
      <alignment horizontal="center"/>
      <protection locked="0"/>
    </xf>
    <xf numFmtId="0" fontId="0" fillId="13" borderId="37" xfId="0" applyFill="1" applyBorder="1" applyAlignment="1" applyProtection="1">
      <alignment horizontal="center"/>
      <protection locked="0"/>
    </xf>
    <xf numFmtId="0" fontId="0" fillId="12" borderId="37"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70" xfId="4" applyFill="1" applyBorder="1" applyAlignment="1" applyProtection="1">
      <alignment horizontal="center" vertical="center"/>
      <protection locked="0"/>
    </xf>
    <xf numFmtId="9" fontId="5" fillId="4" borderId="71" xfId="4" applyFill="1" applyBorder="1" applyAlignment="1" applyProtection="1">
      <alignment horizontal="center" vertical="center"/>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3" xfId="4" applyNumberFormat="1" applyFont="1" applyFill="1" applyBorder="1" applyAlignment="1" applyProtection="1">
      <alignment horizontal="center"/>
      <protection locked="0"/>
    </xf>
    <xf numFmtId="0" fontId="4" fillId="14"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9" xfId="5" applyFill="1" applyBorder="1" applyAlignment="1" applyProtection="1">
      <alignment horizontal="center"/>
      <protection locked="0"/>
    </xf>
    <xf numFmtId="0" fontId="2" fillId="14" borderId="37"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3" borderId="37"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7" xfId="5" applyFill="1" applyBorder="1" applyAlignment="1" applyProtection="1">
      <alignment horizontal="center"/>
      <protection locked="0"/>
    </xf>
    <xf numFmtId="0" fontId="2" fillId="12" borderId="36" xfId="5"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0" fontId="4" fillId="12" borderId="36" xfId="8" applyFont="1" applyFill="1" applyBorder="1" applyAlignment="1" applyProtection="1">
      <alignment horizontal="center"/>
      <protection locked="0"/>
    </xf>
    <xf numFmtId="0" fontId="2" fillId="0" borderId="57" xfId="5"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52037"/>
          <a:ext cx="1548652"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90163"/>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5096"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3462"/>
          <a:ext cx="1548652"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52062"/>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5">
  <autoFilter ref="A1:C18" xr:uid="{498E8186-74A7-4E6E-AE4A-D794E9C8B595}"/>
  <tableColumns count="3">
    <tableColumn id="1" xr3:uid="{5861E389-9F05-4056-B978-22BEA3DA1355}" name="Score" dataDxfId="14" dataCellStyle="Percent"/>
    <tableColumn id="2" xr3:uid="{9526CEDD-EB3F-43D3-A6D9-A4B81BDDC393}" name="Grade" dataDxfId="13"/>
    <tableColumn id="3" xr3:uid="{63910571-226F-4D3A-AE65-3CF97BD66F23}" name="Points" dataDxfId="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N6" sqref="N6"/>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200" t="str">
        <f>_xlfn.CONCAT("CSC Markbook - V",Changelog!$B$3)</f>
        <v>CSC Markbook - V1.10.0</v>
      </c>
      <c r="C2" s="201"/>
      <c r="D2" s="201"/>
      <c r="E2" s="201"/>
      <c r="F2" s="202"/>
      <c r="H2" s="205"/>
      <c r="I2" s="205"/>
      <c r="J2" s="205"/>
      <c r="K2" s="205"/>
    </row>
    <row r="3" spans="2:11" ht="20.25" customHeight="1" thickBot="1" x14ac:dyDescent="0.35">
      <c r="B3" s="10"/>
      <c r="C3" s="215" t="s">
        <v>26</v>
      </c>
      <c r="D3" s="215"/>
      <c r="E3" s="215"/>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209" t="s">
        <v>66</v>
      </c>
      <c r="E5" s="210"/>
      <c r="F5" s="11"/>
      <c r="H5" s="26"/>
      <c r="I5" s="26"/>
      <c r="J5" s="26"/>
      <c r="K5" s="26"/>
    </row>
    <row r="6" spans="2:11" x14ac:dyDescent="0.25">
      <c r="B6" s="10"/>
      <c r="C6" s="14" t="s">
        <v>29</v>
      </c>
      <c r="D6" s="211">
        <v>2020</v>
      </c>
      <c r="E6" s="212"/>
      <c r="F6" s="11"/>
      <c r="H6" s="26"/>
      <c r="I6" s="26"/>
      <c r="J6" s="26"/>
      <c r="K6" s="26"/>
    </row>
    <row r="7" spans="2:11" x14ac:dyDescent="0.25">
      <c r="B7" s="10"/>
      <c r="C7" s="14" t="s">
        <v>25</v>
      </c>
      <c r="D7" s="213" t="s">
        <v>67</v>
      </c>
      <c r="E7" s="214"/>
      <c r="F7" s="11"/>
      <c r="H7" s="26"/>
      <c r="I7" s="26"/>
      <c r="J7" s="26"/>
      <c r="K7" s="26"/>
    </row>
    <row r="8" spans="2:11" x14ac:dyDescent="0.25">
      <c r="B8" s="10"/>
      <c r="C8" s="206" t="s">
        <v>22</v>
      </c>
      <c r="D8" s="207"/>
      <c r="E8" s="208"/>
      <c r="F8" s="11"/>
      <c r="H8" s="26"/>
      <c r="I8" s="26"/>
      <c r="J8" s="26"/>
      <c r="K8" s="26"/>
    </row>
    <row r="9" spans="2:11" x14ac:dyDescent="0.25">
      <c r="B9" s="10"/>
      <c r="C9" s="15" t="s">
        <v>19</v>
      </c>
      <c r="D9" s="15" t="s">
        <v>20</v>
      </c>
      <c r="E9" s="12" t="s">
        <v>23</v>
      </c>
      <c r="F9" s="11"/>
      <c r="H9" s="26"/>
      <c r="I9" s="26"/>
      <c r="J9" s="26"/>
      <c r="K9" s="26"/>
    </row>
    <row r="10" spans="2:11" x14ac:dyDescent="0.25">
      <c r="B10" s="10"/>
      <c r="C10" s="67"/>
      <c r="D10" s="68"/>
      <c r="E10" s="67"/>
      <c r="F10" s="11"/>
      <c r="H10" s="26"/>
      <c r="I10" s="26"/>
      <c r="J10" s="26"/>
      <c r="K10" s="26"/>
    </row>
    <row r="11" spans="2:11" x14ac:dyDescent="0.25">
      <c r="B11" s="10"/>
      <c r="C11" s="67"/>
      <c r="D11" s="68"/>
      <c r="E11" s="67"/>
      <c r="F11" s="11"/>
      <c r="H11" s="26"/>
      <c r="I11" s="26"/>
      <c r="J11" s="26"/>
      <c r="K11" s="26"/>
    </row>
    <row r="12" spans="2:11" x14ac:dyDescent="0.25">
      <c r="B12" s="10"/>
      <c r="C12" s="67"/>
      <c r="D12" s="68"/>
      <c r="E12" s="67"/>
      <c r="F12" s="11"/>
      <c r="H12" s="26"/>
      <c r="I12" s="26"/>
      <c r="J12" s="26"/>
      <c r="K12" s="26"/>
    </row>
    <row r="13" spans="2:11" x14ac:dyDescent="0.25">
      <c r="B13" s="10"/>
      <c r="C13" s="67"/>
      <c r="D13" s="68"/>
      <c r="E13" s="67"/>
      <c r="F13" s="11"/>
      <c r="H13" s="26"/>
      <c r="I13" s="26"/>
      <c r="J13" s="26"/>
      <c r="K13" s="26"/>
    </row>
    <row r="14" spans="2:11" x14ac:dyDescent="0.25">
      <c r="B14" s="10"/>
      <c r="C14" s="67"/>
      <c r="D14" s="68"/>
      <c r="E14" s="67"/>
      <c r="F14" s="11"/>
      <c r="H14" s="26"/>
      <c r="I14" s="26"/>
      <c r="J14" s="26"/>
      <c r="K14" s="26"/>
    </row>
    <row r="15" spans="2:11" x14ac:dyDescent="0.25">
      <c r="B15" s="10"/>
      <c r="C15" s="67"/>
      <c r="D15" s="68"/>
      <c r="E15" s="67"/>
      <c r="F15" s="11"/>
      <c r="H15" s="26"/>
      <c r="I15" s="26"/>
      <c r="J15" s="26"/>
      <c r="K15" s="26"/>
    </row>
    <row r="16" spans="2:11" x14ac:dyDescent="0.25">
      <c r="B16" s="10"/>
      <c r="C16" s="67"/>
      <c r="D16" s="68"/>
      <c r="E16" s="67"/>
      <c r="F16" s="11"/>
      <c r="H16" s="26"/>
      <c r="I16" s="26"/>
      <c r="J16" s="26"/>
      <c r="K16" s="26"/>
    </row>
    <row r="17" spans="2:11" x14ac:dyDescent="0.25">
      <c r="B17" s="10"/>
      <c r="C17" s="67"/>
      <c r="D17" s="68"/>
      <c r="E17" s="67"/>
      <c r="F17" s="11"/>
      <c r="H17" s="26"/>
      <c r="I17" s="26"/>
      <c r="J17" s="26"/>
      <c r="K17" s="26"/>
    </row>
    <row r="18" spans="2:11" x14ac:dyDescent="0.25">
      <c r="B18" s="10"/>
      <c r="C18" s="67"/>
      <c r="D18" s="68"/>
      <c r="E18" s="67"/>
      <c r="F18" s="11"/>
      <c r="H18" s="26"/>
      <c r="I18" s="26"/>
      <c r="J18" s="26"/>
      <c r="K18" s="26"/>
    </row>
    <row r="19" spans="2:11" x14ac:dyDescent="0.25">
      <c r="B19" s="10"/>
      <c r="C19" s="67"/>
      <c r="D19" s="68"/>
      <c r="E19" s="67"/>
      <c r="F19" s="11"/>
      <c r="H19" s="26"/>
      <c r="I19" s="26"/>
      <c r="J19" s="26"/>
      <c r="K19" s="26"/>
    </row>
    <row r="20" spans="2:11" x14ac:dyDescent="0.25">
      <c r="B20" s="10"/>
      <c r="C20" s="67"/>
      <c r="D20" s="68"/>
      <c r="E20" s="67"/>
      <c r="F20" s="11"/>
      <c r="H20" s="26"/>
      <c r="I20" s="26"/>
      <c r="J20" s="26"/>
      <c r="K20" s="26"/>
    </row>
    <row r="21" spans="2:11" x14ac:dyDescent="0.25">
      <c r="B21" s="10"/>
      <c r="C21" s="67"/>
      <c r="D21" s="68"/>
      <c r="E21" s="67"/>
      <c r="F21" s="11"/>
      <c r="H21" s="26"/>
      <c r="I21" s="26"/>
      <c r="J21" s="26"/>
      <c r="K21" s="26"/>
    </row>
    <row r="22" spans="2:11" x14ac:dyDescent="0.25">
      <c r="B22" s="10"/>
      <c r="C22" s="67"/>
      <c r="D22" s="68"/>
      <c r="E22" s="67"/>
      <c r="F22" s="11"/>
      <c r="H22" s="26"/>
      <c r="I22" s="26"/>
      <c r="J22" s="26"/>
      <c r="K22" s="26"/>
    </row>
    <row r="23" spans="2:11" x14ac:dyDescent="0.25">
      <c r="B23" s="10"/>
      <c r="C23" s="67"/>
      <c r="D23" s="68"/>
      <c r="E23" s="67"/>
      <c r="F23" s="11"/>
      <c r="H23" s="26"/>
      <c r="I23" s="26"/>
      <c r="J23" s="26"/>
      <c r="K23" s="26"/>
    </row>
    <row r="24" spans="2:11" x14ac:dyDescent="0.25">
      <c r="B24" s="10"/>
      <c r="C24" s="67"/>
      <c r="D24" s="68"/>
      <c r="E24" s="67"/>
      <c r="F24" s="11"/>
      <c r="H24" s="26"/>
      <c r="I24" s="26"/>
      <c r="J24" s="26"/>
      <c r="K24" s="26"/>
    </row>
    <row r="25" spans="2:11" x14ac:dyDescent="0.25">
      <c r="B25" s="10"/>
      <c r="C25" s="67"/>
      <c r="D25" s="68"/>
      <c r="E25" s="67"/>
      <c r="F25" s="11"/>
      <c r="H25" s="49"/>
      <c r="I25" s="204"/>
      <c r="J25" s="204"/>
      <c r="K25" s="204"/>
    </row>
    <row r="26" spans="2:11" x14ac:dyDescent="0.25">
      <c r="B26" s="10"/>
      <c r="C26" s="67"/>
      <c r="D26" s="68"/>
      <c r="E26" s="67"/>
      <c r="F26" s="11"/>
      <c r="H26" s="50"/>
      <c r="I26" s="205"/>
      <c r="J26" s="205"/>
      <c r="K26" s="205"/>
    </row>
    <row r="27" spans="2:11" ht="15" customHeight="1" x14ac:dyDescent="0.25">
      <c r="B27" s="10"/>
      <c r="C27" s="67"/>
      <c r="D27" s="68"/>
      <c r="E27" s="67"/>
      <c r="F27" s="11"/>
      <c r="H27" s="203"/>
      <c r="I27" s="48"/>
      <c r="J27" s="48"/>
      <c r="K27" s="48"/>
    </row>
    <row r="28" spans="2:11" x14ac:dyDescent="0.25">
      <c r="B28" s="10"/>
      <c r="C28" s="67"/>
      <c r="D28" s="68"/>
      <c r="E28" s="67"/>
      <c r="F28" s="11"/>
      <c r="H28" s="203"/>
      <c r="I28" s="48"/>
      <c r="J28" s="48"/>
      <c r="K28" s="48"/>
    </row>
    <row r="29" spans="2:11" x14ac:dyDescent="0.25">
      <c r="B29" s="10"/>
      <c r="C29" s="67"/>
      <c r="D29" s="68"/>
      <c r="E29" s="67"/>
      <c r="F29" s="11"/>
      <c r="H29" s="203"/>
      <c r="I29" s="48"/>
      <c r="J29" s="48"/>
      <c r="K29" s="48"/>
    </row>
    <row r="30" spans="2:11" x14ac:dyDescent="0.25">
      <c r="B30" s="10"/>
      <c r="C30" s="67"/>
      <c r="D30" s="68"/>
      <c r="E30" s="67"/>
      <c r="F30" s="11"/>
      <c r="H30" s="26"/>
      <c r="I30" s="26"/>
      <c r="J30" s="26"/>
      <c r="K30" s="26"/>
    </row>
    <row r="31" spans="2:11" x14ac:dyDescent="0.25">
      <c r="B31" s="10"/>
      <c r="C31" s="67"/>
      <c r="D31" s="68"/>
      <c r="E31" s="67"/>
      <c r="F31" s="11"/>
      <c r="H31" s="26"/>
      <c r="I31" s="26"/>
      <c r="J31" s="26"/>
      <c r="K31" s="26"/>
    </row>
    <row r="32" spans="2:11" x14ac:dyDescent="0.25">
      <c r="B32" s="10"/>
      <c r="C32" s="67"/>
      <c r="D32" s="68"/>
      <c r="E32" s="67"/>
      <c r="F32" s="11"/>
    </row>
    <row r="33" spans="2:11" x14ac:dyDescent="0.25">
      <c r="B33" s="10"/>
      <c r="C33" s="67"/>
      <c r="D33" s="68"/>
      <c r="E33" s="67"/>
      <c r="F33" s="11"/>
      <c r="H33" s="51" t="s">
        <v>27</v>
      </c>
      <c r="I33" s="216" t="s">
        <v>35</v>
      </c>
      <c r="J33" s="217"/>
      <c r="K33" s="218"/>
    </row>
    <row r="34" spans="2:11" ht="15.75" customHeight="1" x14ac:dyDescent="0.25">
      <c r="B34" s="10"/>
      <c r="C34" s="67"/>
      <c r="D34" s="68"/>
      <c r="E34" s="67"/>
      <c r="F34" s="11"/>
      <c r="H34" s="20" t="s">
        <v>28</v>
      </c>
      <c r="I34" s="219" t="s">
        <v>37</v>
      </c>
      <c r="J34" s="220"/>
      <c r="K34" s="221"/>
    </row>
    <row r="35" spans="2:11" x14ac:dyDescent="0.25">
      <c r="B35" s="10"/>
      <c r="C35" s="67"/>
      <c r="D35" s="52"/>
      <c r="E35" s="29"/>
      <c r="F35" s="11"/>
      <c r="H35" s="188" t="s">
        <v>36</v>
      </c>
      <c r="I35" s="191" t="s">
        <v>38</v>
      </c>
      <c r="J35" s="192"/>
      <c r="K35" s="193"/>
    </row>
    <row r="36" spans="2:11" x14ac:dyDescent="0.25">
      <c r="B36" s="10"/>
      <c r="C36" s="67"/>
      <c r="D36" s="30"/>
      <c r="E36" s="29"/>
      <c r="F36" s="11"/>
      <c r="H36" s="189"/>
      <c r="I36" s="194"/>
      <c r="J36" s="195"/>
      <c r="K36" s="196"/>
    </row>
    <row r="37" spans="2:11" x14ac:dyDescent="0.25">
      <c r="B37" s="10"/>
      <c r="C37" s="67"/>
      <c r="D37" s="53"/>
      <c r="E37" s="29"/>
      <c r="F37" s="11"/>
      <c r="H37" s="190"/>
      <c r="I37" s="197"/>
      <c r="J37" s="198"/>
      <c r="K37" s="199"/>
    </row>
    <row r="38" spans="2:11" x14ac:dyDescent="0.25">
      <c r="B38" s="10"/>
      <c r="C38" s="67"/>
      <c r="D38" s="53"/>
      <c r="E38" s="29"/>
      <c r="F38" s="11"/>
      <c r="H38" s="26"/>
      <c r="I38" s="26"/>
      <c r="J38" s="26"/>
      <c r="K38" s="26"/>
    </row>
    <row r="39" spans="2:11" x14ac:dyDescent="0.25">
      <c r="B39" s="10"/>
      <c r="C39" s="67"/>
      <c r="D39" s="53"/>
      <c r="E39" s="29"/>
      <c r="F39" s="11"/>
      <c r="H39" s="26"/>
      <c r="I39" s="26"/>
      <c r="J39" s="26"/>
      <c r="K39" s="26"/>
    </row>
    <row r="40" spans="2:11" x14ac:dyDescent="0.25">
      <c r="B40" s="10"/>
      <c r="C40" s="67"/>
      <c r="D40" s="53"/>
      <c r="E40" s="67"/>
      <c r="F40" s="11"/>
      <c r="H40" s="26"/>
      <c r="I40" s="26"/>
      <c r="J40" s="26"/>
      <c r="K40" s="26"/>
    </row>
    <row r="41" spans="2:11" x14ac:dyDescent="0.25">
      <c r="B41" s="10"/>
      <c r="C41" s="67"/>
      <c r="D41" s="53"/>
      <c r="E41" s="67"/>
      <c r="F41" s="11"/>
      <c r="H41" s="26"/>
      <c r="I41" s="26"/>
      <c r="J41" s="26"/>
      <c r="K41" s="26"/>
    </row>
    <row r="42" spans="2:11" x14ac:dyDescent="0.25">
      <c r="B42" s="10"/>
      <c r="C42" s="67"/>
      <c r="D42" s="53"/>
      <c r="E42" s="67"/>
      <c r="F42" s="11"/>
    </row>
    <row r="43" spans="2:11" x14ac:dyDescent="0.25">
      <c r="B43" s="10"/>
      <c r="C43" s="67"/>
      <c r="D43" s="53"/>
      <c r="E43" s="67"/>
      <c r="F43" s="11"/>
    </row>
    <row r="44" spans="2:11" x14ac:dyDescent="0.25">
      <c r="B44" s="10"/>
      <c r="C44" s="67"/>
      <c r="D44" s="53"/>
      <c r="E44" s="67"/>
      <c r="F44" s="11"/>
    </row>
    <row r="45" spans="2:11" x14ac:dyDescent="0.25">
      <c r="B45" s="10"/>
      <c r="C45" s="67"/>
      <c r="D45" s="53"/>
      <c r="E45" s="67"/>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FK81"/>
  <sheetViews>
    <sheetView zoomScale="85" zoomScaleNormal="85" workbookViewId="0">
      <pane xSplit="2" ySplit="4" topLeftCell="XFD8" activePane="bottomRight" state="frozenSplit"/>
      <selection pane="topRight" activeCell="AE1" sqref="AE1"/>
      <selection pane="bottomLeft" activeCell="A23" sqref="A23"/>
      <selection pane="bottomRight" activeCell="AL40" sqref="AL40"/>
    </sheetView>
  </sheetViews>
  <sheetFormatPr defaultColWidth="0" defaultRowHeight="15" x14ac:dyDescent="0.25"/>
  <cols>
    <col min="1" max="2" width="15.7109375" style="61" customWidth="1"/>
    <col min="3" max="15671" width="0" style="62" hidden="1"/>
    <col min="15672" max="16384" width="9.140625" style="62" hidden="1"/>
  </cols>
  <sheetData>
    <row r="1" spans="1:2 15715:15715" s="60" customFormat="1" x14ac:dyDescent="0.25">
      <c r="A1" s="222" t="str">
        <f>_xlfn.CONCAT("Year ",ClassInformation!D4,ClassInformation!E4," ",ClassInformation!D5," - ","Semester 1 ",ClassInformation!D6)</f>
        <v>Year 7A [Subject] - Semester 1 2020</v>
      </c>
      <c r="B1" s="223"/>
    </row>
    <row r="2" spans="1:2 15715:15715" s="60" customFormat="1" x14ac:dyDescent="0.25">
      <c r="A2" s="222"/>
      <c r="B2" s="223"/>
    </row>
    <row r="3" spans="1:2 15715:15715" s="60" customFormat="1" x14ac:dyDescent="0.25">
      <c r="A3" s="224" t="s">
        <v>21</v>
      </c>
      <c r="B3" s="225"/>
    </row>
    <row r="4" spans="1:2 15715:15715" s="60" customFormat="1" ht="15.75" thickBot="1" x14ac:dyDescent="0.3">
      <c r="A4" s="105" t="str">
        <f>ClassInformation!C9</f>
        <v>Last Name</v>
      </c>
      <c r="B4" s="57" t="str">
        <f>ClassInformation!D9</f>
        <v>First Name</v>
      </c>
    </row>
    <row r="5" spans="1:2 15715:15715" s="28" customFormat="1" x14ac:dyDescent="0.25">
      <c r="A5" s="110" t="str">
        <f>IF(ISBLANK(ClassInformation!C10),"ZZZZZ",ClassInformation!C10)</f>
        <v>ZZZZZ</v>
      </c>
      <c r="B5" s="59" t="str">
        <f>IF(ISBLANK(ClassInformation!D10),"ZZZZZ",ClassInformation!D10)</f>
        <v>ZZZZZ</v>
      </c>
      <c r="WFK5" s="28">
        <f>ClassInformation!E10</f>
        <v>0</v>
      </c>
    </row>
    <row r="6" spans="1:2 15715:15715" s="28" customFormat="1" x14ac:dyDescent="0.25">
      <c r="A6" s="58" t="str">
        <f>IF(ISBLANK(ClassInformation!C11),"ZZZZZ",ClassInformation!C11)</f>
        <v>ZZZZZ</v>
      </c>
      <c r="B6" s="59" t="str">
        <f>IF(ISBLANK(ClassInformation!D11),"ZZZZZ",ClassInformation!D11)</f>
        <v>ZZZZZ</v>
      </c>
      <c r="WFK6" s="28">
        <f>ClassInformation!E11</f>
        <v>0</v>
      </c>
    </row>
    <row r="7" spans="1:2 15715:15715" s="28" customFormat="1" x14ac:dyDescent="0.25">
      <c r="A7" s="58" t="str">
        <f>IF(ISBLANK(ClassInformation!C12),"ZZZZZ",ClassInformation!C12)</f>
        <v>ZZZZZ</v>
      </c>
      <c r="B7" s="59" t="str">
        <f>IF(ISBLANK(ClassInformation!D12),"ZZZZZ",ClassInformation!D12)</f>
        <v>ZZZZZ</v>
      </c>
      <c r="WFK7" s="28">
        <f>ClassInformation!E12</f>
        <v>0</v>
      </c>
    </row>
    <row r="8" spans="1:2 15715:15715" s="28" customFormat="1" x14ac:dyDescent="0.25">
      <c r="A8" s="58" t="str">
        <f>IF(ISBLANK(ClassInformation!C13),"ZZZZZ",ClassInformation!C13)</f>
        <v>ZZZZZ</v>
      </c>
      <c r="B8" s="59" t="str">
        <f>IF(ISBLANK(ClassInformation!D13),"ZZZZZ",ClassInformation!D13)</f>
        <v>ZZZZZ</v>
      </c>
      <c r="WFK8" s="28">
        <f>ClassInformation!E13</f>
        <v>0</v>
      </c>
    </row>
    <row r="9" spans="1:2 15715:15715" s="28" customFormat="1" x14ac:dyDescent="0.25">
      <c r="A9" s="58" t="str">
        <f>IF(ISBLANK(ClassInformation!C14),"ZZZZZ",ClassInformation!C14)</f>
        <v>ZZZZZ</v>
      </c>
      <c r="B9" s="59" t="str">
        <f>IF(ISBLANK(ClassInformation!D14),"ZZZZZ",ClassInformation!D14)</f>
        <v>ZZZZZ</v>
      </c>
      <c r="WFK9" s="28">
        <f>ClassInformation!E14</f>
        <v>0</v>
      </c>
    </row>
    <row r="10" spans="1:2 15715:15715" s="28" customFormat="1" x14ac:dyDescent="0.25">
      <c r="A10" s="58" t="str">
        <f>IF(ISBLANK(ClassInformation!C15),"ZZZZZ",ClassInformation!C15)</f>
        <v>ZZZZZ</v>
      </c>
      <c r="B10" s="59" t="str">
        <f>IF(ISBLANK(ClassInformation!D15),"ZZZZZ",ClassInformation!D15)</f>
        <v>ZZZZZ</v>
      </c>
      <c r="WFK10" s="28">
        <f>ClassInformation!E15</f>
        <v>0</v>
      </c>
    </row>
    <row r="11" spans="1:2 15715:15715" s="28" customFormat="1" x14ac:dyDescent="0.25">
      <c r="A11" s="58" t="str">
        <f>IF(ISBLANK(ClassInformation!C16),"ZZZZZ",ClassInformation!C16)</f>
        <v>ZZZZZ</v>
      </c>
      <c r="B11" s="59" t="str">
        <f>IF(ISBLANK(ClassInformation!D16),"ZZZZZ",ClassInformation!D16)</f>
        <v>ZZZZZ</v>
      </c>
      <c r="WFK11" s="28">
        <f>ClassInformation!E16</f>
        <v>0</v>
      </c>
    </row>
    <row r="12" spans="1:2 15715:15715" s="28" customFormat="1" x14ac:dyDescent="0.25">
      <c r="A12" s="58" t="str">
        <f>IF(ISBLANK(ClassInformation!C17),"ZZZZZ",ClassInformation!C17)</f>
        <v>ZZZZZ</v>
      </c>
      <c r="B12" s="59" t="str">
        <f>IF(ISBLANK(ClassInformation!D17),"ZZZZZ",ClassInformation!D17)</f>
        <v>ZZZZZ</v>
      </c>
      <c r="WFK12" s="28">
        <f>ClassInformation!E17</f>
        <v>0</v>
      </c>
    </row>
    <row r="13" spans="1:2 15715:15715" s="28" customFormat="1" x14ac:dyDescent="0.25">
      <c r="A13" s="58" t="str">
        <f>IF(ISBLANK(ClassInformation!C18),"ZZZZZ",ClassInformation!C18)</f>
        <v>ZZZZZ</v>
      </c>
      <c r="B13" s="59" t="str">
        <f>IF(ISBLANK(ClassInformation!D18),"ZZZZZ",ClassInformation!D18)</f>
        <v>ZZZZZ</v>
      </c>
      <c r="WFK13" s="28">
        <f>ClassInformation!E18</f>
        <v>0</v>
      </c>
    </row>
    <row r="14" spans="1:2 15715:15715" s="28" customFormat="1" x14ac:dyDescent="0.25">
      <c r="A14" s="58" t="str">
        <f>IF(ISBLANK(ClassInformation!C19),"ZZZZZ",ClassInformation!C19)</f>
        <v>ZZZZZ</v>
      </c>
      <c r="B14" s="59" t="str">
        <f>IF(ISBLANK(ClassInformation!D19),"ZZZZZ",ClassInformation!D19)</f>
        <v>ZZZZZ</v>
      </c>
      <c r="WFK14" s="28">
        <f>ClassInformation!E19</f>
        <v>0</v>
      </c>
    </row>
    <row r="15" spans="1:2 15715:15715" s="28" customFormat="1" x14ac:dyDescent="0.25">
      <c r="A15" s="58" t="str">
        <f>IF(ISBLANK(ClassInformation!C20),"ZZZZZ",ClassInformation!C20)</f>
        <v>ZZZZZ</v>
      </c>
      <c r="B15" s="59" t="str">
        <f>IF(ISBLANK(ClassInformation!D20),"ZZZZZ",ClassInformation!D20)</f>
        <v>ZZZZZ</v>
      </c>
      <c r="WFK15" s="28">
        <f>ClassInformation!E20</f>
        <v>0</v>
      </c>
    </row>
    <row r="16" spans="1:2 15715:15715" s="28" customFormat="1" x14ac:dyDescent="0.25">
      <c r="A16" s="58" t="str">
        <f>IF(ISBLANK(ClassInformation!C21),"ZZZZZ",ClassInformation!C21)</f>
        <v>ZZZZZ</v>
      </c>
      <c r="B16" s="59" t="str">
        <f>IF(ISBLANK(ClassInformation!D21),"ZZZZZ",ClassInformation!D21)</f>
        <v>ZZZZZ</v>
      </c>
      <c r="WFK16" s="28">
        <f>ClassInformation!E21</f>
        <v>0</v>
      </c>
    </row>
    <row r="17" spans="1:2 15715:15715" s="28" customFormat="1" x14ac:dyDescent="0.25">
      <c r="A17" s="58" t="str">
        <f>IF(ISBLANK(ClassInformation!C22),"ZZZZZ",ClassInformation!C22)</f>
        <v>ZZZZZ</v>
      </c>
      <c r="B17" s="59" t="str">
        <f>IF(ISBLANK(ClassInformation!D22),"ZZZZZ",ClassInformation!D22)</f>
        <v>ZZZZZ</v>
      </c>
      <c r="WFK17" s="28">
        <f>ClassInformation!E22</f>
        <v>0</v>
      </c>
    </row>
    <row r="18" spans="1:2 15715:15715" s="28" customFormat="1" x14ac:dyDescent="0.25">
      <c r="A18" s="58" t="str">
        <f>IF(ISBLANK(ClassInformation!C23),"ZZZZZ",ClassInformation!C23)</f>
        <v>ZZZZZ</v>
      </c>
      <c r="B18" s="59" t="str">
        <f>IF(ISBLANK(ClassInformation!D23),"ZZZZZ",ClassInformation!D23)</f>
        <v>ZZZZZ</v>
      </c>
      <c r="WFK18" s="28">
        <f>ClassInformation!E23</f>
        <v>0</v>
      </c>
    </row>
    <row r="19" spans="1:2 15715:15715" s="28" customFormat="1" x14ac:dyDescent="0.25">
      <c r="A19" s="58" t="str">
        <f>IF(ISBLANK(ClassInformation!C24),"ZZZZZ",ClassInformation!C24)</f>
        <v>ZZZZZ</v>
      </c>
      <c r="B19" s="59" t="str">
        <f>IF(ISBLANK(ClassInformation!D24),"ZZZZZ",ClassInformation!D24)</f>
        <v>ZZZZZ</v>
      </c>
      <c r="WFK19" s="28">
        <f>ClassInformation!E24</f>
        <v>0</v>
      </c>
    </row>
    <row r="20" spans="1:2 15715:15715" s="28" customFormat="1" x14ac:dyDescent="0.25">
      <c r="A20" s="58" t="str">
        <f>IF(ISBLANK(ClassInformation!C25),"ZZZZZ",ClassInformation!C25)</f>
        <v>ZZZZZ</v>
      </c>
      <c r="B20" s="59" t="str">
        <f>IF(ISBLANK(ClassInformation!D25),"ZZZZZ",ClassInformation!D25)</f>
        <v>ZZZZZ</v>
      </c>
      <c r="WFK20" s="28">
        <f>ClassInformation!E25</f>
        <v>0</v>
      </c>
    </row>
    <row r="21" spans="1:2 15715:15715" s="28" customFormat="1" x14ac:dyDescent="0.25">
      <c r="A21" s="58" t="str">
        <f>IF(ISBLANK(ClassInformation!C26),"ZZZZZ",ClassInformation!C26)</f>
        <v>ZZZZZ</v>
      </c>
      <c r="B21" s="59" t="str">
        <f>IF(ISBLANK(ClassInformation!D26),"ZZZZZ",ClassInformation!D26)</f>
        <v>ZZZZZ</v>
      </c>
      <c r="WFK21" s="28">
        <f>ClassInformation!E26</f>
        <v>0</v>
      </c>
    </row>
    <row r="22" spans="1:2 15715:15715" s="28" customFormat="1" x14ac:dyDescent="0.25">
      <c r="A22" s="58" t="str">
        <f>IF(ISBLANK(ClassInformation!C27),"ZZZZZ",ClassInformation!C27)</f>
        <v>ZZZZZ</v>
      </c>
      <c r="B22" s="59" t="str">
        <f>IF(ISBLANK(ClassInformation!D27),"ZZZZZ",ClassInformation!D27)</f>
        <v>ZZZZZ</v>
      </c>
      <c r="WFK22" s="28">
        <f>ClassInformation!E27</f>
        <v>0</v>
      </c>
    </row>
    <row r="23" spans="1:2 15715:15715" s="28" customFormat="1" x14ac:dyDescent="0.25">
      <c r="A23" s="58" t="str">
        <f>IF(ISBLANK(ClassInformation!C28),"ZZZZZ",ClassInformation!C28)</f>
        <v>ZZZZZ</v>
      </c>
      <c r="B23" s="59" t="str">
        <f>IF(ISBLANK(ClassInformation!D28),"ZZZZZ",ClassInformation!D28)</f>
        <v>ZZZZZ</v>
      </c>
      <c r="WFK23" s="28">
        <f>ClassInformation!E28</f>
        <v>0</v>
      </c>
    </row>
    <row r="24" spans="1:2 15715:15715" s="28" customFormat="1" x14ac:dyDescent="0.25">
      <c r="A24" s="58" t="str">
        <f>IF(ISBLANK(ClassInformation!C29),"ZZZZZ",ClassInformation!C29)</f>
        <v>ZZZZZ</v>
      </c>
      <c r="B24" s="59" t="str">
        <f>IF(ISBLANK(ClassInformation!D29),"ZZZZZ",ClassInformation!D29)</f>
        <v>ZZZZZ</v>
      </c>
      <c r="WFK24" s="28">
        <f>ClassInformation!E29</f>
        <v>0</v>
      </c>
    </row>
    <row r="25" spans="1:2 15715:15715" s="28" customFormat="1" x14ac:dyDescent="0.25">
      <c r="A25" s="58" t="str">
        <f>IF(ISBLANK(ClassInformation!C30),"ZZZZZ",ClassInformation!C30)</f>
        <v>ZZZZZ</v>
      </c>
      <c r="B25" s="59" t="str">
        <f>IF(ISBLANK(ClassInformation!D30),"ZZZZZ",ClassInformation!D30)</f>
        <v>ZZZZZ</v>
      </c>
      <c r="WFK25" s="28">
        <f>ClassInformation!E30</f>
        <v>0</v>
      </c>
    </row>
    <row r="26" spans="1:2 15715:15715" s="28" customFormat="1" x14ac:dyDescent="0.25">
      <c r="A26" s="58" t="str">
        <f>IF(ISBLANK(ClassInformation!C31),"ZZZZZ",ClassInformation!C31)</f>
        <v>ZZZZZ</v>
      </c>
      <c r="B26" s="59" t="str">
        <f>IF(ISBLANK(ClassInformation!D31),"ZZZZZ",ClassInformation!D31)</f>
        <v>ZZZZZ</v>
      </c>
      <c r="WFK26" s="28">
        <f>ClassInformation!E31</f>
        <v>0</v>
      </c>
    </row>
    <row r="27" spans="1:2 15715:15715" s="28" customFormat="1" x14ac:dyDescent="0.25">
      <c r="A27" s="58" t="str">
        <f>IF(ISBLANK(ClassInformation!C32),"ZZZZZ",ClassInformation!C32)</f>
        <v>ZZZZZ</v>
      </c>
      <c r="B27" s="59" t="str">
        <f>IF(ISBLANK(ClassInformation!D32),"ZZZZZ",ClassInformation!D32)</f>
        <v>ZZZZZ</v>
      </c>
      <c r="WFK27" s="28">
        <f>ClassInformation!E32</f>
        <v>0</v>
      </c>
    </row>
    <row r="28" spans="1:2 15715:15715" s="28" customFormat="1" x14ac:dyDescent="0.25">
      <c r="A28" s="58" t="str">
        <f>IF(ISBLANK(ClassInformation!C33),"ZZZZZ",ClassInformation!C33)</f>
        <v>ZZZZZ</v>
      </c>
      <c r="B28" s="59" t="str">
        <f>IF(ISBLANK(ClassInformation!D33),"ZZZZZ",ClassInformation!D33)</f>
        <v>ZZZZZ</v>
      </c>
      <c r="WFK28" s="28">
        <f>ClassInformation!E33</f>
        <v>0</v>
      </c>
    </row>
    <row r="29" spans="1:2 15715:15715" s="28" customFormat="1" x14ac:dyDescent="0.25">
      <c r="A29" s="58" t="str">
        <f>IF(ISBLANK(ClassInformation!C34),"ZZZZZ",ClassInformation!C34)</f>
        <v>ZZZZZ</v>
      </c>
      <c r="B29" s="59" t="str">
        <f>IF(ISBLANK(ClassInformation!D34),"ZZZZZ",ClassInformation!D34)</f>
        <v>ZZZZZ</v>
      </c>
      <c r="WFK29" s="28">
        <f>ClassInformation!E34</f>
        <v>0</v>
      </c>
    </row>
    <row r="30" spans="1:2 15715:15715" s="28" customFormat="1" x14ac:dyDescent="0.25">
      <c r="A30" s="58" t="str">
        <f>IF(ISBLANK(ClassInformation!C35),"ZZZZZ",ClassInformation!C35)</f>
        <v>ZZZZZ</v>
      </c>
      <c r="B30" s="59" t="str">
        <f>IF(ISBLANK(ClassInformation!D35),"ZZZZZ",ClassInformation!D35)</f>
        <v>ZZZZZ</v>
      </c>
      <c r="WFK30" s="28">
        <f>ClassInformation!E35</f>
        <v>0</v>
      </c>
    </row>
    <row r="31" spans="1:2 15715:15715" s="28" customFormat="1" x14ac:dyDescent="0.25">
      <c r="A31" s="58" t="str">
        <f>IF(ISBLANK(ClassInformation!C36),"ZZZZZ",ClassInformation!C36)</f>
        <v>ZZZZZ</v>
      </c>
      <c r="B31" s="59" t="str">
        <f>IF(ISBLANK(ClassInformation!D36),"ZZZZZ",ClassInformation!D36)</f>
        <v>ZZZZZ</v>
      </c>
      <c r="WFK31" s="28">
        <f>ClassInformation!E36</f>
        <v>0</v>
      </c>
    </row>
    <row r="32" spans="1:2 15715:15715" s="28" customFormat="1" x14ac:dyDescent="0.25">
      <c r="A32" s="58" t="str">
        <f>IF(ISBLANK(ClassInformation!C37),"ZZZZZ",ClassInformation!C37)</f>
        <v>ZZZZZ</v>
      </c>
      <c r="B32" s="59" t="str">
        <f>IF(ISBLANK(ClassInformation!D37),"ZZZZZ",ClassInformation!D37)</f>
        <v>ZZZZZ</v>
      </c>
      <c r="WFK32" s="28">
        <f>ClassInformation!E37</f>
        <v>0</v>
      </c>
    </row>
    <row r="33" spans="1:2 15517:15715" s="28" customFormat="1" x14ac:dyDescent="0.25">
      <c r="A33" s="58" t="str">
        <f>IF(ISBLANK(ClassInformation!C38),"ZZZZZ",ClassInformation!C38)</f>
        <v>ZZZZZ</v>
      </c>
      <c r="B33" s="59" t="str">
        <f>IF(ISBLANK(ClassInformation!D38),"ZZZZZ",ClassInformation!D38)</f>
        <v>ZZZZZ</v>
      </c>
      <c r="WFK33" s="28">
        <f>ClassInformation!E38</f>
        <v>0</v>
      </c>
    </row>
    <row r="34" spans="1:2 15517:15715" s="28" customFormat="1" x14ac:dyDescent="0.25">
      <c r="A34" s="58" t="str">
        <f>IF(ISBLANK(ClassInformation!C39),"ZZZZZ",ClassInformation!C39)</f>
        <v>ZZZZZ</v>
      </c>
      <c r="B34" s="59" t="str">
        <f>IF(ISBLANK(ClassInformation!D39),"ZZZZZ",ClassInformation!D39)</f>
        <v>ZZZZZ</v>
      </c>
      <c r="WFK34" s="28">
        <f>ClassInformation!E39</f>
        <v>0</v>
      </c>
    </row>
    <row r="35" spans="1:2 15517:15715" s="28" customFormat="1" x14ac:dyDescent="0.25">
      <c r="A35" s="58" t="str">
        <f>IF(ISBLANK(ClassInformation!C40),"ZZZZZ",ClassInformation!C40)</f>
        <v>ZZZZZ</v>
      </c>
      <c r="B35" s="59" t="str">
        <f>IF(ISBLANK(ClassInformation!D40),"ZZZZZ",ClassInformation!D40)</f>
        <v>ZZZZZ</v>
      </c>
      <c r="WFK35" s="28">
        <f>ClassInformation!E40</f>
        <v>0</v>
      </c>
    </row>
    <row r="36" spans="1:2 15517:15715" s="28" customFormat="1" x14ac:dyDescent="0.25">
      <c r="A36" s="58" t="str">
        <f>IF(ISBLANK(ClassInformation!C41),"ZZZZZ",ClassInformation!C41)</f>
        <v>ZZZZZ</v>
      </c>
      <c r="B36" s="59" t="str">
        <f>IF(ISBLANK(ClassInformation!D41),"ZZZZZ",ClassInformation!D41)</f>
        <v>ZZZZZ</v>
      </c>
      <c r="WFK36" s="28">
        <f>ClassInformation!E41</f>
        <v>0</v>
      </c>
    </row>
    <row r="37" spans="1:2 15517:15715" s="28" customFormat="1" x14ac:dyDescent="0.25">
      <c r="A37" s="58" t="str">
        <f>IF(ISBLANK(ClassInformation!C42),"ZZZZZ",ClassInformation!C42)</f>
        <v>ZZZZZ</v>
      </c>
      <c r="B37" s="59" t="str">
        <f>IF(ISBLANK(ClassInformation!D42),"ZZZZZ",ClassInformation!D42)</f>
        <v>ZZZZZ</v>
      </c>
      <c r="WFK37" s="28">
        <f>ClassInformation!E42</f>
        <v>0</v>
      </c>
    </row>
    <row r="38" spans="1:2 15517:15715" s="28" customFormat="1" x14ac:dyDescent="0.25">
      <c r="A38" s="58" t="str">
        <f>IF(ISBLANK(ClassInformation!C43),"ZZZZZ",ClassInformation!C43)</f>
        <v>ZZZZZ</v>
      </c>
      <c r="B38" s="59" t="str">
        <f>IF(ISBLANK(ClassInformation!D43),"ZZZZZ",ClassInformation!D43)</f>
        <v>ZZZZZ</v>
      </c>
      <c r="WFK38" s="28">
        <f>ClassInformation!E43</f>
        <v>0</v>
      </c>
    </row>
    <row r="39" spans="1:2 15517:15715" s="28" customFormat="1" x14ac:dyDescent="0.25">
      <c r="A39" s="58" t="str">
        <f>IF(ISBLANK(ClassInformation!C44),"ZZZZZ",ClassInformation!C44)</f>
        <v>ZZZZZ</v>
      </c>
      <c r="B39" s="59" t="str">
        <f>IF(ISBLANK(ClassInformation!D44),"ZZZZZ",ClassInformation!D44)</f>
        <v>ZZZZZ</v>
      </c>
      <c r="WFK39" s="28">
        <f>ClassInformation!E44</f>
        <v>0</v>
      </c>
    </row>
    <row r="40" spans="1:2 15517:15715" s="28" customFormat="1" ht="15.75" thickBot="1" x14ac:dyDescent="0.3">
      <c r="A40" s="103" t="str">
        <f>IF(ISBLANK(ClassInformation!C45),"ZZZZZ",ClassInformation!C45)</f>
        <v>ZZZZZ</v>
      </c>
      <c r="B40" s="104" t="str">
        <f>IF(ISBLANK(ClassInformation!D45),"ZZZZZ",ClassInformation!D45)</f>
        <v>ZZZZZ</v>
      </c>
      <c r="WFK40" s="28">
        <f>ClassInformation!E45</f>
        <v>0</v>
      </c>
    </row>
    <row r="41" spans="1:2 15517:15715" x14ac:dyDescent="0.25">
      <c r="VXU41" s="28"/>
    </row>
    <row r="46" spans="1:2 15517:15715" x14ac:dyDescent="0.25">
      <c r="A46" s="28"/>
    </row>
    <row r="47" spans="1:2 15517:15715" x14ac:dyDescent="0.25">
      <c r="A47" s="28"/>
    </row>
    <row r="48" spans="1:2 15517:1571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WFK40">
    <sortCondition ref="A5"/>
  </sortState>
  <mergeCells count="2">
    <mergeCell ref="A1:B2"/>
    <mergeCell ref="A3:B3"/>
  </mergeCells>
  <conditionalFormatting sqref="A5:B40">
    <cfRule type="expression" dxfId="11" priority="1044">
      <formula>$WFK5="N"</formula>
    </cfRule>
    <cfRule type="expression" dxfId="10" priority="104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CW81"/>
  <sheetViews>
    <sheetView tabSelected="1" zoomScale="85" zoomScaleNormal="85" workbookViewId="0">
      <pane xSplit="2" ySplit="4" topLeftCell="C5" activePane="bottomRight" state="frozenSplit"/>
      <selection pane="topRight" activeCell="AE1" sqref="AE1"/>
      <selection pane="bottomLeft" activeCell="A23" sqref="A23"/>
      <selection pane="bottomRight" activeCell="A23" sqref="A23"/>
    </sheetView>
  </sheetViews>
  <sheetFormatPr defaultColWidth="0" defaultRowHeight="15" customHeight="1" x14ac:dyDescent="0.25"/>
  <cols>
    <col min="1" max="2" width="15.7109375" style="61" customWidth="1"/>
    <col min="3" max="16281" width="0" style="62" hidden="1"/>
    <col min="16282" max="16384" width="9.140625" style="62" hidden="1"/>
  </cols>
  <sheetData>
    <row r="1" spans="1:2 16325:16325" s="60" customFormat="1" x14ac:dyDescent="0.25">
      <c r="A1" s="222" t="str">
        <f>_xlfn.CONCAT("Year ",ClassInformation!D4,ClassInformation!E4," ",ClassInformation!D5," - ","Semester 2 ",ClassInformation!D6)</f>
        <v>Year 7A [Subject] - Semester 2 2020</v>
      </c>
      <c r="B1" s="223"/>
    </row>
    <row r="2" spans="1:2 16325:16325" s="60" customFormat="1" x14ac:dyDescent="0.25">
      <c r="A2" s="222"/>
      <c r="B2" s="223"/>
    </row>
    <row r="3" spans="1:2 16325:16325" s="60" customFormat="1" x14ac:dyDescent="0.25">
      <c r="A3" s="224" t="s">
        <v>21</v>
      </c>
      <c r="B3" s="225"/>
    </row>
    <row r="4" spans="1:2 16325:16325" s="60" customFormat="1" ht="15.75" thickBot="1" x14ac:dyDescent="0.3">
      <c r="A4" s="105" t="str">
        <f>ClassInformation!C9</f>
        <v>Last Name</v>
      </c>
      <c r="B4" s="57" t="str">
        <f>ClassInformation!D9</f>
        <v>First Name</v>
      </c>
    </row>
    <row r="5" spans="1:2 16325:16325" s="28" customFormat="1" x14ac:dyDescent="0.25">
      <c r="A5" s="110" t="str">
        <f>IF(ISBLANK(ClassInformation!C10),"ZZZZZ",ClassInformation!C10)</f>
        <v>ZZZZZ</v>
      </c>
      <c r="B5" s="59" t="str">
        <f>IF(ISBLANK(ClassInformation!D10),"ZZZZZ",ClassInformation!D10)</f>
        <v>ZZZZZ</v>
      </c>
      <c r="XCW5" s="28">
        <f>ClassInformation!E10</f>
        <v>0</v>
      </c>
    </row>
    <row r="6" spans="1:2 16325:16325" s="28" customFormat="1" x14ac:dyDescent="0.25">
      <c r="A6" s="58" t="str">
        <f>IF(ISBLANK(ClassInformation!C11),"ZZZZZ",ClassInformation!C11)</f>
        <v>ZZZZZ</v>
      </c>
      <c r="B6" s="59" t="str">
        <f>IF(ISBLANK(ClassInformation!D11),"ZZZZZ",ClassInformation!D11)</f>
        <v>ZZZZZ</v>
      </c>
      <c r="XCW6" s="28">
        <f>ClassInformation!E11</f>
        <v>0</v>
      </c>
    </row>
    <row r="7" spans="1:2 16325:16325" s="28" customFormat="1" x14ac:dyDescent="0.25">
      <c r="A7" s="58" t="str">
        <f>IF(ISBLANK(ClassInformation!C12),"ZZZZZ",ClassInformation!C12)</f>
        <v>ZZZZZ</v>
      </c>
      <c r="B7" s="59" t="str">
        <f>IF(ISBLANK(ClassInformation!D12),"ZZZZZ",ClassInformation!D12)</f>
        <v>ZZZZZ</v>
      </c>
      <c r="XCW7" s="28">
        <f>ClassInformation!E12</f>
        <v>0</v>
      </c>
    </row>
    <row r="8" spans="1:2 16325:16325" s="28" customFormat="1" x14ac:dyDescent="0.25">
      <c r="A8" s="58" t="str">
        <f>IF(ISBLANK(ClassInformation!C13),"ZZZZZ",ClassInformation!C13)</f>
        <v>ZZZZZ</v>
      </c>
      <c r="B8" s="59" t="str">
        <f>IF(ISBLANK(ClassInformation!D13),"ZZZZZ",ClassInformation!D13)</f>
        <v>ZZZZZ</v>
      </c>
      <c r="XCW8" s="28">
        <f>ClassInformation!E13</f>
        <v>0</v>
      </c>
    </row>
    <row r="9" spans="1:2 16325:16325" s="28" customFormat="1" x14ac:dyDescent="0.25">
      <c r="A9" s="58" t="str">
        <f>IF(ISBLANK(ClassInformation!C14),"ZZZZZ",ClassInformation!C14)</f>
        <v>ZZZZZ</v>
      </c>
      <c r="B9" s="59" t="str">
        <f>IF(ISBLANK(ClassInformation!D14),"ZZZZZ",ClassInformation!D14)</f>
        <v>ZZZZZ</v>
      </c>
      <c r="XCW9" s="28">
        <f>ClassInformation!E14</f>
        <v>0</v>
      </c>
    </row>
    <row r="10" spans="1:2 16325:16325" s="28" customFormat="1" x14ac:dyDescent="0.25">
      <c r="A10" s="58" t="str">
        <f>IF(ISBLANK(ClassInformation!C15),"ZZZZZ",ClassInformation!C15)</f>
        <v>ZZZZZ</v>
      </c>
      <c r="B10" s="59" t="str">
        <f>IF(ISBLANK(ClassInformation!D15),"ZZZZZ",ClassInformation!D15)</f>
        <v>ZZZZZ</v>
      </c>
      <c r="XCW10" s="28">
        <f>ClassInformation!E15</f>
        <v>0</v>
      </c>
    </row>
    <row r="11" spans="1:2 16325:16325" s="28" customFormat="1" x14ac:dyDescent="0.25">
      <c r="A11" s="58" t="str">
        <f>IF(ISBLANK(ClassInformation!C16),"ZZZZZ",ClassInformation!C16)</f>
        <v>ZZZZZ</v>
      </c>
      <c r="B11" s="59" t="str">
        <f>IF(ISBLANK(ClassInformation!D16),"ZZZZZ",ClassInformation!D16)</f>
        <v>ZZZZZ</v>
      </c>
      <c r="XCW11" s="28">
        <f>ClassInformation!E16</f>
        <v>0</v>
      </c>
    </row>
    <row r="12" spans="1:2 16325:16325" s="28" customFormat="1" x14ac:dyDescent="0.25">
      <c r="A12" s="58" t="str">
        <f>IF(ISBLANK(ClassInformation!C17),"ZZZZZ",ClassInformation!C17)</f>
        <v>ZZZZZ</v>
      </c>
      <c r="B12" s="59" t="str">
        <f>IF(ISBLANK(ClassInformation!D17),"ZZZZZ",ClassInformation!D17)</f>
        <v>ZZZZZ</v>
      </c>
      <c r="XCW12" s="28">
        <f>ClassInformation!E17</f>
        <v>0</v>
      </c>
    </row>
    <row r="13" spans="1:2 16325:16325" s="28" customFormat="1" x14ac:dyDescent="0.25">
      <c r="A13" s="58" t="str">
        <f>IF(ISBLANK(ClassInformation!C18),"ZZZZZ",ClassInformation!C18)</f>
        <v>ZZZZZ</v>
      </c>
      <c r="B13" s="59" t="str">
        <f>IF(ISBLANK(ClassInformation!D18),"ZZZZZ",ClassInformation!D18)</f>
        <v>ZZZZZ</v>
      </c>
      <c r="XCW13" s="28">
        <f>ClassInformation!E18</f>
        <v>0</v>
      </c>
    </row>
    <row r="14" spans="1:2 16325:16325" s="28" customFormat="1" x14ac:dyDescent="0.25">
      <c r="A14" s="58" t="str">
        <f>IF(ISBLANK(ClassInformation!C19),"ZZZZZ",ClassInformation!C19)</f>
        <v>ZZZZZ</v>
      </c>
      <c r="B14" s="59" t="str">
        <f>IF(ISBLANK(ClassInformation!D19),"ZZZZZ",ClassInformation!D19)</f>
        <v>ZZZZZ</v>
      </c>
      <c r="XCW14" s="28">
        <f>ClassInformation!E19</f>
        <v>0</v>
      </c>
    </row>
    <row r="15" spans="1:2 16325:16325" s="28" customFormat="1" x14ac:dyDescent="0.25">
      <c r="A15" s="58" t="str">
        <f>IF(ISBLANK(ClassInformation!C20),"ZZZZZ",ClassInformation!C20)</f>
        <v>ZZZZZ</v>
      </c>
      <c r="B15" s="59" t="str">
        <f>IF(ISBLANK(ClassInformation!D20),"ZZZZZ",ClassInformation!D20)</f>
        <v>ZZZZZ</v>
      </c>
      <c r="XCW15" s="28">
        <f>ClassInformation!E20</f>
        <v>0</v>
      </c>
    </row>
    <row r="16" spans="1:2 16325:16325" s="28" customFormat="1" x14ac:dyDescent="0.25">
      <c r="A16" s="58" t="str">
        <f>IF(ISBLANK(ClassInformation!C21),"ZZZZZ",ClassInformation!C21)</f>
        <v>ZZZZZ</v>
      </c>
      <c r="B16" s="59" t="str">
        <f>IF(ISBLANK(ClassInformation!D21),"ZZZZZ",ClassInformation!D21)</f>
        <v>ZZZZZ</v>
      </c>
      <c r="XCW16" s="28">
        <f>ClassInformation!E21</f>
        <v>0</v>
      </c>
    </row>
    <row r="17" spans="1:2 16325:16325" s="28" customFormat="1" x14ac:dyDescent="0.25">
      <c r="A17" s="58" t="str">
        <f>IF(ISBLANK(ClassInformation!C22),"ZZZZZ",ClassInformation!C22)</f>
        <v>ZZZZZ</v>
      </c>
      <c r="B17" s="59" t="str">
        <f>IF(ISBLANK(ClassInformation!D22),"ZZZZZ",ClassInformation!D22)</f>
        <v>ZZZZZ</v>
      </c>
      <c r="XCW17" s="28">
        <f>ClassInformation!E22</f>
        <v>0</v>
      </c>
    </row>
    <row r="18" spans="1:2 16325:16325" s="28" customFormat="1" x14ac:dyDescent="0.25">
      <c r="A18" s="58" t="str">
        <f>IF(ISBLANK(ClassInformation!C23),"ZZZZZ",ClassInformation!C23)</f>
        <v>ZZZZZ</v>
      </c>
      <c r="B18" s="59" t="str">
        <f>IF(ISBLANK(ClassInformation!D23),"ZZZZZ",ClassInformation!D23)</f>
        <v>ZZZZZ</v>
      </c>
      <c r="XCW18" s="28">
        <f>ClassInformation!E23</f>
        <v>0</v>
      </c>
    </row>
    <row r="19" spans="1:2 16325:16325" s="28" customFormat="1" x14ac:dyDescent="0.25">
      <c r="A19" s="58" t="str">
        <f>IF(ISBLANK(ClassInformation!C24),"ZZZZZ",ClassInformation!C24)</f>
        <v>ZZZZZ</v>
      </c>
      <c r="B19" s="59" t="str">
        <f>IF(ISBLANK(ClassInformation!D24),"ZZZZZ",ClassInformation!D24)</f>
        <v>ZZZZZ</v>
      </c>
      <c r="XCW19" s="28">
        <f>ClassInformation!E24</f>
        <v>0</v>
      </c>
    </row>
    <row r="20" spans="1:2 16325:16325" s="28" customFormat="1" x14ac:dyDescent="0.25">
      <c r="A20" s="58" t="str">
        <f>IF(ISBLANK(ClassInformation!C25),"ZZZZZ",ClassInformation!C25)</f>
        <v>ZZZZZ</v>
      </c>
      <c r="B20" s="59" t="str">
        <f>IF(ISBLANK(ClassInformation!D25),"ZZZZZ",ClassInformation!D25)</f>
        <v>ZZZZZ</v>
      </c>
      <c r="XCW20" s="28">
        <f>ClassInformation!E25</f>
        <v>0</v>
      </c>
    </row>
    <row r="21" spans="1:2 16325:16325" s="28" customFormat="1" x14ac:dyDescent="0.25">
      <c r="A21" s="58" t="str">
        <f>IF(ISBLANK(ClassInformation!C26),"ZZZZZ",ClassInformation!C26)</f>
        <v>ZZZZZ</v>
      </c>
      <c r="B21" s="59" t="str">
        <f>IF(ISBLANK(ClassInformation!D26),"ZZZZZ",ClassInformation!D26)</f>
        <v>ZZZZZ</v>
      </c>
      <c r="XCW21" s="28">
        <f>ClassInformation!E26</f>
        <v>0</v>
      </c>
    </row>
    <row r="22" spans="1:2 16325:16325" s="28" customFormat="1" x14ac:dyDescent="0.25">
      <c r="A22" s="58" t="str">
        <f>IF(ISBLANK(ClassInformation!C27),"ZZZZZ",ClassInformation!C27)</f>
        <v>ZZZZZ</v>
      </c>
      <c r="B22" s="59" t="str">
        <f>IF(ISBLANK(ClassInformation!D27),"ZZZZZ",ClassInformation!D27)</f>
        <v>ZZZZZ</v>
      </c>
      <c r="XCW22" s="28">
        <f>ClassInformation!E27</f>
        <v>0</v>
      </c>
    </row>
    <row r="23" spans="1:2 16325:16325" s="28" customFormat="1" x14ac:dyDescent="0.25">
      <c r="A23" s="58" t="str">
        <f>IF(ISBLANK(ClassInformation!C28),"ZZZZZ",ClassInformation!C28)</f>
        <v>ZZZZZ</v>
      </c>
      <c r="B23" s="59" t="str">
        <f>IF(ISBLANK(ClassInformation!D28),"ZZZZZ",ClassInformation!D28)</f>
        <v>ZZZZZ</v>
      </c>
      <c r="XCW23" s="28">
        <f>ClassInformation!E28</f>
        <v>0</v>
      </c>
    </row>
    <row r="24" spans="1:2 16325:16325" s="28" customFormat="1" x14ac:dyDescent="0.25">
      <c r="A24" s="58" t="str">
        <f>IF(ISBLANK(ClassInformation!C29),"ZZZZZ",ClassInformation!C29)</f>
        <v>ZZZZZ</v>
      </c>
      <c r="B24" s="59" t="str">
        <f>IF(ISBLANK(ClassInformation!D29),"ZZZZZ",ClassInformation!D29)</f>
        <v>ZZZZZ</v>
      </c>
      <c r="XCW24" s="28">
        <f>ClassInformation!E29</f>
        <v>0</v>
      </c>
    </row>
    <row r="25" spans="1:2 16325:16325" s="28" customFormat="1" x14ac:dyDescent="0.25">
      <c r="A25" s="58" t="str">
        <f>IF(ISBLANK(ClassInformation!C30),"ZZZZZ",ClassInformation!C30)</f>
        <v>ZZZZZ</v>
      </c>
      <c r="B25" s="59" t="str">
        <f>IF(ISBLANK(ClassInformation!D30),"ZZZZZ",ClassInformation!D30)</f>
        <v>ZZZZZ</v>
      </c>
      <c r="XCW25" s="28">
        <f>ClassInformation!E30</f>
        <v>0</v>
      </c>
    </row>
    <row r="26" spans="1:2 16325:16325" s="28" customFormat="1" x14ac:dyDescent="0.25">
      <c r="A26" s="58" t="str">
        <f>IF(ISBLANK(ClassInformation!C31),"ZZZZZ",ClassInformation!C31)</f>
        <v>ZZZZZ</v>
      </c>
      <c r="B26" s="59" t="str">
        <f>IF(ISBLANK(ClassInformation!D31),"ZZZZZ",ClassInformation!D31)</f>
        <v>ZZZZZ</v>
      </c>
      <c r="XCW26" s="28">
        <f>ClassInformation!E31</f>
        <v>0</v>
      </c>
    </row>
    <row r="27" spans="1:2 16325:16325" s="28" customFormat="1" x14ac:dyDescent="0.25">
      <c r="A27" s="58" t="str">
        <f>IF(ISBLANK(ClassInformation!C32),"ZZZZZ",ClassInformation!C32)</f>
        <v>ZZZZZ</v>
      </c>
      <c r="B27" s="59" t="str">
        <f>IF(ISBLANK(ClassInformation!D32),"ZZZZZ",ClassInformation!D32)</f>
        <v>ZZZZZ</v>
      </c>
      <c r="XCW27" s="28">
        <f>ClassInformation!E32</f>
        <v>0</v>
      </c>
    </row>
    <row r="28" spans="1:2 16325:16325" s="28" customFormat="1" x14ac:dyDescent="0.25">
      <c r="A28" s="58" t="str">
        <f>IF(ISBLANK(ClassInformation!C33),"ZZZZZ",ClassInformation!C33)</f>
        <v>ZZZZZ</v>
      </c>
      <c r="B28" s="59" t="str">
        <f>IF(ISBLANK(ClassInformation!D33),"ZZZZZ",ClassInformation!D33)</f>
        <v>ZZZZZ</v>
      </c>
      <c r="XCW28" s="28">
        <f>ClassInformation!E33</f>
        <v>0</v>
      </c>
    </row>
    <row r="29" spans="1:2 16325:16325" s="28" customFormat="1" x14ac:dyDescent="0.25">
      <c r="A29" s="58" t="str">
        <f>IF(ISBLANK(ClassInformation!C34),"ZZZZZ",ClassInformation!C34)</f>
        <v>ZZZZZ</v>
      </c>
      <c r="B29" s="59" t="str">
        <f>IF(ISBLANK(ClassInformation!D34),"ZZZZZ",ClassInformation!D34)</f>
        <v>ZZZZZ</v>
      </c>
      <c r="XCW29" s="28">
        <f>ClassInformation!E34</f>
        <v>0</v>
      </c>
    </row>
    <row r="30" spans="1:2 16325:16325" s="28" customFormat="1" x14ac:dyDescent="0.25">
      <c r="A30" s="58" t="str">
        <f>IF(ISBLANK(ClassInformation!C35),"ZZZZZ",ClassInformation!C35)</f>
        <v>ZZZZZ</v>
      </c>
      <c r="B30" s="59" t="str">
        <f>IF(ISBLANK(ClassInformation!D35),"ZZZZZ",ClassInformation!D35)</f>
        <v>ZZZZZ</v>
      </c>
      <c r="XCW30" s="28">
        <f>ClassInformation!E35</f>
        <v>0</v>
      </c>
    </row>
    <row r="31" spans="1:2 16325:16325" s="28" customFormat="1" x14ac:dyDescent="0.25">
      <c r="A31" s="58" t="str">
        <f>IF(ISBLANK(ClassInformation!C36),"ZZZZZ",ClassInformation!C36)</f>
        <v>ZZZZZ</v>
      </c>
      <c r="B31" s="59" t="str">
        <f>IF(ISBLANK(ClassInformation!D36),"ZZZZZ",ClassInformation!D36)</f>
        <v>ZZZZZ</v>
      </c>
      <c r="XCW31" s="28">
        <f>ClassInformation!E36</f>
        <v>0</v>
      </c>
    </row>
    <row r="32" spans="1:2 16325:16325" s="28" customFormat="1" x14ac:dyDescent="0.25">
      <c r="A32" s="58" t="str">
        <f>IF(ISBLANK(ClassInformation!C37),"ZZZZZ",ClassInformation!C37)</f>
        <v>ZZZZZ</v>
      </c>
      <c r="B32" s="59" t="str">
        <f>IF(ISBLANK(ClassInformation!D37),"ZZZZZ",ClassInformation!D37)</f>
        <v>ZZZZZ</v>
      </c>
      <c r="XCW32" s="28">
        <f>ClassInformation!E37</f>
        <v>0</v>
      </c>
    </row>
    <row r="33" spans="1:2 16127:16325" s="28" customFormat="1" x14ac:dyDescent="0.25">
      <c r="A33" s="58" t="str">
        <f>IF(ISBLANK(ClassInformation!C38),"ZZZZZ",ClassInformation!C38)</f>
        <v>ZZZZZ</v>
      </c>
      <c r="B33" s="59" t="str">
        <f>IF(ISBLANK(ClassInformation!D38),"ZZZZZ",ClassInformation!D38)</f>
        <v>ZZZZZ</v>
      </c>
      <c r="XCW33" s="28">
        <f>ClassInformation!E38</f>
        <v>0</v>
      </c>
    </row>
    <row r="34" spans="1:2 16127:16325" s="28" customFormat="1" x14ac:dyDescent="0.25">
      <c r="A34" s="58" t="str">
        <f>IF(ISBLANK(ClassInformation!C39),"ZZZZZ",ClassInformation!C39)</f>
        <v>ZZZZZ</v>
      </c>
      <c r="B34" s="59" t="str">
        <f>IF(ISBLANK(ClassInformation!D39),"ZZZZZ",ClassInformation!D39)</f>
        <v>ZZZZZ</v>
      </c>
      <c r="XCW34" s="28">
        <f>ClassInformation!E39</f>
        <v>0</v>
      </c>
    </row>
    <row r="35" spans="1:2 16127:16325" s="28" customFormat="1" x14ac:dyDescent="0.25">
      <c r="A35" s="58" t="str">
        <f>IF(ISBLANK(ClassInformation!C40),"ZZZZZ",ClassInformation!C40)</f>
        <v>ZZZZZ</v>
      </c>
      <c r="B35" s="59" t="str">
        <f>IF(ISBLANK(ClassInformation!D40),"ZZZZZ",ClassInformation!D40)</f>
        <v>ZZZZZ</v>
      </c>
      <c r="XCW35" s="28">
        <f>ClassInformation!E40</f>
        <v>0</v>
      </c>
    </row>
    <row r="36" spans="1:2 16127:16325" s="28" customFormat="1" x14ac:dyDescent="0.25">
      <c r="A36" s="58" t="str">
        <f>IF(ISBLANK(ClassInformation!C41),"ZZZZZ",ClassInformation!C41)</f>
        <v>ZZZZZ</v>
      </c>
      <c r="B36" s="59" t="str">
        <f>IF(ISBLANK(ClassInformation!D41),"ZZZZZ",ClassInformation!D41)</f>
        <v>ZZZZZ</v>
      </c>
      <c r="XCW36" s="28">
        <f>ClassInformation!E41</f>
        <v>0</v>
      </c>
    </row>
    <row r="37" spans="1:2 16127:16325" s="28" customFormat="1" x14ac:dyDescent="0.25">
      <c r="A37" s="58" t="str">
        <f>IF(ISBLANK(ClassInformation!C42),"ZZZZZ",ClassInformation!C42)</f>
        <v>ZZZZZ</v>
      </c>
      <c r="B37" s="59" t="str">
        <f>IF(ISBLANK(ClassInformation!D42),"ZZZZZ",ClassInformation!D42)</f>
        <v>ZZZZZ</v>
      </c>
      <c r="XCW37" s="28">
        <f>ClassInformation!E42</f>
        <v>0</v>
      </c>
    </row>
    <row r="38" spans="1:2 16127:16325" s="28" customFormat="1" x14ac:dyDescent="0.25">
      <c r="A38" s="58" t="str">
        <f>IF(ISBLANK(ClassInformation!C43),"ZZZZZ",ClassInformation!C43)</f>
        <v>ZZZZZ</v>
      </c>
      <c r="B38" s="59" t="str">
        <f>IF(ISBLANK(ClassInformation!D43),"ZZZZZ",ClassInformation!D43)</f>
        <v>ZZZZZ</v>
      </c>
      <c r="XCW38" s="28">
        <f>ClassInformation!E43</f>
        <v>0</v>
      </c>
    </row>
    <row r="39" spans="1:2 16127:16325" s="28" customFormat="1" x14ac:dyDescent="0.25">
      <c r="A39" s="58" t="str">
        <f>IF(ISBLANK(ClassInformation!C44),"ZZZZZ",ClassInformation!C44)</f>
        <v>ZZZZZ</v>
      </c>
      <c r="B39" s="59" t="str">
        <f>IF(ISBLANK(ClassInformation!D44),"ZZZZZ",ClassInformation!D44)</f>
        <v>ZZZZZ</v>
      </c>
      <c r="XCW39" s="28">
        <f>ClassInformation!E44</f>
        <v>0</v>
      </c>
    </row>
    <row r="40" spans="1:2 16127:16325" s="28" customFormat="1" ht="15.75" thickBot="1" x14ac:dyDescent="0.3">
      <c r="A40" s="103" t="str">
        <f>IF(ISBLANK(ClassInformation!C45),"ZZZZZ",ClassInformation!C45)</f>
        <v>ZZZZZ</v>
      </c>
      <c r="B40" s="104" t="str">
        <f>IF(ISBLANK(ClassInformation!D45),"ZZZZZ",ClassInformation!D45)</f>
        <v>ZZZZZ</v>
      </c>
      <c r="XCW40" s="28">
        <f>ClassInformation!E45</f>
        <v>0</v>
      </c>
    </row>
    <row r="41" spans="1:2 16127:16325" x14ac:dyDescent="0.25">
      <c r="WVG41" s="28"/>
    </row>
    <row r="46" spans="1:2 16127:16325" x14ac:dyDescent="0.25">
      <c r="A46" s="28"/>
    </row>
    <row r="47" spans="1:2 16127:16325" x14ac:dyDescent="0.25">
      <c r="A47" s="28"/>
    </row>
    <row r="48" spans="1:2 16127:1632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9" priority="964">
      <formula>$XCW5="N"</formula>
    </cfRule>
    <cfRule type="expression" dxfId="8" priority="96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H28" sqref="H28"/>
    </sheetView>
  </sheetViews>
  <sheetFormatPr defaultColWidth="9.140625" defaultRowHeight="15" x14ac:dyDescent="0.25"/>
  <cols>
    <col min="1" max="1" width="17" style="64" bestFit="1" customWidth="1"/>
    <col min="2" max="5" width="17" style="65" bestFit="1" customWidth="1"/>
    <col min="6" max="9" width="17" style="63" bestFit="1" customWidth="1"/>
    <col min="10" max="10" width="17" style="65" bestFit="1" customWidth="1"/>
    <col min="11" max="15" width="17" style="156" customWidth="1"/>
    <col min="16" max="16" width="17" style="65" customWidth="1"/>
    <col min="17" max="19" width="17" style="113" customWidth="1"/>
    <col min="20" max="20" width="17" style="65" customWidth="1"/>
    <col min="21" max="21" width="13.28515625" style="65" bestFit="1" customWidth="1"/>
    <col min="22" max="22" width="6.7109375" style="63" customWidth="1"/>
    <col min="23" max="23" width="6.7109375" style="65" customWidth="1"/>
    <col min="24" max="24" width="12.85546875" style="65" bestFit="1" customWidth="1"/>
    <col min="25" max="25" width="6.7109375" style="63" customWidth="1"/>
    <col min="26" max="26" width="6.5703125" style="65" customWidth="1"/>
    <col min="27" max="27" width="12.85546875" style="156" bestFit="1" customWidth="1"/>
    <col min="28" max="28" width="6.7109375" style="63" customWidth="1"/>
    <col min="29" max="29" width="6.5703125" style="156" customWidth="1"/>
    <col min="30" max="30" width="12.5703125" style="65" bestFit="1" customWidth="1"/>
    <col min="31" max="31" width="10.42578125" style="65" bestFit="1" customWidth="1"/>
    <col min="32" max="32" width="13.42578125" style="61" bestFit="1" customWidth="1"/>
    <col min="33" max="33" width="2.85546875" style="61" customWidth="1"/>
    <col min="34" max="16384" width="9.140625" style="61"/>
  </cols>
  <sheetData>
    <row r="1" spans="1:38" s="60" customFormat="1" x14ac:dyDescent="0.25">
      <c r="A1" s="114" t="s">
        <v>65</v>
      </c>
      <c r="B1" s="233"/>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4"/>
      <c r="AH1" s="141"/>
      <c r="AI1" s="141"/>
      <c r="AJ1" s="141"/>
      <c r="AK1" s="141"/>
      <c r="AL1" s="141"/>
    </row>
    <row r="2" spans="1:38" s="60" customFormat="1" x14ac:dyDescent="0.25">
      <c r="A2" s="235" t="s">
        <v>31</v>
      </c>
      <c r="B2" s="236"/>
      <c r="C2" s="236"/>
      <c r="D2" s="236"/>
      <c r="E2" s="236"/>
      <c r="F2" s="237" t="s">
        <v>33</v>
      </c>
      <c r="G2" s="238"/>
      <c r="H2" s="238"/>
      <c r="I2" s="238"/>
      <c r="J2" s="238"/>
      <c r="K2" s="239" t="s">
        <v>105</v>
      </c>
      <c r="L2" s="240"/>
      <c r="M2" s="240"/>
      <c r="N2" s="240"/>
      <c r="O2" s="241"/>
      <c r="P2" s="230" t="s">
        <v>77</v>
      </c>
      <c r="Q2" s="231"/>
      <c r="R2" s="231"/>
      <c r="S2" s="231"/>
      <c r="T2" s="232"/>
      <c r="U2" s="230" t="s">
        <v>96</v>
      </c>
      <c r="V2" s="231"/>
      <c r="W2" s="231"/>
      <c r="X2" s="231"/>
      <c r="Y2" s="231"/>
      <c r="Z2" s="231"/>
      <c r="AA2" s="231"/>
      <c r="AB2" s="231"/>
      <c r="AC2" s="231"/>
      <c r="AD2" s="231"/>
      <c r="AE2" s="231"/>
      <c r="AF2" s="244"/>
      <c r="AG2" s="115" t="s">
        <v>18</v>
      </c>
      <c r="AI2" s="142"/>
      <c r="AJ2" s="142"/>
      <c r="AK2" s="142"/>
      <c r="AL2" s="142"/>
    </row>
    <row r="3" spans="1:38" s="60" customFormat="1" x14ac:dyDescent="0.25">
      <c r="A3" s="116" t="s">
        <v>74</v>
      </c>
      <c r="B3" s="116" t="s">
        <v>73</v>
      </c>
      <c r="C3" s="116" t="s">
        <v>73</v>
      </c>
      <c r="D3" s="116" t="s">
        <v>73</v>
      </c>
      <c r="E3" s="116" t="s">
        <v>73</v>
      </c>
      <c r="F3" s="116" t="s">
        <v>73</v>
      </c>
      <c r="G3" s="116" t="s">
        <v>73</v>
      </c>
      <c r="H3" s="116" t="s">
        <v>73</v>
      </c>
      <c r="I3" s="116" t="s">
        <v>73</v>
      </c>
      <c r="J3" s="157" t="s">
        <v>73</v>
      </c>
      <c r="K3" s="116" t="s">
        <v>73</v>
      </c>
      <c r="L3" s="116" t="s">
        <v>73</v>
      </c>
      <c r="M3" s="116" t="s">
        <v>73</v>
      </c>
      <c r="N3" s="116" t="s">
        <v>73</v>
      </c>
      <c r="O3" s="116" t="s">
        <v>73</v>
      </c>
      <c r="P3" s="116" t="s">
        <v>73</v>
      </c>
      <c r="Q3" s="116" t="s">
        <v>73</v>
      </c>
      <c r="R3" s="116" t="s">
        <v>73</v>
      </c>
      <c r="S3" s="116" t="s">
        <v>73</v>
      </c>
      <c r="T3" s="116" t="s">
        <v>73</v>
      </c>
      <c r="U3" s="182" t="str">
        <f>_xlfn.TEXTJOIN(" ",TRUE,"Max",A2,":")</f>
        <v>Max UD :</v>
      </c>
      <c r="V3" s="226">
        <f>IF(OR(A4="-",B4="-",C4="-",D4="-",E4="-"),"-",SUM(A4,B4,C4,D4,E4))</f>
        <v>0</v>
      </c>
      <c r="W3" s="227"/>
      <c r="X3" s="183" t="str">
        <f>_xlfn.TEXTJOIN(" ",TRUE,"Max",F2,":")</f>
        <v>Max SD :</v>
      </c>
      <c r="Y3" s="228">
        <f>IF(OR(F4="-",G4="-",H4="-",I4="-",J4="-"),"-",SUM(F4,G4,H4,I4,J4))</f>
        <v>0</v>
      </c>
      <c r="Z3" s="229"/>
      <c r="AA3" s="184" t="str">
        <f>_xlfn.TEXTJOIN(" ",TRUE,"Max",K2,":")</f>
        <v>Max SHE :</v>
      </c>
      <c r="AB3" s="242">
        <f>IF(OR(K4="-",L4="-",M4="-",N4="-",O4="-"),"-",SUM(K4,L4,M4,N4,O4))</f>
        <v>0</v>
      </c>
      <c r="AC3" s="243"/>
      <c r="AD3" s="117"/>
      <c r="AE3" s="117"/>
      <c r="AF3" s="117"/>
      <c r="AG3" s="115" t="s">
        <v>18</v>
      </c>
    </row>
    <row r="4" spans="1:38" s="60" customFormat="1" x14ac:dyDescent="0.25">
      <c r="A4" s="118"/>
      <c r="B4" s="119"/>
      <c r="C4" s="119"/>
      <c r="D4" s="119"/>
      <c r="E4" s="119"/>
      <c r="F4" s="119"/>
      <c r="G4" s="119"/>
      <c r="H4" s="119"/>
      <c r="I4" s="119"/>
      <c r="J4" s="119"/>
      <c r="K4" s="119"/>
      <c r="L4" s="119"/>
      <c r="M4" s="119"/>
      <c r="N4" s="119"/>
      <c r="O4" s="119"/>
      <c r="P4" s="119"/>
      <c r="Q4" s="119"/>
      <c r="R4" s="119"/>
      <c r="S4" s="119"/>
      <c r="T4" s="119"/>
      <c r="U4" s="173" t="str">
        <f>_xlfn.TEXTJOIN(" ",TRUE,"Overall",A2)</f>
        <v>Overall UD</v>
      </c>
      <c r="V4" s="174" t="s">
        <v>87</v>
      </c>
      <c r="W4" s="175" t="s">
        <v>1</v>
      </c>
      <c r="X4" s="120" t="str">
        <f>_xlfn.TEXTJOIN(" ",TRUE,"Overall",F2)</f>
        <v>Overall SD</v>
      </c>
      <c r="Y4" s="121" t="s">
        <v>87</v>
      </c>
      <c r="Z4" s="122" t="s">
        <v>1</v>
      </c>
      <c r="AA4" s="160" t="str">
        <f>_xlfn.TEXTJOIN(" ",TRUE,"Overall",K2)</f>
        <v>Overall SHE</v>
      </c>
      <c r="AB4" s="161" t="s">
        <v>87</v>
      </c>
      <c r="AC4" s="162" t="s">
        <v>1</v>
      </c>
      <c r="AD4" s="123" t="s">
        <v>106</v>
      </c>
      <c r="AE4" s="123" t="s">
        <v>50</v>
      </c>
      <c r="AF4" s="123" t="s">
        <v>72</v>
      </c>
      <c r="AG4" s="115" t="s">
        <v>18</v>
      </c>
    </row>
    <row r="5" spans="1:38" s="60" customFormat="1" x14ac:dyDescent="0.25">
      <c r="A5" s="124"/>
      <c r="B5" s="124"/>
      <c r="C5" s="124"/>
      <c r="D5" s="124"/>
      <c r="E5" s="124"/>
      <c r="F5" s="125"/>
      <c r="G5" s="124"/>
      <c r="H5" s="124"/>
      <c r="I5" s="124"/>
      <c r="J5" s="124"/>
      <c r="K5" s="158"/>
      <c r="L5" s="170"/>
      <c r="M5" s="170"/>
      <c r="N5" s="170"/>
      <c r="O5" s="124"/>
      <c r="P5" s="125"/>
      <c r="Q5" s="170"/>
      <c r="R5" s="170"/>
      <c r="S5" s="170"/>
      <c r="T5" s="124"/>
      <c r="U5" s="176" t="str">
        <f>IF(COUNTIF(A5:E5,"*-*")&gt;0,"-",IF(COUNTBLANK(A5:E5)=5,"",IF(V$3="-","-",SUM(A5:E5))))</f>
        <v/>
      </c>
      <c r="V5" s="177" t="str">
        <f>IF(U5="","",IF(U5="-","-",U5/V$3))</f>
        <v/>
      </c>
      <c r="W5" s="178" t="str">
        <f>IF(V5="","",VLOOKUP(V5,Table1[],2,TRUE))</f>
        <v/>
      </c>
      <c r="X5" s="126" t="str">
        <f>IF(COUNTIF(F5:J5,"*-*")&gt;0,"-",IF(COUNTBLANK(F5:J5)=5,"",IF(Y$3="-","-",SUM(F5:J5))))</f>
        <v/>
      </c>
      <c r="Y5" s="127" t="str">
        <f>IF(X5="","",IF(X5="-","-",X5/Y$3))</f>
        <v/>
      </c>
      <c r="Z5" s="128" t="str">
        <f>IF(Y5="","",VLOOKUP(Y5,Table1[],2,TRUE))</f>
        <v/>
      </c>
      <c r="AA5" s="163" t="str">
        <f>IF(COUNTIF(K5:O5,"*-*")&gt;0,"-",IF(COUNTBLANK(K5:O5)=5,"",IF(AB$3="-","-",SUM(K5:O5))))</f>
        <v/>
      </c>
      <c r="AB5" s="164" t="str">
        <f>IF(AA5="","",IF(AA5="-","-",AA5/AB$3))</f>
        <v/>
      </c>
      <c r="AC5" s="165" t="str">
        <f>IF(AB5="","",VLOOKUP(AB5,Table1[],2,TRUE))</f>
        <v/>
      </c>
      <c r="AD5" s="186" t="str">
        <f>IF(AND(V5="",Y5="",AB5=""),"",IF(OR(V5="-",Y5="-",AB5="-"),"-",IF(AND(V$3&lt;&gt;0,Y$3&lt;&gt;0,AB$3&lt;&gt;0),AVERAGE(V5,Y5,AB5),IF(AND(V$3&lt;&gt;0,Y$3&lt;&gt;0,AB$3=0),AVERAGE(V5,Y5),IF(AND(V$3&lt;&gt;0,Y$3=0,AB$3=0),W5,"ERROR")))))</f>
        <v/>
      </c>
      <c r="AE5" s="129"/>
      <c r="AF5" s="129" t="str">
        <f>IF(AD5="","",IF(ISBLANK(AE5),VLOOKUP(AVERAGE(AD5),Table1[],2,TRUE),AE5))</f>
        <v/>
      </c>
      <c r="AG5" s="115" t="s">
        <v>18</v>
      </c>
      <c r="AI5" s="185"/>
    </row>
    <row r="6" spans="1:38" s="60" customFormat="1" x14ac:dyDescent="0.25">
      <c r="A6" s="124"/>
      <c r="B6" s="124"/>
      <c r="C6" s="124"/>
      <c r="D6" s="124"/>
      <c r="E6" s="124"/>
      <c r="F6" s="125"/>
      <c r="G6" s="124"/>
      <c r="H6" s="124"/>
      <c r="I6" s="124"/>
      <c r="J6" s="124"/>
      <c r="K6" s="158"/>
      <c r="L6" s="171"/>
      <c r="M6" s="171"/>
      <c r="N6" s="171"/>
      <c r="O6" s="124"/>
      <c r="P6" s="125"/>
      <c r="Q6" s="171"/>
      <c r="R6" s="171"/>
      <c r="S6" s="171"/>
      <c r="T6" s="124"/>
      <c r="U6" s="176" t="str">
        <f t="shared" ref="U6:U40" si="0">IF(COUNTIF(A6:E6,"*-*")&gt;0,"-",IF(COUNTBLANK(A6:E6)=5,"",IF(V$3="-","-",SUM(A6:E6))))</f>
        <v/>
      </c>
      <c r="V6" s="177" t="str">
        <f t="shared" ref="V6:V40" si="1">IF(U6="","",IF(U6="-","-",U6/V$3))</f>
        <v/>
      </c>
      <c r="W6" s="178" t="str">
        <f>IF(U6="","",VLOOKUP(V6,Table1[],2,TRUE))</f>
        <v/>
      </c>
      <c r="X6" s="130" t="str">
        <f t="shared" ref="X6:X40" si="2">IF(COUNTIF(F6:J6,"*-*")&gt;0,"-",IF(COUNTBLANK(F6:J6)=5,"",IF(Y$3="-","-",SUM(F6:J6))))</f>
        <v/>
      </c>
      <c r="Y6" s="127" t="str">
        <f t="shared" ref="Y6:Y40" si="3">IF(X6="","",IF(X6="-","-",X6/Y$3))</f>
        <v/>
      </c>
      <c r="Z6" s="128" t="str">
        <f>IF(X6="","",VLOOKUP(Y6,Table1[],2,TRUE))</f>
        <v/>
      </c>
      <c r="AA6" s="166" t="str">
        <f>IF(COUNTIF(K6:O6,"*-*")&gt;0,"-",IF(COUNTBLANK(K6:O6)=5,"",IF(AB$3="-","-",SUM(K6:O6))))</f>
        <v/>
      </c>
      <c r="AB6" s="164" t="str">
        <f t="shared" ref="AB6:AB40" si="4">IF(AA6="","",IF(AA6="-","-",AA6/AB$3))</f>
        <v/>
      </c>
      <c r="AC6" s="165" t="str">
        <f>IF(AA6="","",VLOOKUP(AB6,Table1[],2,TRUE))</f>
        <v/>
      </c>
      <c r="AD6" s="186" t="str">
        <f t="shared" ref="AD6:AD40" si="5">IF(AND(V6="",Y6="",AB6=""),"",IF(OR(V6="-",Y6="-",AB6="-"),"-",IF(AND(V$3&lt;&gt;0,Y$3&lt;&gt;0,AB$3&lt;&gt;0),AVERAGE(V6,Y6,AB6),IF(AND(V$3&lt;&gt;0,Y$3&lt;&gt;0,AB$3=0),AVERAGE(V6,Y6),IF(AND(V$3&lt;&gt;0,Y$3=0,AB$3=0),W6,"ERROR")))))</f>
        <v/>
      </c>
      <c r="AE6" s="129"/>
      <c r="AF6" s="129" t="str">
        <f>IF(AD6="","",IF(ISBLANK(AE6),VLOOKUP(AVERAGE(AD6),Table1[],2,TRUE),AE6))</f>
        <v/>
      </c>
      <c r="AG6" s="115" t="s">
        <v>18</v>
      </c>
    </row>
    <row r="7" spans="1:38" s="60" customFormat="1" x14ac:dyDescent="0.25">
      <c r="A7" s="124"/>
      <c r="B7" s="124"/>
      <c r="C7" s="124"/>
      <c r="D7" s="124"/>
      <c r="E7" s="124"/>
      <c r="F7" s="125"/>
      <c r="G7" s="124"/>
      <c r="H7" s="124"/>
      <c r="I7" s="124"/>
      <c r="J7" s="124"/>
      <c r="K7" s="158"/>
      <c r="L7" s="171"/>
      <c r="M7" s="171"/>
      <c r="N7" s="171"/>
      <c r="O7" s="124"/>
      <c r="P7" s="125"/>
      <c r="Q7" s="171"/>
      <c r="R7" s="171"/>
      <c r="S7" s="171"/>
      <c r="T7" s="124"/>
      <c r="U7" s="176" t="str">
        <f t="shared" si="0"/>
        <v/>
      </c>
      <c r="V7" s="177" t="str">
        <f t="shared" si="1"/>
        <v/>
      </c>
      <c r="W7" s="178" t="str">
        <f>IF(U7="","",VLOOKUP(V7,Table1[],2,TRUE))</f>
        <v/>
      </c>
      <c r="X7" s="130" t="str">
        <f t="shared" si="2"/>
        <v/>
      </c>
      <c r="Y7" s="127" t="str">
        <f t="shared" si="3"/>
        <v/>
      </c>
      <c r="Z7" s="128" t="str">
        <f>IF(X7="","",VLOOKUP(Y7,Table1[],2,TRUE))</f>
        <v/>
      </c>
      <c r="AA7" s="166" t="str">
        <f t="shared" ref="AA7:AA39" si="6">IF(COUNTIF(K7:O7,"*-*")&gt;0,"-",IF(COUNTBLANK(K7:O7)=5,"",IF(AB$3="-","-",SUM(K7:O7))))</f>
        <v/>
      </c>
      <c r="AB7" s="164" t="str">
        <f t="shared" si="4"/>
        <v/>
      </c>
      <c r="AC7" s="165" t="str">
        <f>IF(AA7="","",VLOOKUP(AB7,Table1[],2,TRUE))</f>
        <v/>
      </c>
      <c r="AD7" s="186" t="str">
        <f t="shared" si="5"/>
        <v/>
      </c>
      <c r="AE7" s="129"/>
      <c r="AF7" s="129" t="str">
        <f>IF(AD7="","",IF(ISBLANK(AE7),VLOOKUP(AVERAGE(AD7),Table1[],2,TRUE),AE7))</f>
        <v/>
      </c>
      <c r="AG7" s="115" t="s">
        <v>18</v>
      </c>
    </row>
    <row r="8" spans="1:38" s="60" customFormat="1" x14ac:dyDescent="0.25">
      <c r="A8" s="124"/>
      <c r="B8" s="124"/>
      <c r="C8" s="124"/>
      <c r="D8" s="124"/>
      <c r="E8" s="124"/>
      <c r="F8" s="125"/>
      <c r="G8" s="124"/>
      <c r="H8" s="124"/>
      <c r="I8" s="124"/>
      <c r="J8" s="124"/>
      <c r="K8" s="158"/>
      <c r="L8" s="171"/>
      <c r="M8" s="171"/>
      <c r="N8" s="171"/>
      <c r="O8" s="124"/>
      <c r="P8" s="125"/>
      <c r="Q8" s="171"/>
      <c r="R8" s="171"/>
      <c r="S8" s="171"/>
      <c r="T8" s="124"/>
      <c r="U8" s="176" t="str">
        <f t="shared" si="0"/>
        <v/>
      </c>
      <c r="V8" s="177" t="str">
        <f t="shared" si="1"/>
        <v/>
      </c>
      <c r="W8" s="178" t="str">
        <f>IF(U8="","",VLOOKUP(V8,Table1[],2,TRUE))</f>
        <v/>
      </c>
      <c r="X8" s="130" t="str">
        <f t="shared" si="2"/>
        <v/>
      </c>
      <c r="Y8" s="127" t="str">
        <f t="shared" si="3"/>
        <v/>
      </c>
      <c r="Z8" s="128" t="str">
        <f>IF(X8="","",VLOOKUP(Y8,Table1[],2,TRUE))</f>
        <v/>
      </c>
      <c r="AA8" s="166" t="str">
        <f t="shared" si="6"/>
        <v/>
      </c>
      <c r="AB8" s="164" t="str">
        <f t="shared" si="4"/>
        <v/>
      </c>
      <c r="AC8" s="165" t="str">
        <f>IF(AA8="","",VLOOKUP(AB8,Table1[],2,TRUE))</f>
        <v/>
      </c>
      <c r="AD8" s="186" t="str">
        <f t="shared" si="5"/>
        <v/>
      </c>
      <c r="AE8" s="129"/>
      <c r="AF8" s="129" t="str">
        <f>IF(AD8="","",IF(ISBLANK(AE8),VLOOKUP(AVERAGE(AD8),Table1[],2,TRUE),AE8))</f>
        <v/>
      </c>
      <c r="AG8" s="115" t="s">
        <v>18</v>
      </c>
    </row>
    <row r="9" spans="1:38" s="60" customFormat="1" x14ac:dyDescent="0.25">
      <c r="A9" s="124"/>
      <c r="B9" s="124"/>
      <c r="C9" s="124"/>
      <c r="D9" s="124"/>
      <c r="E9" s="124"/>
      <c r="F9" s="125"/>
      <c r="G9" s="124"/>
      <c r="H9" s="124"/>
      <c r="I9" s="124"/>
      <c r="J9" s="124"/>
      <c r="K9" s="158"/>
      <c r="L9" s="171"/>
      <c r="M9" s="171"/>
      <c r="N9" s="171"/>
      <c r="O9" s="124"/>
      <c r="P9" s="125"/>
      <c r="Q9" s="171"/>
      <c r="R9" s="171"/>
      <c r="S9" s="171"/>
      <c r="T9" s="124"/>
      <c r="U9" s="176" t="str">
        <f t="shared" si="0"/>
        <v/>
      </c>
      <c r="V9" s="177" t="str">
        <f t="shared" si="1"/>
        <v/>
      </c>
      <c r="W9" s="178" t="str">
        <f>IF(U9="","",VLOOKUP(V9,Table1[],2,TRUE))</f>
        <v/>
      </c>
      <c r="X9" s="130" t="str">
        <f t="shared" si="2"/>
        <v/>
      </c>
      <c r="Y9" s="127" t="str">
        <f t="shared" si="3"/>
        <v/>
      </c>
      <c r="Z9" s="128" t="str">
        <f>IF(X9="","",VLOOKUP(Y9,Table1[],2,TRUE))</f>
        <v/>
      </c>
      <c r="AA9" s="166" t="str">
        <f t="shared" si="6"/>
        <v/>
      </c>
      <c r="AB9" s="164" t="str">
        <f t="shared" si="4"/>
        <v/>
      </c>
      <c r="AC9" s="165" t="str">
        <f>IF(AA9="","",VLOOKUP(AB9,Table1[],2,TRUE))</f>
        <v/>
      </c>
      <c r="AD9" s="186" t="str">
        <f t="shared" si="5"/>
        <v/>
      </c>
      <c r="AE9" s="129"/>
      <c r="AF9" s="129" t="str">
        <f>IF(AD9="","",IF(ISBLANK(AE9),VLOOKUP(AVERAGE(AD9),Table1[],2,TRUE),AE9))</f>
        <v/>
      </c>
      <c r="AG9" s="115" t="s">
        <v>18</v>
      </c>
    </row>
    <row r="10" spans="1:38" s="60" customFormat="1" x14ac:dyDescent="0.25">
      <c r="A10" s="124"/>
      <c r="B10" s="124"/>
      <c r="C10" s="124"/>
      <c r="D10" s="124"/>
      <c r="E10" s="124"/>
      <c r="F10" s="125"/>
      <c r="G10" s="124"/>
      <c r="H10" s="124"/>
      <c r="I10" s="124"/>
      <c r="J10" s="124"/>
      <c r="K10" s="158"/>
      <c r="L10" s="171"/>
      <c r="M10" s="171"/>
      <c r="N10" s="171"/>
      <c r="O10" s="124"/>
      <c r="P10" s="125"/>
      <c r="Q10" s="171"/>
      <c r="R10" s="171"/>
      <c r="S10" s="171"/>
      <c r="T10" s="124"/>
      <c r="U10" s="176" t="str">
        <f t="shared" si="0"/>
        <v/>
      </c>
      <c r="V10" s="177" t="str">
        <f t="shared" si="1"/>
        <v/>
      </c>
      <c r="W10" s="178" t="str">
        <f>IF(U10="","",VLOOKUP(V10,Table1[],2,TRUE))</f>
        <v/>
      </c>
      <c r="X10" s="130" t="str">
        <f t="shared" si="2"/>
        <v/>
      </c>
      <c r="Y10" s="127" t="str">
        <f t="shared" si="3"/>
        <v/>
      </c>
      <c r="Z10" s="128" t="str">
        <f>IF(X10="","",VLOOKUP(Y10,Table1[],2,TRUE))</f>
        <v/>
      </c>
      <c r="AA10" s="166" t="str">
        <f t="shared" si="6"/>
        <v/>
      </c>
      <c r="AB10" s="164" t="str">
        <f t="shared" si="4"/>
        <v/>
      </c>
      <c r="AC10" s="165" t="str">
        <f>IF(AA10="","",VLOOKUP(AB10,Table1[],2,TRUE))</f>
        <v/>
      </c>
      <c r="AD10" s="186" t="str">
        <f t="shared" si="5"/>
        <v/>
      </c>
      <c r="AE10" s="129"/>
      <c r="AF10" s="129" t="str">
        <f>IF(AD10="","",IF(ISBLANK(AE10),VLOOKUP(AVERAGE(AD10),Table1[],2,TRUE),AE10))</f>
        <v/>
      </c>
      <c r="AG10" s="115" t="s">
        <v>18</v>
      </c>
    </row>
    <row r="11" spans="1:38" s="60" customFormat="1" x14ac:dyDescent="0.25">
      <c r="A11" s="124"/>
      <c r="B11" s="124"/>
      <c r="C11" s="124"/>
      <c r="D11" s="124"/>
      <c r="E11" s="124"/>
      <c r="F11" s="125"/>
      <c r="G11" s="124"/>
      <c r="H11" s="124"/>
      <c r="I11" s="124"/>
      <c r="J11" s="124"/>
      <c r="K11" s="158"/>
      <c r="L11" s="171"/>
      <c r="M11" s="171"/>
      <c r="N11" s="171"/>
      <c r="O11" s="124"/>
      <c r="P11" s="125"/>
      <c r="Q11" s="171"/>
      <c r="R11" s="171"/>
      <c r="S11" s="171"/>
      <c r="T11" s="124"/>
      <c r="U11" s="176" t="str">
        <f t="shared" si="0"/>
        <v/>
      </c>
      <c r="V11" s="177" t="str">
        <f t="shared" si="1"/>
        <v/>
      </c>
      <c r="W11" s="178" t="str">
        <f>IF(U11="","",VLOOKUP(V11,Table1[],2,TRUE))</f>
        <v/>
      </c>
      <c r="X11" s="130" t="str">
        <f t="shared" si="2"/>
        <v/>
      </c>
      <c r="Y11" s="127" t="str">
        <f t="shared" si="3"/>
        <v/>
      </c>
      <c r="Z11" s="128" t="str">
        <f>IF(X11="","",VLOOKUP(Y11,Table1[],2,TRUE))</f>
        <v/>
      </c>
      <c r="AA11" s="166" t="str">
        <f t="shared" si="6"/>
        <v/>
      </c>
      <c r="AB11" s="164" t="str">
        <f t="shared" si="4"/>
        <v/>
      </c>
      <c r="AC11" s="165" t="str">
        <f>IF(AA11="","",VLOOKUP(AB11,Table1[],2,TRUE))</f>
        <v/>
      </c>
      <c r="AD11" s="186" t="str">
        <f t="shared" si="5"/>
        <v/>
      </c>
      <c r="AE11" s="129"/>
      <c r="AF11" s="129" t="str">
        <f>IF(AD11="","",IF(ISBLANK(AE11),VLOOKUP(AVERAGE(AD11),Table1[],2,TRUE),AE11))</f>
        <v/>
      </c>
      <c r="AG11" s="115" t="s">
        <v>18</v>
      </c>
    </row>
    <row r="12" spans="1:38" s="60" customFormat="1" x14ac:dyDescent="0.25">
      <c r="A12" s="124"/>
      <c r="B12" s="124"/>
      <c r="C12" s="124"/>
      <c r="D12" s="124"/>
      <c r="E12" s="124"/>
      <c r="F12" s="125"/>
      <c r="G12" s="124"/>
      <c r="H12" s="124"/>
      <c r="I12" s="124"/>
      <c r="J12" s="124"/>
      <c r="K12" s="158"/>
      <c r="L12" s="171"/>
      <c r="M12" s="171"/>
      <c r="N12" s="171"/>
      <c r="O12" s="124"/>
      <c r="P12" s="125"/>
      <c r="Q12" s="171"/>
      <c r="R12" s="171"/>
      <c r="S12" s="171"/>
      <c r="T12" s="124"/>
      <c r="U12" s="176" t="str">
        <f t="shared" si="0"/>
        <v/>
      </c>
      <c r="V12" s="177" t="str">
        <f t="shared" si="1"/>
        <v/>
      </c>
      <c r="W12" s="178" t="str">
        <f>IF(U12="","",VLOOKUP(V12,Table1[],2,TRUE))</f>
        <v/>
      </c>
      <c r="X12" s="130" t="str">
        <f t="shared" si="2"/>
        <v/>
      </c>
      <c r="Y12" s="127" t="str">
        <f t="shared" si="3"/>
        <v/>
      </c>
      <c r="Z12" s="128" t="str">
        <f>IF(X12="","",VLOOKUP(Y12,Table1[],2,TRUE))</f>
        <v/>
      </c>
      <c r="AA12" s="166" t="str">
        <f t="shared" si="6"/>
        <v/>
      </c>
      <c r="AB12" s="164" t="str">
        <f t="shared" si="4"/>
        <v/>
      </c>
      <c r="AC12" s="165" t="str">
        <f>IF(AA12="","",VLOOKUP(AB12,Table1[],2,TRUE))</f>
        <v/>
      </c>
      <c r="AD12" s="186" t="str">
        <f t="shared" si="5"/>
        <v/>
      </c>
      <c r="AE12" s="129"/>
      <c r="AF12" s="129" t="str">
        <f>IF(AD12="","",IF(ISBLANK(AE12),VLOOKUP(AVERAGE(AD12),Table1[],2,TRUE),AE12))</f>
        <v/>
      </c>
      <c r="AG12" s="115" t="s">
        <v>18</v>
      </c>
    </row>
    <row r="13" spans="1:38" s="60" customFormat="1" x14ac:dyDescent="0.25">
      <c r="A13" s="124"/>
      <c r="B13" s="124"/>
      <c r="C13" s="124"/>
      <c r="D13" s="124"/>
      <c r="E13" s="124"/>
      <c r="F13" s="125"/>
      <c r="G13" s="124"/>
      <c r="H13" s="124"/>
      <c r="I13" s="124"/>
      <c r="J13" s="124"/>
      <c r="K13" s="158"/>
      <c r="L13" s="171"/>
      <c r="M13" s="171"/>
      <c r="N13" s="171"/>
      <c r="O13" s="124"/>
      <c r="P13" s="125"/>
      <c r="Q13" s="171"/>
      <c r="R13" s="171"/>
      <c r="S13" s="171"/>
      <c r="T13" s="124"/>
      <c r="U13" s="176" t="str">
        <f t="shared" si="0"/>
        <v/>
      </c>
      <c r="V13" s="177" t="str">
        <f t="shared" si="1"/>
        <v/>
      </c>
      <c r="W13" s="178" t="str">
        <f>IF(U13="","",VLOOKUP(V13,Table1[],2,TRUE))</f>
        <v/>
      </c>
      <c r="X13" s="130" t="str">
        <f t="shared" si="2"/>
        <v/>
      </c>
      <c r="Y13" s="127" t="str">
        <f t="shared" si="3"/>
        <v/>
      </c>
      <c r="Z13" s="128" t="str">
        <f>IF(X13="","",VLOOKUP(Y13,Table1[],2,TRUE))</f>
        <v/>
      </c>
      <c r="AA13" s="166" t="str">
        <f t="shared" si="6"/>
        <v/>
      </c>
      <c r="AB13" s="164" t="str">
        <f t="shared" si="4"/>
        <v/>
      </c>
      <c r="AC13" s="165" t="str">
        <f>IF(AA13="","",VLOOKUP(AB13,Table1[],2,TRUE))</f>
        <v/>
      </c>
      <c r="AD13" s="186" t="str">
        <f t="shared" si="5"/>
        <v/>
      </c>
      <c r="AE13" s="129"/>
      <c r="AF13" s="129" t="str">
        <f>IF(AD13="","",IF(ISBLANK(AE13),VLOOKUP(AVERAGE(AD13),Table1[],2,TRUE),AE13))</f>
        <v/>
      </c>
      <c r="AG13" s="115" t="s">
        <v>18</v>
      </c>
    </row>
    <row r="14" spans="1:38" s="60" customFormat="1" x14ac:dyDescent="0.25">
      <c r="A14" s="124"/>
      <c r="B14" s="124"/>
      <c r="C14" s="124"/>
      <c r="D14" s="124"/>
      <c r="E14" s="124"/>
      <c r="F14" s="125"/>
      <c r="G14" s="124"/>
      <c r="H14" s="124"/>
      <c r="I14" s="124"/>
      <c r="J14" s="124"/>
      <c r="K14" s="158"/>
      <c r="L14" s="171"/>
      <c r="M14" s="171"/>
      <c r="N14" s="171"/>
      <c r="O14" s="124"/>
      <c r="P14" s="125"/>
      <c r="Q14" s="171"/>
      <c r="R14" s="171"/>
      <c r="S14" s="171"/>
      <c r="T14" s="124"/>
      <c r="U14" s="176" t="str">
        <f t="shared" si="0"/>
        <v/>
      </c>
      <c r="V14" s="177" t="str">
        <f t="shared" si="1"/>
        <v/>
      </c>
      <c r="W14" s="178" t="str">
        <f>IF(U14="","",VLOOKUP(V14,Table1[],2,TRUE))</f>
        <v/>
      </c>
      <c r="X14" s="130" t="str">
        <f t="shared" si="2"/>
        <v/>
      </c>
      <c r="Y14" s="127" t="str">
        <f t="shared" si="3"/>
        <v/>
      </c>
      <c r="Z14" s="128" t="str">
        <f>IF(X14="","",VLOOKUP(Y14,Table1[],2,TRUE))</f>
        <v/>
      </c>
      <c r="AA14" s="166" t="str">
        <f t="shared" si="6"/>
        <v/>
      </c>
      <c r="AB14" s="164" t="str">
        <f t="shared" si="4"/>
        <v/>
      </c>
      <c r="AC14" s="165" t="str">
        <f>IF(AA14="","",VLOOKUP(AB14,Table1[],2,TRUE))</f>
        <v/>
      </c>
      <c r="AD14" s="186" t="str">
        <f t="shared" si="5"/>
        <v/>
      </c>
      <c r="AE14" s="129"/>
      <c r="AF14" s="129" t="str">
        <f>IF(AD14="","",IF(ISBLANK(AE14),VLOOKUP(AVERAGE(AD14),Table1[],2,TRUE),AE14))</f>
        <v/>
      </c>
      <c r="AG14" s="115" t="s">
        <v>18</v>
      </c>
    </row>
    <row r="15" spans="1:38" s="60" customFormat="1" x14ac:dyDescent="0.25">
      <c r="A15" s="124"/>
      <c r="B15" s="124"/>
      <c r="C15" s="124"/>
      <c r="D15" s="124"/>
      <c r="E15" s="124"/>
      <c r="F15" s="125"/>
      <c r="G15" s="124"/>
      <c r="H15" s="124"/>
      <c r="I15" s="124"/>
      <c r="J15" s="124"/>
      <c r="K15" s="158"/>
      <c r="L15" s="171"/>
      <c r="M15" s="171"/>
      <c r="N15" s="171"/>
      <c r="O15" s="124"/>
      <c r="P15" s="125"/>
      <c r="Q15" s="171"/>
      <c r="R15" s="171"/>
      <c r="S15" s="171"/>
      <c r="T15" s="124"/>
      <c r="U15" s="176" t="str">
        <f t="shared" si="0"/>
        <v/>
      </c>
      <c r="V15" s="177" t="str">
        <f t="shared" si="1"/>
        <v/>
      </c>
      <c r="W15" s="178" t="str">
        <f>IF(U15="","",VLOOKUP(V15,Table1[],2,TRUE))</f>
        <v/>
      </c>
      <c r="X15" s="130" t="str">
        <f t="shared" si="2"/>
        <v/>
      </c>
      <c r="Y15" s="127" t="str">
        <f t="shared" si="3"/>
        <v/>
      </c>
      <c r="Z15" s="128" t="str">
        <f>IF(X15="","",VLOOKUP(Y15,Table1[],2,TRUE))</f>
        <v/>
      </c>
      <c r="AA15" s="166" t="str">
        <f t="shared" si="6"/>
        <v/>
      </c>
      <c r="AB15" s="164" t="str">
        <f t="shared" si="4"/>
        <v/>
      </c>
      <c r="AC15" s="165" t="str">
        <f>IF(AA15="","",VLOOKUP(AB15,Table1[],2,TRUE))</f>
        <v/>
      </c>
      <c r="AD15" s="186" t="str">
        <f t="shared" si="5"/>
        <v/>
      </c>
      <c r="AE15" s="129"/>
      <c r="AF15" s="129" t="str">
        <f>IF(AD15="","",IF(ISBLANK(AE15),VLOOKUP(AVERAGE(AD15),Table1[],2,TRUE),AE15))</f>
        <v/>
      </c>
      <c r="AG15" s="115" t="s">
        <v>18</v>
      </c>
    </row>
    <row r="16" spans="1:38" s="60" customFormat="1" x14ac:dyDescent="0.25">
      <c r="A16" s="124"/>
      <c r="B16" s="124"/>
      <c r="C16" s="124"/>
      <c r="D16" s="124"/>
      <c r="E16" s="124"/>
      <c r="F16" s="125"/>
      <c r="G16" s="124"/>
      <c r="H16" s="124"/>
      <c r="I16" s="124"/>
      <c r="J16" s="124"/>
      <c r="K16" s="158"/>
      <c r="L16" s="171"/>
      <c r="M16" s="171"/>
      <c r="N16" s="171"/>
      <c r="O16" s="124"/>
      <c r="P16" s="125"/>
      <c r="Q16" s="171"/>
      <c r="R16" s="171"/>
      <c r="S16" s="171"/>
      <c r="T16" s="124"/>
      <c r="U16" s="176" t="str">
        <f t="shared" si="0"/>
        <v/>
      </c>
      <c r="V16" s="177" t="str">
        <f t="shared" si="1"/>
        <v/>
      </c>
      <c r="W16" s="178" t="str">
        <f>IF(U16="","",VLOOKUP(V16,Table1[],2,TRUE))</f>
        <v/>
      </c>
      <c r="X16" s="130" t="str">
        <f t="shared" si="2"/>
        <v/>
      </c>
      <c r="Y16" s="127" t="str">
        <f t="shared" si="3"/>
        <v/>
      </c>
      <c r="Z16" s="128" t="str">
        <f>IF(X16="","",VLOOKUP(Y16,Table1[],2,TRUE))</f>
        <v/>
      </c>
      <c r="AA16" s="166" t="str">
        <f t="shared" si="6"/>
        <v/>
      </c>
      <c r="AB16" s="164" t="str">
        <f t="shared" si="4"/>
        <v/>
      </c>
      <c r="AC16" s="165" t="str">
        <f>IF(AA16="","",VLOOKUP(AB16,Table1[],2,TRUE))</f>
        <v/>
      </c>
      <c r="AD16" s="186" t="str">
        <f t="shared" si="5"/>
        <v/>
      </c>
      <c r="AE16" s="129"/>
      <c r="AF16" s="129" t="str">
        <f>IF(AD16="","",IF(ISBLANK(AE16),VLOOKUP(AVERAGE(AD16),Table1[],2,TRUE),AE16))</f>
        <v/>
      </c>
      <c r="AG16" s="115" t="s">
        <v>18</v>
      </c>
    </row>
    <row r="17" spans="1:33" s="60" customFormat="1" x14ac:dyDescent="0.25">
      <c r="A17" s="124"/>
      <c r="B17" s="124"/>
      <c r="C17" s="124"/>
      <c r="D17" s="124"/>
      <c r="E17" s="124"/>
      <c r="F17" s="125"/>
      <c r="G17" s="124"/>
      <c r="H17" s="124"/>
      <c r="I17" s="124"/>
      <c r="J17" s="124"/>
      <c r="K17" s="158"/>
      <c r="L17" s="171"/>
      <c r="M17" s="171"/>
      <c r="N17" s="171"/>
      <c r="O17" s="124"/>
      <c r="P17" s="125"/>
      <c r="Q17" s="171"/>
      <c r="R17" s="171"/>
      <c r="S17" s="171"/>
      <c r="T17" s="124"/>
      <c r="U17" s="176" t="str">
        <f t="shared" si="0"/>
        <v/>
      </c>
      <c r="V17" s="177" t="str">
        <f t="shared" si="1"/>
        <v/>
      </c>
      <c r="W17" s="178" t="str">
        <f>IF(U17="","",VLOOKUP(V17,Table1[],2,TRUE))</f>
        <v/>
      </c>
      <c r="X17" s="130" t="str">
        <f t="shared" si="2"/>
        <v/>
      </c>
      <c r="Y17" s="127" t="str">
        <f t="shared" si="3"/>
        <v/>
      </c>
      <c r="Z17" s="128" t="str">
        <f>IF(X17="","",VLOOKUP(Y17,Table1[],2,TRUE))</f>
        <v/>
      </c>
      <c r="AA17" s="166" t="str">
        <f t="shared" si="6"/>
        <v/>
      </c>
      <c r="AB17" s="164" t="str">
        <f t="shared" si="4"/>
        <v/>
      </c>
      <c r="AC17" s="165" t="str">
        <f>IF(AA17="","",VLOOKUP(AB17,Table1[],2,TRUE))</f>
        <v/>
      </c>
      <c r="AD17" s="186" t="str">
        <f t="shared" si="5"/>
        <v/>
      </c>
      <c r="AE17" s="129"/>
      <c r="AF17" s="129" t="str">
        <f>IF(AD17="","",IF(ISBLANK(AE17),VLOOKUP(AVERAGE(AD17),Table1[],2,TRUE),AE17))</f>
        <v/>
      </c>
      <c r="AG17" s="115" t="s">
        <v>18</v>
      </c>
    </row>
    <row r="18" spans="1:33" s="60" customFormat="1" x14ac:dyDescent="0.25">
      <c r="A18" s="124"/>
      <c r="B18" s="124"/>
      <c r="C18" s="124"/>
      <c r="D18" s="124"/>
      <c r="E18" s="124"/>
      <c r="F18" s="125"/>
      <c r="G18" s="124"/>
      <c r="H18" s="124"/>
      <c r="I18" s="124"/>
      <c r="J18" s="124"/>
      <c r="K18" s="158"/>
      <c r="L18" s="171"/>
      <c r="M18" s="171"/>
      <c r="N18" s="171"/>
      <c r="O18" s="124"/>
      <c r="P18" s="125"/>
      <c r="Q18" s="171"/>
      <c r="R18" s="171"/>
      <c r="S18" s="171"/>
      <c r="T18" s="124"/>
      <c r="U18" s="176" t="str">
        <f t="shared" si="0"/>
        <v/>
      </c>
      <c r="V18" s="177" t="str">
        <f t="shared" si="1"/>
        <v/>
      </c>
      <c r="W18" s="178" t="str">
        <f>IF(U18="","",VLOOKUP(V18,Table1[],2,TRUE))</f>
        <v/>
      </c>
      <c r="X18" s="130" t="str">
        <f t="shared" si="2"/>
        <v/>
      </c>
      <c r="Y18" s="127" t="str">
        <f t="shared" si="3"/>
        <v/>
      </c>
      <c r="Z18" s="128" t="str">
        <f>IF(X18="","",VLOOKUP(Y18,Table1[],2,TRUE))</f>
        <v/>
      </c>
      <c r="AA18" s="166" t="str">
        <f t="shared" si="6"/>
        <v/>
      </c>
      <c r="AB18" s="164" t="str">
        <f t="shared" si="4"/>
        <v/>
      </c>
      <c r="AC18" s="165" t="str">
        <f>IF(AA18="","",VLOOKUP(AB18,Table1[],2,TRUE))</f>
        <v/>
      </c>
      <c r="AD18" s="186" t="str">
        <f t="shared" si="5"/>
        <v/>
      </c>
      <c r="AE18" s="129"/>
      <c r="AF18" s="129" t="str">
        <f>IF(AD18="","",IF(ISBLANK(AE18),VLOOKUP(AVERAGE(AD18),Table1[],2,TRUE),AE18))</f>
        <v/>
      </c>
      <c r="AG18" s="115" t="s">
        <v>18</v>
      </c>
    </row>
    <row r="19" spans="1:33" s="60" customFormat="1" x14ac:dyDescent="0.25">
      <c r="A19" s="124"/>
      <c r="B19" s="124"/>
      <c r="C19" s="124"/>
      <c r="D19" s="124"/>
      <c r="E19" s="124"/>
      <c r="F19" s="125"/>
      <c r="G19" s="124"/>
      <c r="H19" s="124"/>
      <c r="I19" s="124"/>
      <c r="J19" s="124"/>
      <c r="K19" s="158"/>
      <c r="L19" s="171"/>
      <c r="M19" s="171"/>
      <c r="N19" s="171"/>
      <c r="O19" s="124"/>
      <c r="P19" s="125"/>
      <c r="Q19" s="171"/>
      <c r="R19" s="171"/>
      <c r="S19" s="171"/>
      <c r="T19" s="124"/>
      <c r="U19" s="176" t="str">
        <f t="shared" si="0"/>
        <v/>
      </c>
      <c r="V19" s="177" t="str">
        <f t="shared" si="1"/>
        <v/>
      </c>
      <c r="W19" s="178" t="str">
        <f>IF(U19="","",VLOOKUP(V19,Table1[],2,TRUE))</f>
        <v/>
      </c>
      <c r="X19" s="130" t="str">
        <f t="shared" si="2"/>
        <v/>
      </c>
      <c r="Y19" s="127" t="str">
        <f t="shared" si="3"/>
        <v/>
      </c>
      <c r="Z19" s="128" t="str">
        <f>IF(X19="","",VLOOKUP(Y19,Table1[],2,TRUE))</f>
        <v/>
      </c>
      <c r="AA19" s="166" t="str">
        <f t="shared" si="6"/>
        <v/>
      </c>
      <c r="AB19" s="164" t="str">
        <f t="shared" si="4"/>
        <v/>
      </c>
      <c r="AC19" s="165" t="str">
        <f>IF(AA19="","",VLOOKUP(AB19,Table1[],2,TRUE))</f>
        <v/>
      </c>
      <c r="AD19" s="186" t="str">
        <f t="shared" si="5"/>
        <v/>
      </c>
      <c r="AE19" s="129"/>
      <c r="AF19" s="129" t="str">
        <f>IF(AD19="","",IF(ISBLANK(AE19),VLOOKUP(AVERAGE(AD19),Table1[],2,TRUE),AE19))</f>
        <v/>
      </c>
      <c r="AG19" s="115" t="s">
        <v>18</v>
      </c>
    </row>
    <row r="20" spans="1:33" s="60" customFormat="1" x14ac:dyDescent="0.25">
      <c r="A20" s="124"/>
      <c r="B20" s="124"/>
      <c r="C20" s="124"/>
      <c r="D20" s="124"/>
      <c r="E20" s="124"/>
      <c r="F20" s="125"/>
      <c r="G20" s="124"/>
      <c r="H20" s="124"/>
      <c r="I20" s="124"/>
      <c r="J20" s="124"/>
      <c r="K20" s="158"/>
      <c r="L20" s="171"/>
      <c r="M20" s="171"/>
      <c r="N20" s="171"/>
      <c r="O20" s="124"/>
      <c r="P20" s="125"/>
      <c r="Q20" s="171"/>
      <c r="R20" s="171"/>
      <c r="S20" s="171"/>
      <c r="T20" s="124"/>
      <c r="U20" s="176" t="str">
        <f t="shared" si="0"/>
        <v/>
      </c>
      <c r="V20" s="177" t="str">
        <f t="shared" si="1"/>
        <v/>
      </c>
      <c r="W20" s="178" t="str">
        <f>IF(U20="","",VLOOKUP(V20,Table1[],2,TRUE))</f>
        <v/>
      </c>
      <c r="X20" s="130" t="str">
        <f t="shared" si="2"/>
        <v/>
      </c>
      <c r="Y20" s="127" t="str">
        <f t="shared" si="3"/>
        <v/>
      </c>
      <c r="Z20" s="128" t="str">
        <f>IF(X20="","",VLOOKUP(Y20,Table1[],2,TRUE))</f>
        <v/>
      </c>
      <c r="AA20" s="166" t="str">
        <f t="shared" si="6"/>
        <v/>
      </c>
      <c r="AB20" s="164" t="str">
        <f t="shared" si="4"/>
        <v/>
      </c>
      <c r="AC20" s="165" t="str">
        <f>IF(AA20="","",VLOOKUP(AB20,Table1[],2,TRUE))</f>
        <v/>
      </c>
      <c r="AD20" s="186" t="str">
        <f t="shared" si="5"/>
        <v/>
      </c>
      <c r="AE20" s="129"/>
      <c r="AF20" s="129" t="str">
        <f>IF(AD20="","",IF(ISBLANK(AE20),VLOOKUP(AVERAGE(AD20),Table1[],2,TRUE),AE20))</f>
        <v/>
      </c>
      <c r="AG20" s="115" t="s">
        <v>18</v>
      </c>
    </row>
    <row r="21" spans="1:33" s="60" customFormat="1" x14ac:dyDescent="0.25">
      <c r="A21" s="124"/>
      <c r="B21" s="124"/>
      <c r="C21" s="124"/>
      <c r="D21" s="124"/>
      <c r="E21" s="124"/>
      <c r="F21" s="125"/>
      <c r="G21" s="124"/>
      <c r="H21" s="124"/>
      <c r="I21" s="124"/>
      <c r="J21" s="124"/>
      <c r="K21" s="158"/>
      <c r="L21" s="171"/>
      <c r="M21" s="171"/>
      <c r="N21" s="171"/>
      <c r="O21" s="124"/>
      <c r="P21" s="125"/>
      <c r="Q21" s="171"/>
      <c r="R21" s="171"/>
      <c r="S21" s="171"/>
      <c r="T21" s="124"/>
      <c r="U21" s="176" t="str">
        <f t="shared" si="0"/>
        <v/>
      </c>
      <c r="V21" s="177" t="str">
        <f t="shared" si="1"/>
        <v/>
      </c>
      <c r="W21" s="178" t="str">
        <f>IF(U21="","",VLOOKUP(V21,Table1[],2,TRUE))</f>
        <v/>
      </c>
      <c r="X21" s="130" t="str">
        <f t="shared" si="2"/>
        <v/>
      </c>
      <c r="Y21" s="127" t="str">
        <f t="shared" si="3"/>
        <v/>
      </c>
      <c r="Z21" s="128" t="str">
        <f>IF(X21="","",VLOOKUP(Y21,Table1[],2,TRUE))</f>
        <v/>
      </c>
      <c r="AA21" s="166" t="str">
        <f t="shared" si="6"/>
        <v/>
      </c>
      <c r="AB21" s="164" t="str">
        <f t="shared" si="4"/>
        <v/>
      </c>
      <c r="AC21" s="165" t="str">
        <f>IF(AA21="","",VLOOKUP(AB21,Table1[],2,TRUE))</f>
        <v/>
      </c>
      <c r="AD21" s="186" t="str">
        <f t="shared" si="5"/>
        <v/>
      </c>
      <c r="AE21" s="129"/>
      <c r="AF21" s="129" t="str">
        <f>IF(AD21="","",IF(ISBLANK(AE21),VLOOKUP(AVERAGE(AD21),Table1[],2,TRUE),AE21))</f>
        <v/>
      </c>
      <c r="AG21" s="115" t="s">
        <v>18</v>
      </c>
    </row>
    <row r="22" spans="1:33" s="60" customFormat="1" x14ac:dyDescent="0.25">
      <c r="A22" s="124"/>
      <c r="B22" s="124"/>
      <c r="C22" s="124"/>
      <c r="D22" s="124"/>
      <c r="E22" s="124"/>
      <c r="F22" s="125"/>
      <c r="G22" s="124"/>
      <c r="H22" s="124"/>
      <c r="I22" s="124"/>
      <c r="J22" s="124"/>
      <c r="K22" s="158"/>
      <c r="L22" s="171"/>
      <c r="M22" s="171"/>
      <c r="N22" s="171"/>
      <c r="O22" s="124"/>
      <c r="P22" s="125"/>
      <c r="Q22" s="171"/>
      <c r="R22" s="171"/>
      <c r="S22" s="171"/>
      <c r="T22" s="124"/>
      <c r="U22" s="176" t="str">
        <f t="shared" si="0"/>
        <v/>
      </c>
      <c r="V22" s="177" t="str">
        <f t="shared" si="1"/>
        <v/>
      </c>
      <c r="W22" s="178" t="str">
        <f>IF(U22="","",VLOOKUP(V22,Table1[],2,TRUE))</f>
        <v/>
      </c>
      <c r="X22" s="130" t="str">
        <f t="shared" si="2"/>
        <v/>
      </c>
      <c r="Y22" s="127" t="str">
        <f t="shared" si="3"/>
        <v/>
      </c>
      <c r="Z22" s="128" t="str">
        <f>IF(X22="","",VLOOKUP(Y22,Table1[],2,TRUE))</f>
        <v/>
      </c>
      <c r="AA22" s="166" t="str">
        <f t="shared" si="6"/>
        <v/>
      </c>
      <c r="AB22" s="164" t="str">
        <f t="shared" si="4"/>
        <v/>
      </c>
      <c r="AC22" s="165" t="str">
        <f>IF(AA22="","",VLOOKUP(AB22,Table1[],2,TRUE))</f>
        <v/>
      </c>
      <c r="AD22" s="186" t="str">
        <f t="shared" si="5"/>
        <v/>
      </c>
      <c r="AE22" s="129"/>
      <c r="AF22" s="129" t="str">
        <f>IF(AD22="","",IF(ISBLANK(AE22),VLOOKUP(AVERAGE(AD22),Table1[],2,TRUE),AE22))</f>
        <v/>
      </c>
      <c r="AG22" s="115" t="s">
        <v>18</v>
      </c>
    </row>
    <row r="23" spans="1:33" s="60" customFormat="1" x14ac:dyDescent="0.25">
      <c r="A23" s="124"/>
      <c r="B23" s="124"/>
      <c r="C23" s="124"/>
      <c r="D23" s="124"/>
      <c r="E23" s="124"/>
      <c r="F23" s="125"/>
      <c r="G23" s="124"/>
      <c r="H23" s="124"/>
      <c r="I23" s="124"/>
      <c r="J23" s="124"/>
      <c r="K23" s="158"/>
      <c r="L23" s="171"/>
      <c r="M23" s="171"/>
      <c r="N23" s="171"/>
      <c r="O23" s="124"/>
      <c r="P23" s="125"/>
      <c r="Q23" s="171"/>
      <c r="R23" s="171"/>
      <c r="S23" s="171"/>
      <c r="T23" s="124"/>
      <c r="U23" s="176" t="str">
        <f t="shared" si="0"/>
        <v/>
      </c>
      <c r="V23" s="177" t="str">
        <f t="shared" si="1"/>
        <v/>
      </c>
      <c r="W23" s="178" t="str">
        <f>IF(U23="","",VLOOKUP(V23,Table1[],2,TRUE))</f>
        <v/>
      </c>
      <c r="X23" s="130" t="str">
        <f t="shared" si="2"/>
        <v/>
      </c>
      <c r="Y23" s="127" t="str">
        <f t="shared" si="3"/>
        <v/>
      </c>
      <c r="Z23" s="128" t="str">
        <f>IF(X23="","",VLOOKUP(Y23,Table1[],2,TRUE))</f>
        <v/>
      </c>
      <c r="AA23" s="166" t="str">
        <f t="shared" si="6"/>
        <v/>
      </c>
      <c r="AB23" s="164" t="str">
        <f t="shared" si="4"/>
        <v/>
      </c>
      <c r="AC23" s="165" t="str">
        <f>IF(AA23="","",VLOOKUP(AB23,Table1[],2,TRUE))</f>
        <v/>
      </c>
      <c r="AD23" s="186" t="str">
        <f t="shared" si="5"/>
        <v/>
      </c>
      <c r="AE23" s="129"/>
      <c r="AF23" s="129" t="str">
        <f>IF(AD23="","",IF(ISBLANK(AE23),VLOOKUP(AVERAGE(AD23),Table1[],2,TRUE),AE23))</f>
        <v/>
      </c>
      <c r="AG23" s="115" t="s">
        <v>18</v>
      </c>
    </row>
    <row r="24" spans="1:33" s="60" customFormat="1" x14ac:dyDescent="0.25">
      <c r="A24" s="124"/>
      <c r="B24" s="124"/>
      <c r="C24" s="124"/>
      <c r="D24" s="124"/>
      <c r="E24" s="124"/>
      <c r="F24" s="125"/>
      <c r="G24" s="124"/>
      <c r="H24" s="124"/>
      <c r="I24" s="124"/>
      <c r="J24" s="124"/>
      <c r="K24" s="158"/>
      <c r="L24" s="171"/>
      <c r="M24" s="171"/>
      <c r="N24" s="171"/>
      <c r="O24" s="124"/>
      <c r="P24" s="125"/>
      <c r="Q24" s="171"/>
      <c r="R24" s="171"/>
      <c r="S24" s="171"/>
      <c r="T24" s="124"/>
      <c r="U24" s="176" t="str">
        <f t="shared" si="0"/>
        <v/>
      </c>
      <c r="V24" s="177" t="str">
        <f t="shared" si="1"/>
        <v/>
      </c>
      <c r="W24" s="178" t="str">
        <f>IF(U24="","",VLOOKUP(V24,Table1[],2,TRUE))</f>
        <v/>
      </c>
      <c r="X24" s="130" t="str">
        <f t="shared" si="2"/>
        <v/>
      </c>
      <c r="Y24" s="127" t="str">
        <f t="shared" si="3"/>
        <v/>
      </c>
      <c r="Z24" s="128" t="str">
        <f>IF(X24="","",VLOOKUP(Y24,Table1[],2,TRUE))</f>
        <v/>
      </c>
      <c r="AA24" s="166" t="str">
        <f t="shared" si="6"/>
        <v/>
      </c>
      <c r="AB24" s="164" t="str">
        <f t="shared" si="4"/>
        <v/>
      </c>
      <c r="AC24" s="165" t="str">
        <f>IF(AA24="","",VLOOKUP(AB24,Table1[],2,TRUE))</f>
        <v/>
      </c>
      <c r="AD24" s="186" t="str">
        <f t="shared" si="5"/>
        <v/>
      </c>
      <c r="AE24" s="129"/>
      <c r="AF24" s="129" t="str">
        <f>IF(AD24="","",IF(ISBLANK(AE24),VLOOKUP(AVERAGE(AD24),Table1[],2,TRUE),AE24))</f>
        <v/>
      </c>
      <c r="AG24" s="115" t="s">
        <v>18</v>
      </c>
    </row>
    <row r="25" spans="1:33" s="60" customFormat="1" x14ac:dyDescent="0.25">
      <c r="A25" s="124"/>
      <c r="B25" s="124"/>
      <c r="C25" s="124"/>
      <c r="D25" s="124"/>
      <c r="E25" s="124"/>
      <c r="F25" s="125"/>
      <c r="G25" s="124"/>
      <c r="H25" s="124"/>
      <c r="I25" s="124"/>
      <c r="J25" s="124"/>
      <c r="K25" s="158"/>
      <c r="L25" s="171"/>
      <c r="M25" s="171"/>
      <c r="N25" s="171"/>
      <c r="O25" s="124"/>
      <c r="P25" s="125"/>
      <c r="Q25" s="171"/>
      <c r="R25" s="171"/>
      <c r="S25" s="171"/>
      <c r="T25" s="124"/>
      <c r="U25" s="176" t="str">
        <f t="shared" si="0"/>
        <v/>
      </c>
      <c r="V25" s="177" t="str">
        <f t="shared" si="1"/>
        <v/>
      </c>
      <c r="W25" s="178" t="str">
        <f>IF(U25="","",VLOOKUP(V25,Table1[],2,TRUE))</f>
        <v/>
      </c>
      <c r="X25" s="130" t="str">
        <f t="shared" si="2"/>
        <v/>
      </c>
      <c r="Y25" s="127" t="str">
        <f t="shared" si="3"/>
        <v/>
      </c>
      <c r="Z25" s="128" t="str">
        <f>IF(X25="","",VLOOKUP(Y25,Table1[],2,TRUE))</f>
        <v/>
      </c>
      <c r="AA25" s="166" t="str">
        <f t="shared" si="6"/>
        <v/>
      </c>
      <c r="AB25" s="164" t="str">
        <f t="shared" si="4"/>
        <v/>
      </c>
      <c r="AC25" s="165" t="str">
        <f>IF(AA25="","",VLOOKUP(AB25,Table1[],2,TRUE))</f>
        <v/>
      </c>
      <c r="AD25" s="186" t="str">
        <f t="shared" si="5"/>
        <v/>
      </c>
      <c r="AE25" s="129"/>
      <c r="AF25" s="129" t="str">
        <f>IF(AD25="","",IF(ISBLANK(AE25),VLOOKUP(AVERAGE(AD25),Table1[],2,TRUE),AE25))</f>
        <v/>
      </c>
      <c r="AG25" s="115" t="s">
        <v>18</v>
      </c>
    </row>
    <row r="26" spans="1:33" s="60" customFormat="1" x14ac:dyDescent="0.25">
      <c r="A26" s="124"/>
      <c r="B26" s="124"/>
      <c r="C26" s="124"/>
      <c r="D26" s="124"/>
      <c r="E26" s="124"/>
      <c r="F26" s="125"/>
      <c r="G26" s="124"/>
      <c r="H26" s="124"/>
      <c r="I26" s="124"/>
      <c r="J26" s="124"/>
      <c r="K26" s="158"/>
      <c r="L26" s="171"/>
      <c r="M26" s="171"/>
      <c r="N26" s="171"/>
      <c r="O26" s="124"/>
      <c r="P26" s="125"/>
      <c r="Q26" s="171"/>
      <c r="R26" s="171"/>
      <c r="S26" s="171"/>
      <c r="T26" s="124"/>
      <c r="U26" s="176" t="str">
        <f t="shared" si="0"/>
        <v/>
      </c>
      <c r="V26" s="177" t="str">
        <f t="shared" si="1"/>
        <v/>
      </c>
      <c r="W26" s="178" t="str">
        <f>IF(U26="","",VLOOKUP(V26,Table1[],2,TRUE))</f>
        <v/>
      </c>
      <c r="X26" s="130" t="str">
        <f t="shared" si="2"/>
        <v/>
      </c>
      <c r="Y26" s="127" t="str">
        <f t="shared" si="3"/>
        <v/>
      </c>
      <c r="Z26" s="128" t="str">
        <f>IF(X26="","",VLOOKUP(Y26,Table1[],2,TRUE))</f>
        <v/>
      </c>
      <c r="AA26" s="166" t="str">
        <f t="shared" si="6"/>
        <v/>
      </c>
      <c r="AB26" s="164" t="str">
        <f t="shared" si="4"/>
        <v/>
      </c>
      <c r="AC26" s="165" t="str">
        <f>IF(AA26="","",VLOOKUP(AB26,Table1[],2,TRUE))</f>
        <v/>
      </c>
      <c r="AD26" s="186" t="str">
        <f t="shared" si="5"/>
        <v/>
      </c>
      <c r="AE26" s="129"/>
      <c r="AF26" s="129" t="str">
        <f>IF(AD26="","",IF(ISBLANK(AE26),VLOOKUP(AVERAGE(AD26),Table1[],2,TRUE),AE26))</f>
        <v/>
      </c>
      <c r="AG26" s="115" t="s">
        <v>18</v>
      </c>
    </row>
    <row r="27" spans="1:33" s="60" customFormat="1" x14ac:dyDescent="0.25">
      <c r="A27" s="124"/>
      <c r="B27" s="124"/>
      <c r="C27" s="124"/>
      <c r="D27" s="124"/>
      <c r="E27" s="124"/>
      <c r="F27" s="125"/>
      <c r="G27" s="124"/>
      <c r="H27" s="124"/>
      <c r="I27" s="124"/>
      <c r="J27" s="124"/>
      <c r="K27" s="158"/>
      <c r="L27" s="171"/>
      <c r="M27" s="171"/>
      <c r="N27" s="171"/>
      <c r="O27" s="124"/>
      <c r="P27" s="125"/>
      <c r="Q27" s="171"/>
      <c r="R27" s="171"/>
      <c r="S27" s="171"/>
      <c r="T27" s="124"/>
      <c r="U27" s="176" t="str">
        <f t="shared" si="0"/>
        <v/>
      </c>
      <c r="V27" s="177" t="str">
        <f t="shared" si="1"/>
        <v/>
      </c>
      <c r="W27" s="178" t="str">
        <f>IF(U27="","",VLOOKUP(V27,Table1[],2,TRUE))</f>
        <v/>
      </c>
      <c r="X27" s="130" t="str">
        <f t="shared" si="2"/>
        <v/>
      </c>
      <c r="Y27" s="127" t="str">
        <f t="shared" si="3"/>
        <v/>
      </c>
      <c r="Z27" s="128" t="str">
        <f>IF(X27="","",VLOOKUP(Y27,Table1[],2,TRUE))</f>
        <v/>
      </c>
      <c r="AA27" s="166" t="str">
        <f t="shared" si="6"/>
        <v/>
      </c>
      <c r="AB27" s="164" t="str">
        <f t="shared" si="4"/>
        <v/>
      </c>
      <c r="AC27" s="165" t="str">
        <f>IF(AA27="","",VLOOKUP(AB27,Table1[],2,TRUE))</f>
        <v/>
      </c>
      <c r="AD27" s="186" t="str">
        <f t="shared" si="5"/>
        <v/>
      </c>
      <c r="AE27" s="129"/>
      <c r="AF27" s="129" t="str">
        <f>IF(AD27="","",IF(ISBLANK(AE27),VLOOKUP(AVERAGE(AD27),Table1[],2,TRUE),AE27))</f>
        <v/>
      </c>
      <c r="AG27" s="115" t="s">
        <v>18</v>
      </c>
    </row>
    <row r="28" spans="1:33" s="60" customFormat="1" x14ac:dyDescent="0.25">
      <c r="A28" s="124"/>
      <c r="B28" s="124"/>
      <c r="C28" s="124"/>
      <c r="D28" s="124"/>
      <c r="E28" s="124"/>
      <c r="F28" s="125"/>
      <c r="G28" s="124"/>
      <c r="H28" s="124"/>
      <c r="I28" s="124"/>
      <c r="J28" s="124"/>
      <c r="K28" s="158"/>
      <c r="L28" s="171"/>
      <c r="M28" s="171"/>
      <c r="N28" s="171"/>
      <c r="O28" s="124"/>
      <c r="P28" s="125"/>
      <c r="Q28" s="171"/>
      <c r="R28" s="171"/>
      <c r="S28" s="171"/>
      <c r="T28" s="124"/>
      <c r="U28" s="176" t="str">
        <f t="shared" si="0"/>
        <v/>
      </c>
      <c r="V28" s="177" t="str">
        <f t="shared" si="1"/>
        <v/>
      </c>
      <c r="W28" s="178" t="str">
        <f>IF(U28="","",VLOOKUP(V28,Table1[],2,TRUE))</f>
        <v/>
      </c>
      <c r="X28" s="130" t="str">
        <f t="shared" si="2"/>
        <v/>
      </c>
      <c r="Y28" s="127" t="str">
        <f t="shared" si="3"/>
        <v/>
      </c>
      <c r="Z28" s="128" t="str">
        <f>IF(X28="","",VLOOKUP(Y28,Table1[],2,TRUE))</f>
        <v/>
      </c>
      <c r="AA28" s="166" t="str">
        <f t="shared" si="6"/>
        <v/>
      </c>
      <c r="AB28" s="164" t="str">
        <f t="shared" si="4"/>
        <v/>
      </c>
      <c r="AC28" s="165" t="str">
        <f>IF(AA28="","",VLOOKUP(AB28,Table1[],2,TRUE))</f>
        <v/>
      </c>
      <c r="AD28" s="186" t="str">
        <f t="shared" si="5"/>
        <v/>
      </c>
      <c r="AE28" s="129"/>
      <c r="AF28" s="129" t="str">
        <f>IF(AD28="","",IF(ISBLANK(AE28),VLOOKUP(AVERAGE(AD28),Table1[],2,TRUE),AE28))</f>
        <v/>
      </c>
      <c r="AG28" s="115" t="s">
        <v>18</v>
      </c>
    </row>
    <row r="29" spans="1:33" s="60" customFormat="1" x14ac:dyDescent="0.25">
      <c r="A29" s="124"/>
      <c r="B29" s="124"/>
      <c r="C29" s="124"/>
      <c r="D29" s="124"/>
      <c r="E29" s="124"/>
      <c r="F29" s="125"/>
      <c r="G29" s="124"/>
      <c r="H29" s="124"/>
      <c r="I29" s="124"/>
      <c r="J29" s="124"/>
      <c r="K29" s="158"/>
      <c r="L29" s="171"/>
      <c r="M29" s="171"/>
      <c r="N29" s="171"/>
      <c r="O29" s="124"/>
      <c r="P29" s="125"/>
      <c r="Q29" s="171"/>
      <c r="R29" s="171"/>
      <c r="S29" s="171"/>
      <c r="T29" s="124"/>
      <c r="U29" s="176" t="str">
        <f t="shared" si="0"/>
        <v/>
      </c>
      <c r="V29" s="177" t="str">
        <f t="shared" si="1"/>
        <v/>
      </c>
      <c r="W29" s="178" t="str">
        <f>IF(U29="","",VLOOKUP(V29,Table1[],2,TRUE))</f>
        <v/>
      </c>
      <c r="X29" s="130" t="str">
        <f t="shared" si="2"/>
        <v/>
      </c>
      <c r="Y29" s="127" t="str">
        <f t="shared" si="3"/>
        <v/>
      </c>
      <c r="Z29" s="128" t="str">
        <f>IF(X29="","",VLOOKUP(Y29,Table1[],2,TRUE))</f>
        <v/>
      </c>
      <c r="AA29" s="166" t="str">
        <f t="shared" si="6"/>
        <v/>
      </c>
      <c r="AB29" s="164" t="str">
        <f t="shared" si="4"/>
        <v/>
      </c>
      <c r="AC29" s="165" t="str">
        <f>IF(AA29="","",VLOOKUP(AB29,Table1[],2,TRUE))</f>
        <v/>
      </c>
      <c r="AD29" s="186" t="str">
        <f t="shared" si="5"/>
        <v/>
      </c>
      <c r="AE29" s="129"/>
      <c r="AF29" s="129" t="str">
        <f>IF(AD29="","",IF(ISBLANK(AE29),VLOOKUP(AVERAGE(AD29),Table1[],2,TRUE),AE29))</f>
        <v/>
      </c>
      <c r="AG29" s="115" t="s">
        <v>18</v>
      </c>
    </row>
    <row r="30" spans="1:33" s="60" customFormat="1" x14ac:dyDescent="0.25">
      <c r="A30" s="124"/>
      <c r="B30" s="124"/>
      <c r="C30" s="124"/>
      <c r="D30" s="124"/>
      <c r="E30" s="124"/>
      <c r="F30" s="125"/>
      <c r="G30" s="124"/>
      <c r="H30" s="124"/>
      <c r="I30" s="124"/>
      <c r="J30" s="124"/>
      <c r="K30" s="158"/>
      <c r="L30" s="171"/>
      <c r="M30" s="171"/>
      <c r="N30" s="171"/>
      <c r="O30" s="124"/>
      <c r="P30" s="125"/>
      <c r="Q30" s="171"/>
      <c r="R30" s="171"/>
      <c r="S30" s="171"/>
      <c r="T30" s="124"/>
      <c r="U30" s="176" t="str">
        <f t="shared" si="0"/>
        <v/>
      </c>
      <c r="V30" s="177" t="str">
        <f t="shared" si="1"/>
        <v/>
      </c>
      <c r="W30" s="178" t="str">
        <f>IF(U30="","",VLOOKUP(V30,Table1[],2,TRUE))</f>
        <v/>
      </c>
      <c r="X30" s="130" t="str">
        <f t="shared" si="2"/>
        <v/>
      </c>
      <c r="Y30" s="127" t="str">
        <f t="shared" si="3"/>
        <v/>
      </c>
      <c r="Z30" s="128" t="str">
        <f>IF(X30="","",VLOOKUP(Y30,Table1[],2,TRUE))</f>
        <v/>
      </c>
      <c r="AA30" s="166" t="str">
        <f t="shared" si="6"/>
        <v/>
      </c>
      <c r="AB30" s="164" t="str">
        <f t="shared" si="4"/>
        <v/>
      </c>
      <c r="AC30" s="165" t="str">
        <f>IF(AA30="","",VLOOKUP(AB30,Table1[],2,TRUE))</f>
        <v/>
      </c>
      <c r="AD30" s="186" t="str">
        <f t="shared" si="5"/>
        <v/>
      </c>
      <c r="AE30" s="129"/>
      <c r="AF30" s="129" t="str">
        <f>IF(AD30="","",IF(ISBLANK(AE30),VLOOKUP(AVERAGE(AD30),Table1[],2,TRUE),AE30))</f>
        <v/>
      </c>
      <c r="AG30" s="115" t="s">
        <v>18</v>
      </c>
    </row>
    <row r="31" spans="1:33" s="60" customFormat="1" x14ac:dyDescent="0.25">
      <c r="A31" s="124"/>
      <c r="B31" s="124"/>
      <c r="C31" s="124"/>
      <c r="D31" s="124"/>
      <c r="E31" s="124"/>
      <c r="F31" s="125"/>
      <c r="G31" s="124"/>
      <c r="H31" s="124"/>
      <c r="I31" s="124"/>
      <c r="J31" s="124"/>
      <c r="K31" s="158"/>
      <c r="L31" s="171"/>
      <c r="M31" s="171"/>
      <c r="N31" s="171"/>
      <c r="O31" s="124"/>
      <c r="P31" s="125"/>
      <c r="Q31" s="171"/>
      <c r="R31" s="171"/>
      <c r="S31" s="171"/>
      <c r="T31" s="124"/>
      <c r="U31" s="176" t="str">
        <f t="shared" si="0"/>
        <v/>
      </c>
      <c r="V31" s="177" t="str">
        <f t="shared" si="1"/>
        <v/>
      </c>
      <c r="W31" s="178" t="str">
        <f>IF(U31="","",VLOOKUP(V31,Table1[],2,TRUE))</f>
        <v/>
      </c>
      <c r="X31" s="130" t="str">
        <f t="shared" si="2"/>
        <v/>
      </c>
      <c r="Y31" s="127" t="str">
        <f t="shared" si="3"/>
        <v/>
      </c>
      <c r="Z31" s="128" t="str">
        <f>IF(X31="","",VLOOKUP(Y31,Table1[],2,TRUE))</f>
        <v/>
      </c>
      <c r="AA31" s="166" t="str">
        <f t="shared" si="6"/>
        <v/>
      </c>
      <c r="AB31" s="164" t="str">
        <f t="shared" si="4"/>
        <v/>
      </c>
      <c r="AC31" s="165" t="str">
        <f>IF(AA31="","",VLOOKUP(AB31,Table1[],2,TRUE))</f>
        <v/>
      </c>
      <c r="AD31" s="186" t="str">
        <f t="shared" si="5"/>
        <v/>
      </c>
      <c r="AE31" s="129"/>
      <c r="AF31" s="129" t="str">
        <f>IF(AD31="","",IF(ISBLANK(AE31),VLOOKUP(AVERAGE(AD31),Table1[],2,TRUE),AE31))</f>
        <v/>
      </c>
      <c r="AG31" s="115" t="s">
        <v>18</v>
      </c>
    </row>
    <row r="32" spans="1:33" s="60" customFormat="1" x14ac:dyDescent="0.25">
      <c r="A32" s="124"/>
      <c r="B32" s="124"/>
      <c r="C32" s="124"/>
      <c r="D32" s="124"/>
      <c r="E32" s="124"/>
      <c r="F32" s="125"/>
      <c r="G32" s="124"/>
      <c r="H32" s="124"/>
      <c r="I32" s="124"/>
      <c r="J32" s="124"/>
      <c r="K32" s="158"/>
      <c r="L32" s="171"/>
      <c r="M32" s="171"/>
      <c r="N32" s="171"/>
      <c r="O32" s="124"/>
      <c r="P32" s="125"/>
      <c r="Q32" s="171"/>
      <c r="R32" s="171"/>
      <c r="S32" s="171"/>
      <c r="T32" s="124"/>
      <c r="U32" s="176" t="str">
        <f t="shared" si="0"/>
        <v/>
      </c>
      <c r="V32" s="177" t="str">
        <f t="shared" si="1"/>
        <v/>
      </c>
      <c r="W32" s="178" t="str">
        <f>IF(U32="","",VLOOKUP(V32,Table1[],2,TRUE))</f>
        <v/>
      </c>
      <c r="X32" s="130" t="str">
        <f t="shared" si="2"/>
        <v/>
      </c>
      <c r="Y32" s="127" t="str">
        <f t="shared" si="3"/>
        <v/>
      </c>
      <c r="Z32" s="128" t="str">
        <f>IF(X32="","",VLOOKUP(Y32,Table1[],2,TRUE))</f>
        <v/>
      </c>
      <c r="AA32" s="166" t="str">
        <f t="shared" si="6"/>
        <v/>
      </c>
      <c r="AB32" s="164" t="str">
        <f t="shared" si="4"/>
        <v/>
      </c>
      <c r="AC32" s="165" t="str">
        <f>IF(AA32="","",VLOOKUP(AB32,Table1[],2,TRUE))</f>
        <v/>
      </c>
      <c r="AD32" s="186" t="str">
        <f t="shared" si="5"/>
        <v/>
      </c>
      <c r="AE32" s="129"/>
      <c r="AF32" s="129" t="str">
        <f>IF(AD32="","",IF(ISBLANK(AE32),VLOOKUP(AVERAGE(AD32),Table1[],2,TRUE),AE32))</f>
        <v/>
      </c>
      <c r="AG32" s="115" t="s">
        <v>18</v>
      </c>
    </row>
    <row r="33" spans="1:33" s="60" customFormat="1" x14ac:dyDescent="0.25">
      <c r="A33" s="124"/>
      <c r="B33" s="124"/>
      <c r="C33" s="124"/>
      <c r="D33" s="124"/>
      <c r="E33" s="124"/>
      <c r="F33" s="125"/>
      <c r="G33" s="124"/>
      <c r="H33" s="124"/>
      <c r="I33" s="124"/>
      <c r="J33" s="124"/>
      <c r="K33" s="158"/>
      <c r="L33" s="171"/>
      <c r="M33" s="171"/>
      <c r="N33" s="171"/>
      <c r="O33" s="124"/>
      <c r="P33" s="125"/>
      <c r="Q33" s="171"/>
      <c r="R33" s="171"/>
      <c r="S33" s="171"/>
      <c r="T33" s="124"/>
      <c r="U33" s="176" t="str">
        <f t="shared" si="0"/>
        <v/>
      </c>
      <c r="V33" s="177" t="str">
        <f t="shared" si="1"/>
        <v/>
      </c>
      <c r="W33" s="178" t="str">
        <f>IF(U33="","",VLOOKUP(V33,Table1[],2,TRUE))</f>
        <v/>
      </c>
      <c r="X33" s="130" t="str">
        <f t="shared" si="2"/>
        <v/>
      </c>
      <c r="Y33" s="127" t="str">
        <f t="shared" si="3"/>
        <v/>
      </c>
      <c r="Z33" s="128" t="str">
        <f>IF(X33="","",VLOOKUP(Y33,Table1[],2,TRUE))</f>
        <v/>
      </c>
      <c r="AA33" s="166" t="str">
        <f t="shared" si="6"/>
        <v/>
      </c>
      <c r="AB33" s="164" t="str">
        <f t="shared" si="4"/>
        <v/>
      </c>
      <c r="AC33" s="165" t="str">
        <f>IF(AA33="","",VLOOKUP(AB33,Table1[],2,TRUE))</f>
        <v/>
      </c>
      <c r="AD33" s="186" t="str">
        <f t="shared" si="5"/>
        <v/>
      </c>
      <c r="AE33" s="129"/>
      <c r="AF33" s="129" t="str">
        <f>IF(AD33="","",IF(ISBLANK(AE33),VLOOKUP(AVERAGE(AD33),Table1[],2,TRUE),AE33))</f>
        <v/>
      </c>
      <c r="AG33" s="115" t="s">
        <v>18</v>
      </c>
    </row>
    <row r="34" spans="1:33" s="60" customFormat="1" x14ac:dyDescent="0.25">
      <c r="A34" s="124"/>
      <c r="B34" s="124"/>
      <c r="C34" s="124"/>
      <c r="D34" s="124"/>
      <c r="E34" s="124"/>
      <c r="F34" s="125"/>
      <c r="G34" s="124"/>
      <c r="H34" s="124"/>
      <c r="I34" s="124"/>
      <c r="J34" s="124"/>
      <c r="K34" s="158"/>
      <c r="L34" s="171"/>
      <c r="M34" s="171"/>
      <c r="N34" s="171"/>
      <c r="O34" s="124"/>
      <c r="P34" s="125"/>
      <c r="Q34" s="171"/>
      <c r="R34" s="171"/>
      <c r="S34" s="171"/>
      <c r="T34" s="124"/>
      <c r="U34" s="176" t="str">
        <f t="shared" si="0"/>
        <v/>
      </c>
      <c r="V34" s="177" t="str">
        <f t="shared" si="1"/>
        <v/>
      </c>
      <c r="W34" s="178" t="str">
        <f>IF(U34="","",VLOOKUP(V34,Table1[],2,TRUE))</f>
        <v/>
      </c>
      <c r="X34" s="130" t="str">
        <f t="shared" si="2"/>
        <v/>
      </c>
      <c r="Y34" s="127" t="str">
        <f t="shared" si="3"/>
        <v/>
      </c>
      <c r="Z34" s="128" t="str">
        <f>IF(X34="","",VLOOKUP(Y34,Table1[],2,TRUE))</f>
        <v/>
      </c>
      <c r="AA34" s="166" t="str">
        <f t="shared" si="6"/>
        <v/>
      </c>
      <c r="AB34" s="164" t="str">
        <f t="shared" si="4"/>
        <v/>
      </c>
      <c r="AC34" s="165" t="str">
        <f>IF(AA34="","",VLOOKUP(AB34,Table1[],2,TRUE))</f>
        <v/>
      </c>
      <c r="AD34" s="186" t="str">
        <f t="shared" si="5"/>
        <v/>
      </c>
      <c r="AE34" s="129"/>
      <c r="AF34" s="129" t="str">
        <f>IF(AD34="","",IF(ISBLANK(AE34),VLOOKUP(AVERAGE(AD34),Table1[],2,TRUE),AE34))</f>
        <v/>
      </c>
      <c r="AG34" s="115" t="s">
        <v>18</v>
      </c>
    </row>
    <row r="35" spans="1:33" s="60" customFormat="1" x14ac:dyDescent="0.25">
      <c r="A35" s="124"/>
      <c r="B35" s="124"/>
      <c r="C35" s="124"/>
      <c r="D35" s="124"/>
      <c r="E35" s="124"/>
      <c r="F35" s="125"/>
      <c r="G35" s="124"/>
      <c r="H35" s="124"/>
      <c r="I35" s="124"/>
      <c r="J35" s="124"/>
      <c r="K35" s="158"/>
      <c r="L35" s="171"/>
      <c r="M35" s="171"/>
      <c r="N35" s="171"/>
      <c r="O35" s="124"/>
      <c r="P35" s="125"/>
      <c r="Q35" s="171"/>
      <c r="R35" s="171"/>
      <c r="S35" s="171"/>
      <c r="T35" s="124"/>
      <c r="U35" s="176" t="str">
        <f t="shared" si="0"/>
        <v/>
      </c>
      <c r="V35" s="177" t="str">
        <f t="shared" si="1"/>
        <v/>
      </c>
      <c r="W35" s="178" t="str">
        <f>IF(U35="","",VLOOKUP(V35,Table1[],2,TRUE))</f>
        <v/>
      </c>
      <c r="X35" s="130" t="str">
        <f t="shared" si="2"/>
        <v/>
      </c>
      <c r="Y35" s="127" t="str">
        <f t="shared" si="3"/>
        <v/>
      </c>
      <c r="Z35" s="128" t="str">
        <f>IF(X35="","",VLOOKUP(Y35,Table1[],2,TRUE))</f>
        <v/>
      </c>
      <c r="AA35" s="166" t="str">
        <f t="shared" si="6"/>
        <v/>
      </c>
      <c r="AB35" s="164" t="str">
        <f t="shared" si="4"/>
        <v/>
      </c>
      <c r="AC35" s="165" t="str">
        <f>IF(AA35="","",VLOOKUP(AB35,Table1[],2,TRUE))</f>
        <v/>
      </c>
      <c r="AD35" s="186" t="str">
        <f t="shared" si="5"/>
        <v/>
      </c>
      <c r="AE35" s="129"/>
      <c r="AF35" s="129" t="str">
        <f>IF(AD35="","",IF(ISBLANK(AE35),VLOOKUP(AVERAGE(AD35),Table1[],2,TRUE),AE35))</f>
        <v/>
      </c>
      <c r="AG35" s="115" t="s">
        <v>18</v>
      </c>
    </row>
    <row r="36" spans="1:33" s="60" customFormat="1" x14ac:dyDescent="0.25">
      <c r="A36" s="124"/>
      <c r="B36" s="124"/>
      <c r="C36" s="124"/>
      <c r="D36" s="124"/>
      <c r="E36" s="124"/>
      <c r="F36" s="125"/>
      <c r="G36" s="124"/>
      <c r="H36" s="124"/>
      <c r="I36" s="124"/>
      <c r="J36" s="124"/>
      <c r="K36" s="158"/>
      <c r="L36" s="171"/>
      <c r="M36" s="171"/>
      <c r="N36" s="171"/>
      <c r="O36" s="124"/>
      <c r="P36" s="125"/>
      <c r="Q36" s="171"/>
      <c r="R36" s="171"/>
      <c r="S36" s="171"/>
      <c r="T36" s="124"/>
      <c r="U36" s="176" t="str">
        <f t="shared" si="0"/>
        <v/>
      </c>
      <c r="V36" s="177" t="str">
        <f t="shared" si="1"/>
        <v/>
      </c>
      <c r="W36" s="178" t="str">
        <f>IF(U36="","",VLOOKUP(V36,Table1[],2,TRUE))</f>
        <v/>
      </c>
      <c r="X36" s="130" t="str">
        <f t="shared" si="2"/>
        <v/>
      </c>
      <c r="Y36" s="127" t="str">
        <f t="shared" si="3"/>
        <v/>
      </c>
      <c r="Z36" s="128" t="str">
        <f>IF(X36="","",VLOOKUP(Y36,Table1[],2,TRUE))</f>
        <v/>
      </c>
      <c r="AA36" s="166" t="str">
        <f t="shared" si="6"/>
        <v/>
      </c>
      <c r="AB36" s="164" t="str">
        <f t="shared" si="4"/>
        <v/>
      </c>
      <c r="AC36" s="165" t="str">
        <f>IF(AA36="","",VLOOKUP(AB36,Table1[],2,TRUE))</f>
        <v/>
      </c>
      <c r="AD36" s="186" t="str">
        <f t="shared" si="5"/>
        <v/>
      </c>
      <c r="AE36" s="129"/>
      <c r="AF36" s="129" t="str">
        <f>IF(AD36="","",IF(ISBLANK(AE36),VLOOKUP(AVERAGE(AD36),Table1[],2,TRUE),AE36))</f>
        <v/>
      </c>
      <c r="AG36" s="115" t="s">
        <v>18</v>
      </c>
    </row>
    <row r="37" spans="1:33" s="60" customFormat="1" x14ac:dyDescent="0.25">
      <c r="A37" s="124"/>
      <c r="B37" s="124"/>
      <c r="C37" s="124"/>
      <c r="D37" s="124"/>
      <c r="E37" s="124"/>
      <c r="F37" s="125"/>
      <c r="G37" s="124"/>
      <c r="H37" s="124"/>
      <c r="I37" s="124"/>
      <c r="J37" s="124"/>
      <c r="K37" s="158"/>
      <c r="L37" s="171"/>
      <c r="M37" s="171"/>
      <c r="N37" s="171"/>
      <c r="O37" s="124"/>
      <c r="P37" s="125"/>
      <c r="Q37" s="171"/>
      <c r="R37" s="171"/>
      <c r="S37" s="171"/>
      <c r="T37" s="124"/>
      <c r="U37" s="176" t="str">
        <f t="shared" si="0"/>
        <v/>
      </c>
      <c r="V37" s="177" t="str">
        <f t="shared" si="1"/>
        <v/>
      </c>
      <c r="W37" s="178" t="str">
        <f>IF(U37="","",VLOOKUP(V37,Table1[],2,TRUE))</f>
        <v/>
      </c>
      <c r="X37" s="130" t="str">
        <f t="shared" si="2"/>
        <v/>
      </c>
      <c r="Y37" s="127" t="str">
        <f t="shared" si="3"/>
        <v/>
      </c>
      <c r="Z37" s="128" t="str">
        <f>IF(X37="","",VLOOKUP(Y37,Table1[],2,TRUE))</f>
        <v/>
      </c>
      <c r="AA37" s="166" t="str">
        <f t="shared" si="6"/>
        <v/>
      </c>
      <c r="AB37" s="164" t="str">
        <f t="shared" si="4"/>
        <v/>
      </c>
      <c r="AC37" s="165" t="str">
        <f>IF(AA37="","",VLOOKUP(AB37,Table1[],2,TRUE))</f>
        <v/>
      </c>
      <c r="AD37" s="186" t="str">
        <f t="shared" si="5"/>
        <v/>
      </c>
      <c r="AE37" s="129"/>
      <c r="AF37" s="129" t="str">
        <f>IF(AD37="","",IF(ISBLANK(AE37),VLOOKUP(AVERAGE(AD37),Table1[],2,TRUE),AE37))</f>
        <v/>
      </c>
      <c r="AG37" s="115" t="s">
        <v>18</v>
      </c>
    </row>
    <row r="38" spans="1:33" s="60" customFormat="1" x14ac:dyDescent="0.25">
      <c r="A38" s="124"/>
      <c r="B38" s="124"/>
      <c r="C38" s="124"/>
      <c r="D38" s="124"/>
      <c r="E38" s="124"/>
      <c r="F38" s="125"/>
      <c r="G38" s="124"/>
      <c r="H38" s="124"/>
      <c r="I38" s="124"/>
      <c r="J38" s="124"/>
      <c r="K38" s="158"/>
      <c r="L38" s="171"/>
      <c r="M38" s="171"/>
      <c r="N38" s="171"/>
      <c r="O38" s="124"/>
      <c r="P38" s="125"/>
      <c r="Q38" s="171"/>
      <c r="R38" s="171"/>
      <c r="S38" s="171"/>
      <c r="T38" s="124"/>
      <c r="U38" s="176" t="str">
        <f t="shared" si="0"/>
        <v/>
      </c>
      <c r="V38" s="177" t="str">
        <f t="shared" si="1"/>
        <v/>
      </c>
      <c r="W38" s="178" t="str">
        <f>IF(U38="","",VLOOKUP(V38,Table1[],2,TRUE))</f>
        <v/>
      </c>
      <c r="X38" s="130" t="str">
        <f t="shared" si="2"/>
        <v/>
      </c>
      <c r="Y38" s="127" t="str">
        <f t="shared" si="3"/>
        <v/>
      </c>
      <c r="Z38" s="128" t="str">
        <f>IF(X38="","",VLOOKUP(Y38,Table1[],2,TRUE))</f>
        <v/>
      </c>
      <c r="AA38" s="166" t="str">
        <f t="shared" si="6"/>
        <v/>
      </c>
      <c r="AB38" s="164" t="str">
        <f t="shared" si="4"/>
        <v/>
      </c>
      <c r="AC38" s="165" t="str">
        <f>IF(AA38="","",VLOOKUP(AB38,Table1[],2,TRUE))</f>
        <v/>
      </c>
      <c r="AD38" s="186" t="str">
        <f t="shared" si="5"/>
        <v/>
      </c>
      <c r="AE38" s="129"/>
      <c r="AF38" s="129" t="str">
        <f>IF(AD38="","",IF(ISBLANK(AE38),VLOOKUP(AVERAGE(AD38),Table1[],2,TRUE),AE38))</f>
        <v/>
      </c>
      <c r="AG38" s="115" t="s">
        <v>18</v>
      </c>
    </row>
    <row r="39" spans="1:33" s="60" customFormat="1" x14ac:dyDescent="0.25">
      <c r="A39" s="124"/>
      <c r="B39" s="124"/>
      <c r="C39" s="124"/>
      <c r="D39" s="124"/>
      <c r="E39" s="124"/>
      <c r="F39" s="125"/>
      <c r="G39" s="124"/>
      <c r="H39" s="124"/>
      <c r="I39" s="124"/>
      <c r="J39" s="124"/>
      <c r="K39" s="158"/>
      <c r="L39" s="171"/>
      <c r="M39" s="171"/>
      <c r="N39" s="171"/>
      <c r="O39" s="124"/>
      <c r="P39" s="125"/>
      <c r="Q39" s="171"/>
      <c r="R39" s="171"/>
      <c r="S39" s="171"/>
      <c r="T39" s="124"/>
      <c r="U39" s="176" t="str">
        <f t="shared" si="0"/>
        <v/>
      </c>
      <c r="V39" s="177" t="str">
        <f t="shared" si="1"/>
        <v/>
      </c>
      <c r="W39" s="178" t="str">
        <f>IF(U39="","",VLOOKUP(V39,Table1[],2,TRUE))</f>
        <v/>
      </c>
      <c r="X39" s="130" t="str">
        <f t="shared" si="2"/>
        <v/>
      </c>
      <c r="Y39" s="127" t="str">
        <f t="shared" si="3"/>
        <v/>
      </c>
      <c r="Z39" s="128" t="str">
        <f>IF(X39="","",VLOOKUP(Y39,Table1[],2,TRUE))</f>
        <v/>
      </c>
      <c r="AA39" s="166" t="str">
        <f t="shared" si="6"/>
        <v/>
      </c>
      <c r="AB39" s="164" t="str">
        <f t="shared" si="4"/>
        <v/>
      </c>
      <c r="AC39" s="165" t="str">
        <f>IF(AA39="","",VLOOKUP(AB39,Table1[],2,TRUE))</f>
        <v/>
      </c>
      <c r="AD39" s="186" t="str">
        <f t="shared" si="5"/>
        <v/>
      </c>
      <c r="AE39" s="129"/>
      <c r="AF39" s="129" t="str">
        <f>IF(AD39="","",IF(ISBLANK(AE39),VLOOKUP(AVERAGE(AD39),Table1[],2,TRUE),AE39))</f>
        <v/>
      </c>
      <c r="AG39" s="115" t="s">
        <v>18</v>
      </c>
    </row>
    <row r="40" spans="1:33" s="60" customFormat="1" ht="15.75" thickBot="1" x14ac:dyDescent="0.3">
      <c r="A40" s="131"/>
      <c r="B40" s="131"/>
      <c r="C40" s="131"/>
      <c r="D40" s="131"/>
      <c r="E40" s="131"/>
      <c r="F40" s="132"/>
      <c r="G40" s="131"/>
      <c r="H40" s="131"/>
      <c r="I40" s="131"/>
      <c r="J40" s="131"/>
      <c r="K40" s="159"/>
      <c r="L40" s="172"/>
      <c r="M40" s="172"/>
      <c r="N40" s="172"/>
      <c r="O40" s="140"/>
      <c r="P40" s="132"/>
      <c r="Q40" s="172"/>
      <c r="R40" s="172"/>
      <c r="S40" s="172"/>
      <c r="T40" s="133"/>
      <c r="U40" s="179" t="str">
        <f t="shared" si="0"/>
        <v/>
      </c>
      <c r="V40" s="180" t="str">
        <f t="shared" si="1"/>
        <v/>
      </c>
      <c r="W40" s="181" t="str">
        <f>IF(U40="","",VLOOKUP(V40,Table1[],2,TRUE))</f>
        <v/>
      </c>
      <c r="X40" s="134" t="str">
        <f t="shared" si="2"/>
        <v/>
      </c>
      <c r="Y40" s="135" t="str">
        <f t="shared" si="3"/>
        <v/>
      </c>
      <c r="Z40" s="136" t="str">
        <f>IF(X40="","",VLOOKUP(Y40,Table1[],2,TRUE))</f>
        <v/>
      </c>
      <c r="AA40" s="167" t="str">
        <f>IF(COUNTIF(K40:O40,"*-*")&gt;0,"-",IF(COUNTBLANK(K40:O40)=5,"",IF(AB$3="-","-",SUM(K40:O40))))</f>
        <v/>
      </c>
      <c r="AB40" s="168" t="str">
        <f t="shared" si="4"/>
        <v/>
      </c>
      <c r="AC40" s="169" t="str">
        <f>IF(AA40="","",VLOOKUP(AB40,Table1[],2,TRUE))</f>
        <v/>
      </c>
      <c r="AD40" s="187" t="str">
        <f t="shared" si="5"/>
        <v/>
      </c>
      <c r="AE40" s="137"/>
      <c r="AF40" s="138" t="str">
        <f>IF(AD40="","",IF(ISBLANK(AE40),VLOOKUP(AVERAGE(AD40),Table1[],2,TRUE),AE40))</f>
        <v/>
      </c>
      <c r="AG40" s="139"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7" priority="9" stopIfTrue="1">
      <formula>OR(ISNUMBER(SEARCH("D",W5)),ISNUMBER(SEARCH("E",W5)))</formula>
    </cfRule>
  </conditionalFormatting>
  <conditionalFormatting sqref="A5:T40">
    <cfRule type="expression" dxfId="6" priority="3" stopIfTrue="1">
      <formula>NOT(ISBLANK(A5))</formula>
    </cfRule>
    <cfRule type="expression" dxfId="5" priority="4" stopIfTrue="1">
      <formula>AND(NOT($A5="ZZZZZ"),NOT(ISBLANK(A$4)))</formula>
    </cfRule>
  </conditionalFormatting>
  <conditionalFormatting sqref="AC5:AC40">
    <cfRule type="expression" dxfId="4"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F40"/>
  <sheetViews>
    <sheetView zoomScale="85" zoomScaleNormal="85" workbookViewId="0">
      <selection activeCell="B13" sqref="B13"/>
    </sheetView>
  </sheetViews>
  <sheetFormatPr defaultRowHeight="15" x14ac:dyDescent="0.25"/>
  <cols>
    <col min="1" max="5" width="16" bestFit="1" customWidth="1"/>
    <col min="6" max="6" width="1.85546875" bestFit="1" customWidth="1"/>
  </cols>
  <sheetData>
    <row r="1" spans="1:6" x14ac:dyDescent="0.25">
      <c r="A1" s="146"/>
      <c r="B1" s="146"/>
      <c r="C1" s="147"/>
      <c r="D1" s="147"/>
      <c r="E1" s="147"/>
      <c r="F1" s="148"/>
    </row>
    <row r="2" spans="1:6" ht="15.75" x14ac:dyDescent="0.25">
      <c r="A2" s="153" t="s">
        <v>97</v>
      </c>
      <c r="B2" s="154"/>
      <c r="C2" s="154"/>
      <c r="D2" s="154"/>
      <c r="E2" s="155"/>
      <c r="F2" s="149" t="s">
        <v>18</v>
      </c>
    </row>
    <row r="3" spans="1:6" x14ac:dyDescent="0.25">
      <c r="A3" s="144" t="s">
        <v>98</v>
      </c>
      <c r="B3" s="144" t="s">
        <v>98</v>
      </c>
      <c r="C3" s="144" t="s">
        <v>98</v>
      </c>
      <c r="D3" s="144" t="s">
        <v>98</v>
      </c>
      <c r="E3" s="144" t="s">
        <v>98</v>
      </c>
      <c r="F3" s="149" t="s">
        <v>18</v>
      </c>
    </row>
    <row r="4" spans="1:6" x14ac:dyDescent="0.25">
      <c r="A4" s="143" t="s">
        <v>74</v>
      </c>
      <c r="B4" s="145" t="s">
        <v>73</v>
      </c>
      <c r="C4" s="145" t="s">
        <v>73</v>
      </c>
      <c r="D4" s="145" t="s">
        <v>73</v>
      </c>
      <c r="E4" s="145" t="s">
        <v>73</v>
      </c>
      <c r="F4" s="149" t="s">
        <v>18</v>
      </c>
    </row>
    <row r="5" spans="1:6" x14ac:dyDescent="0.25">
      <c r="A5" s="151"/>
      <c r="B5" s="151"/>
      <c r="C5" s="151"/>
      <c r="D5" s="151"/>
      <c r="E5" s="151"/>
      <c r="F5" s="149" t="s">
        <v>18</v>
      </c>
    </row>
    <row r="6" spans="1:6" x14ac:dyDescent="0.25">
      <c r="A6" s="151"/>
      <c r="B6" s="151"/>
      <c r="C6" s="151"/>
      <c r="D6" s="151"/>
      <c r="E6" s="151"/>
      <c r="F6" s="149" t="s">
        <v>18</v>
      </c>
    </row>
    <row r="7" spans="1:6" x14ac:dyDescent="0.25">
      <c r="A7" s="151"/>
      <c r="B7" s="151"/>
      <c r="C7" s="151"/>
      <c r="D7" s="151"/>
      <c r="E7" s="151"/>
      <c r="F7" s="149" t="s">
        <v>18</v>
      </c>
    </row>
    <row r="8" spans="1:6" x14ac:dyDescent="0.25">
      <c r="A8" s="151"/>
      <c r="B8" s="151"/>
      <c r="C8" s="151"/>
      <c r="D8" s="151"/>
      <c r="E8" s="151"/>
      <c r="F8" s="149" t="s">
        <v>18</v>
      </c>
    </row>
    <row r="9" spans="1:6" x14ac:dyDescent="0.25">
      <c r="A9" s="151"/>
      <c r="B9" s="151"/>
      <c r="C9" s="151"/>
      <c r="D9" s="151"/>
      <c r="E9" s="151"/>
      <c r="F9" s="149" t="s">
        <v>18</v>
      </c>
    </row>
    <row r="10" spans="1:6" x14ac:dyDescent="0.25">
      <c r="A10" s="151"/>
      <c r="B10" s="151"/>
      <c r="C10" s="151"/>
      <c r="D10" s="151"/>
      <c r="E10" s="151"/>
      <c r="F10" s="149" t="s">
        <v>18</v>
      </c>
    </row>
    <row r="11" spans="1:6" x14ac:dyDescent="0.25">
      <c r="A11" s="151"/>
      <c r="B11" s="151"/>
      <c r="C11" s="151"/>
      <c r="D11" s="151"/>
      <c r="E11" s="151"/>
      <c r="F11" s="149" t="s">
        <v>18</v>
      </c>
    </row>
    <row r="12" spans="1:6" x14ac:dyDescent="0.25">
      <c r="A12" s="151"/>
      <c r="B12" s="151"/>
      <c r="C12" s="151"/>
      <c r="D12" s="151"/>
      <c r="E12" s="151"/>
      <c r="F12" s="149" t="s">
        <v>18</v>
      </c>
    </row>
    <row r="13" spans="1:6" x14ac:dyDescent="0.25">
      <c r="A13" s="151"/>
      <c r="B13" s="151"/>
      <c r="C13" s="151"/>
      <c r="D13" s="151"/>
      <c r="E13" s="151"/>
      <c r="F13" s="149" t="s">
        <v>18</v>
      </c>
    </row>
    <row r="14" spans="1:6" x14ac:dyDescent="0.25">
      <c r="A14" s="151"/>
      <c r="B14" s="151"/>
      <c r="C14" s="151"/>
      <c r="D14" s="151"/>
      <c r="E14" s="151"/>
      <c r="F14" s="149" t="s">
        <v>18</v>
      </c>
    </row>
    <row r="15" spans="1:6" x14ac:dyDescent="0.25">
      <c r="A15" s="151"/>
      <c r="B15" s="151"/>
      <c r="C15" s="151"/>
      <c r="D15" s="151"/>
      <c r="E15" s="151"/>
      <c r="F15" s="149" t="s">
        <v>18</v>
      </c>
    </row>
    <row r="16" spans="1:6" x14ac:dyDescent="0.25">
      <c r="A16" s="151"/>
      <c r="B16" s="151"/>
      <c r="C16" s="151"/>
      <c r="D16" s="151"/>
      <c r="E16" s="151"/>
      <c r="F16" s="149" t="s">
        <v>18</v>
      </c>
    </row>
    <row r="17" spans="1:6" x14ac:dyDescent="0.25">
      <c r="A17" s="151"/>
      <c r="B17" s="151"/>
      <c r="C17" s="151"/>
      <c r="D17" s="151"/>
      <c r="E17" s="151"/>
      <c r="F17" s="149" t="s">
        <v>18</v>
      </c>
    </row>
    <row r="18" spans="1:6" x14ac:dyDescent="0.25">
      <c r="A18" s="151"/>
      <c r="B18" s="151"/>
      <c r="C18" s="151"/>
      <c r="D18" s="151"/>
      <c r="E18" s="151"/>
      <c r="F18" s="149" t="s">
        <v>18</v>
      </c>
    </row>
    <row r="19" spans="1:6" x14ac:dyDescent="0.25">
      <c r="A19" s="151"/>
      <c r="B19" s="151"/>
      <c r="C19" s="151"/>
      <c r="D19" s="151"/>
      <c r="E19" s="151"/>
      <c r="F19" s="149" t="s">
        <v>18</v>
      </c>
    </row>
    <row r="20" spans="1:6" x14ac:dyDescent="0.25">
      <c r="A20" s="151"/>
      <c r="B20" s="151"/>
      <c r="C20" s="151"/>
      <c r="D20" s="151"/>
      <c r="E20" s="151"/>
      <c r="F20" s="149" t="s">
        <v>18</v>
      </c>
    </row>
    <row r="21" spans="1:6" x14ac:dyDescent="0.25">
      <c r="A21" s="151"/>
      <c r="B21" s="151"/>
      <c r="C21" s="151"/>
      <c r="D21" s="151"/>
      <c r="E21" s="151"/>
      <c r="F21" s="149" t="s">
        <v>18</v>
      </c>
    </row>
    <row r="22" spans="1:6" x14ac:dyDescent="0.25">
      <c r="A22" s="151"/>
      <c r="B22" s="151"/>
      <c r="C22" s="151"/>
      <c r="D22" s="151"/>
      <c r="E22" s="151"/>
      <c r="F22" s="149" t="s">
        <v>18</v>
      </c>
    </row>
    <row r="23" spans="1:6" x14ac:dyDescent="0.25">
      <c r="A23" s="151"/>
      <c r="B23" s="151"/>
      <c r="C23" s="151"/>
      <c r="D23" s="151"/>
      <c r="E23" s="151"/>
      <c r="F23" s="149" t="s">
        <v>18</v>
      </c>
    </row>
    <row r="24" spans="1:6" x14ac:dyDescent="0.25">
      <c r="A24" s="151"/>
      <c r="B24" s="151"/>
      <c r="C24" s="151"/>
      <c r="D24" s="151"/>
      <c r="E24" s="151"/>
      <c r="F24" s="149" t="s">
        <v>18</v>
      </c>
    </row>
    <row r="25" spans="1:6" x14ac:dyDescent="0.25">
      <c r="A25" s="151"/>
      <c r="B25" s="151"/>
      <c r="C25" s="151"/>
      <c r="D25" s="151"/>
      <c r="E25" s="151"/>
      <c r="F25" s="149" t="s">
        <v>18</v>
      </c>
    </row>
    <row r="26" spans="1:6" x14ac:dyDescent="0.25">
      <c r="A26" s="151"/>
      <c r="B26" s="151"/>
      <c r="C26" s="151"/>
      <c r="D26" s="151"/>
      <c r="E26" s="151"/>
      <c r="F26" s="149" t="s">
        <v>18</v>
      </c>
    </row>
    <row r="27" spans="1:6" x14ac:dyDescent="0.25">
      <c r="A27" s="151"/>
      <c r="B27" s="151"/>
      <c r="C27" s="151"/>
      <c r="D27" s="151"/>
      <c r="E27" s="151"/>
      <c r="F27" s="149" t="s">
        <v>18</v>
      </c>
    </row>
    <row r="28" spans="1:6" x14ac:dyDescent="0.25">
      <c r="A28" s="151"/>
      <c r="B28" s="151"/>
      <c r="C28" s="151"/>
      <c r="D28" s="151"/>
      <c r="E28" s="151"/>
      <c r="F28" s="149" t="s">
        <v>18</v>
      </c>
    </row>
    <row r="29" spans="1:6" x14ac:dyDescent="0.25">
      <c r="A29" s="151"/>
      <c r="B29" s="151"/>
      <c r="C29" s="151"/>
      <c r="D29" s="151"/>
      <c r="E29" s="151"/>
      <c r="F29" s="149" t="s">
        <v>18</v>
      </c>
    </row>
    <row r="30" spans="1:6" x14ac:dyDescent="0.25">
      <c r="A30" s="151"/>
      <c r="B30" s="151"/>
      <c r="C30" s="151"/>
      <c r="D30" s="151"/>
      <c r="E30" s="151"/>
      <c r="F30" s="149" t="s">
        <v>18</v>
      </c>
    </row>
    <row r="31" spans="1:6" x14ac:dyDescent="0.25">
      <c r="A31" s="151"/>
      <c r="B31" s="151"/>
      <c r="C31" s="151"/>
      <c r="D31" s="151"/>
      <c r="E31" s="151"/>
      <c r="F31" s="149" t="s">
        <v>18</v>
      </c>
    </row>
    <row r="32" spans="1:6" x14ac:dyDescent="0.25">
      <c r="A32" s="151"/>
      <c r="B32" s="151"/>
      <c r="C32" s="151"/>
      <c r="D32" s="151"/>
      <c r="E32" s="151"/>
      <c r="F32" s="149" t="s">
        <v>18</v>
      </c>
    </row>
    <row r="33" spans="1:6" x14ac:dyDescent="0.25">
      <c r="A33" s="151"/>
      <c r="B33" s="151"/>
      <c r="C33" s="151"/>
      <c r="D33" s="151"/>
      <c r="E33" s="151"/>
      <c r="F33" s="149" t="s">
        <v>18</v>
      </c>
    </row>
    <row r="34" spans="1:6" x14ac:dyDescent="0.25">
      <c r="A34" s="151"/>
      <c r="B34" s="151"/>
      <c r="C34" s="151"/>
      <c r="D34" s="151"/>
      <c r="E34" s="151"/>
      <c r="F34" s="149" t="s">
        <v>18</v>
      </c>
    </row>
    <row r="35" spans="1:6" x14ac:dyDescent="0.25">
      <c r="A35" s="151"/>
      <c r="B35" s="151"/>
      <c r="C35" s="151"/>
      <c r="D35" s="151"/>
      <c r="E35" s="151"/>
      <c r="F35" s="149" t="s">
        <v>18</v>
      </c>
    </row>
    <row r="36" spans="1:6" x14ac:dyDescent="0.25">
      <c r="A36" s="151"/>
      <c r="B36" s="151"/>
      <c r="C36" s="151"/>
      <c r="D36" s="151"/>
      <c r="E36" s="151"/>
      <c r="F36" s="149" t="s">
        <v>18</v>
      </c>
    </row>
    <row r="37" spans="1:6" x14ac:dyDescent="0.25">
      <c r="A37" s="151"/>
      <c r="B37" s="151"/>
      <c r="C37" s="151"/>
      <c r="D37" s="151"/>
      <c r="E37" s="151"/>
      <c r="F37" s="149" t="s">
        <v>18</v>
      </c>
    </row>
    <row r="38" spans="1:6" x14ac:dyDescent="0.25">
      <c r="A38" s="151"/>
      <c r="B38" s="151"/>
      <c r="C38" s="151"/>
      <c r="D38" s="151"/>
      <c r="E38" s="151"/>
      <c r="F38" s="149" t="s">
        <v>18</v>
      </c>
    </row>
    <row r="39" spans="1:6" x14ac:dyDescent="0.25">
      <c r="A39" s="151"/>
      <c r="B39" s="151"/>
      <c r="C39" s="151"/>
      <c r="D39" s="151"/>
      <c r="E39" s="151"/>
      <c r="F39" s="149" t="s">
        <v>18</v>
      </c>
    </row>
    <row r="40" spans="1:6" ht="15.75" thickBot="1" x14ac:dyDescent="0.3">
      <c r="A40" s="152"/>
      <c r="B40" s="152"/>
      <c r="C40" s="152"/>
      <c r="D40" s="152"/>
      <c r="E40" s="152"/>
      <c r="F40" s="150" t="s">
        <v>18</v>
      </c>
    </row>
  </sheetData>
  <conditionalFormatting sqref="A5:E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1" t="s">
        <v>65</v>
      </c>
      <c r="B1" s="248" t="s">
        <v>80</v>
      </c>
      <c r="C1" s="248"/>
      <c r="D1" s="248"/>
      <c r="E1" s="248"/>
      <c r="F1" s="248"/>
      <c r="G1" s="248"/>
      <c r="H1" s="248"/>
      <c r="I1" s="248"/>
      <c r="J1" s="248"/>
      <c r="K1" s="248"/>
      <c r="L1" s="248"/>
      <c r="M1" s="248"/>
      <c r="N1" s="248"/>
      <c r="O1" s="248"/>
      <c r="P1" s="248"/>
      <c r="Q1" s="248"/>
      <c r="R1" s="248"/>
      <c r="S1" s="248"/>
      <c r="T1" s="248"/>
      <c r="U1" s="248"/>
      <c r="V1" s="249"/>
    </row>
    <row r="2" spans="1:22" x14ac:dyDescent="0.25">
      <c r="A2" s="255" t="s">
        <v>31</v>
      </c>
      <c r="B2" s="246"/>
      <c r="C2" s="246"/>
      <c r="D2" s="246"/>
      <c r="E2" s="246"/>
      <c r="F2" s="245" t="s">
        <v>33</v>
      </c>
      <c r="G2" s="246"/>
      <c r="H2" s="246"/>
      <c r="I2" s="246"/>
      <c r="J2" s="246"/>
      <c r="K2" s="245" t="s">
        <v>77</v>
      </c>
      <c r="L2" s="247"/>
      <c r="M2" s="245" t="s">
        <v>34</v>
      </c>
      <c r="N2" s="246"/>
      <c r="O2" s="246"/>
      <c r="P2" s="246"/>
      <c r="Q2" s="246"/>
      <c r="R2" s="246"/>
      <c r="S2" s="246"/>
      <c r="T2" s="246"/>
      <c r="U2" s="250"/>
      <c r="V2" s="72" t="s">
        <v>18</v>
      </c>
    </row>
    <row r="3" spans="1:22" ht="15" customHeight="1" x14ac:dyDescent="0.25">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51">
        <f>IF(OR(A4="-",B4="-",C4="-",D4="-",E4="-"),"-",SUM(A4,B4,C4,D4,E4))</f>
        <v>100</v>
      </c>
      <c r="O3" s="252"/>
      <c r="P3" s="96" t="str">
        <f>_xlfn.TEXTJOIN(" ",TRUE,"Max",F2,":")</f>
        <v>Max SD :</v>
      </c>
      <c r="Q3" s="253">
        <f>IF(OR(F4="-",G4="-",H4="-",I4="-",J4="-"),"-",SUM(F4,G4,H4,I4,J4))</f>
        <v>100</v>
      </c>
      <c r="R3" s="254"/>
      <c r="S3" s="73"/>
      <c r="T3" s="73"/>
      <c r="U3" s="73"/>
      <c r="V3" s="72" t="s">
        <v>18</v>
      </c>
    </row>
    <row r="4" spans="1:22" ht="15" customHeight="1" x14ac:dyDescent="0.25">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25">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25">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25">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25">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25">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25">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25">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25">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25">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25">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25">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25">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25">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25">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25">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25">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25">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25">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25">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25">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25">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25">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25">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25">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25">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25">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25">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25">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25">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25">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25">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25">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25">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25">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25">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75" thickBot="1" x14ac:dyDescent="0.3">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85" zoomScaleNormal="85" workbookViewId="0">
      <selection activeCell="K13" sqref="K13"/>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x14ac:dyDescent="0.25">
      <c r="B3" s="45" t="s">
        <v>103</v>
      </c>
      <c r="C3" s="45" t="s">
        <v>43</v>
      </c>
      <c r="D3" s="69">
        <v>44284</v>
      </c>
      <c r="E3" s="45" t="s">
        <v>104</v>
      </c>
      <c r="G3" s="40"/>
    </row>
    <row r="4" spans="2:7" x14ac:dyDescent="0.25">
      <c r="B4" s="45" t="s">
        <v>101</v>
      </c>
      <c r="C4" s="45" t="s">
        <v>43</v>
      </c>
      <c r="D4" s="69">
        <v>44107</v>
      </c>
      <c r="E4" s="47" t="s">
        <v>102</v>
      </c>
    </row>
    <row r="5" spans="2:7" x14ac:dyDescent="0.25">
      <c r="B5" s="45" t="s">
        <v>99</v>
      </c>
      <c r="C5" s="45" t="s">
        <v>43</v>
      </c>
      <c r="D5" s="69">
        <v>44103</v>
      </c>
      <c r="E5" s="47" t="s">
        <v>100</v>
      </c>
    </row>
    <row r="6" spans="2:7" x14ac:dyDescent="0.25">
      <c r="B6" s="45" t="s">
        <v>94</v>
      </c>
      <c r="C6" s="45" t="s">
        <v>43</v>
      </c>
      <c r="D6" s="69">
        <v>44099</v>
      </c>
      <c r="E6" s="47" t="s">
        <v>95</v>
      </c>
    </row>
    <row r="7" spans="2:7" ht="30" x14ac:dyDescent="0.25">
      <c r="B7" s="45" t="s">
        <v>90</v>
      </c>
      <c r="C7" s="45" t="s">
        <v>43</v>
      </c>
      <c r="D7" s="69">
        <v>44099</v>
      </c>
      <c r="E7" s="47" t="s">
        <v>93</v>
      </c>
    </row>
    <row r="8" spans="2:7" x14ac:dyDescent="0.25">
      <c r="B8" s="45" t="s">
        <v>91</v>
      </c>
      <c r="C8" s="45" t="s">
        <v>43</v>
      </c>
      <c r="D8" s="69">
        <v>44099</v>
      </c>
      <c r="E8" s="47" t="s">
        <v>92</v>
      </c>
    </row>
    <row r="9" spans="2:7" x14ac:dyDescent="0.25">
      <c r="B9" s="45" t="s">
        <v>88</v>
      </c>
      <c r="C9" s="45" t="s">
        <v>43</v>
      </c>
      <c r="D9" s="69">
        <v>43898</v>
      </c>
      <c r="E9" s="47" t="s">
        <v>89</v>
      </c>
    </row>
    <row r="10" spans="2:7" ht="90" x14ac:dyDescent="0.25">
      <c r="B10" s="45" t="s">
        <v>86</v>
      </c>
      <c r="C10" s="45" t="s">
        <v>43</v>
      </c>
      <c r="D10" s="69">
        <v>43896</v>
      </c>
      <c r="E10" s="47" t="s">
        <v>85</v>
      </c>
    </row>
    <row r="11" spans="2:7" x14ac:dyDescent="0.25">
      <c r="B11" s="45" t="s">
        <v>78</v>
      </c>
      <c r="C11" s="45" t="s">
        <v>43</v>
      </c>
      <c r="D11" s="69">
        <v>43895</v>
      </c>
      <c r="E11" s="47" t="s">
        <v>84</v>
      </c>
    </row>
    <row r="12" spans="2:7" ht="45" x14ac:dyDescent="0.25">
      <c r="B12" s="45" t="s">
        <v>79</v>
      </c>
      <c r="C12" s="45" t="s">
        <v>43</v>
      </c>
      <c r="D12" s="69">
        <v>43895</v>
      </c>
      <c r="E12" s="47" t="s">
        <v>83</v>
      </c>
    </row>
    <row r="13" spans="2:7" ht="60" x14ac:dyDescent="0.25">
      <c r="B13" s="45" t="s">
        <v>75</v>
      </c>
      <c r="C13" s="45" t="s">
        <v>43</v>
      </c>
      <c r="D13" s="69">
        <v>43811</v>
      </c>
      <c r="E13" s="47" t="s">
        <v>76</v>
      </c>
    </row>
    <row r="14" spans="2:7" ht="30" x14ac:dyDescent="0.25">
      <c r="B14" s="45" t="s">
        <v>70</v>
      </c>
      <c r="C14" s="45" t="s">
        <v>43</v>
      </c>
      <c r="D14" s="69">
        <v>43810</v>
      </c>
      <c r="E14" s="47" t="s">
        <v>71</v>
      </c>
    </row>
    <row r="15" spans="2:7" x14ac:dyDescent="0.25">
      <c r="B15" s="45" t="s">
        <v>68</v>
      </c>
      <c r="C15" s="45" t="s">
        <v>43</v>
      </c>
      <c r="D15" s="45" t="s">
        <v>69</v>
      </c>
      <c r="E15" s="47" t="s">
        <v>69</v>
      </c>
    </row>
    <row r="16" spans="2:7" ht="45" x14ac:dyDescent="0.25">
      <c r="B16" s="45" t="s">
        <v>63</v>
      </c>
      <c r="C16" s="45" t="s">
        <v>43</v>
      </c>
      <c r="D16" s="46">
        <v>43742</v>
      </c>
      <c r="E16" s="47" t="s">
        <v>64</v>
      </c>
    </row>
    <row r="17" spans="2:5" ht="30" x14ac:dyDescent="0.25">
      <c r="B17" s="45" t="s">
        <v>61</v>
      </c>
      <c r="C17" s="45" t="s">
        <v>43</v>
      </c>
      <c r="D17" s="46">
        <v>43738</v>
      </c>
      <c r="E17" s="47" t="s">
        <v>62</v>
      </c>
    </row>
    <row r="18" spans="2:5" x14ac:dyDescent="0.25">
      <c r="B18" s="45" t="s">
        <v>59</v>
      </c>
      <c r="C18" s="45" t="s">
        <v>43</v>
      </c>
      <c r="D18" s="46">
        <v>43684</v>
      </c>
      <c r="E18" s="47" t="s">
        <v>60</v>
      </c>
    </row>
    <row r="19" spans="2:5" x14ac:dyDescent="0.25">
      <c r="B19" s="45" t="s">
        <v>57</v>
      </c>
      <c r="C19" s="45" t="s">
        <v>43</v>
      </c>
      <c r="D19" s="46">
        <v>43679</v>
      </c>
      <c r="E19" s="47" t="s">
        <v>58</v>
      </c>
    </row>
    <row r="20" spans="2:5" ht="60" x14ac:dyDescent="0.25">
      <c r="B20" s="45" t="s">
        <v>55</v>
      </c>
      <c r="C20" s="45" t="s">
        <v>43</v>
      </c>
      <c r="D20" s="46">
        <v>43678</v>
      </c>
      <c r="E20" s="47" t="s">
        <v>56</v>
      </c>
    </row>
    <row r="21" spans="2:5" x14ac:dyDescent="0.25">
      <c r="B21" s="45" t="s">
        <v>53</v>
      </c>
      <c r="C21" s="45" t="s">
        <v>43</v>
      </c>
      <c r="D21" s="46">
        <v>43663</v>
      </c>
      <c r="E21" s="47" t="s">
        <v>54</v>
      </c>
    </row>
    <row r="22" spans="2:5" ht="135" x14ac:dyDescent="0.25">
      <c r="B22" s="45" t="s">
        <v>52</v>
      </c>
      <c r="C22" s="45" t="s">
        <v>43</v>
      </c>
      <c r="D22" s="46">
        <v>43655</v>
      </c>
      <c r="E22" s="47" t="s">
        <v>51</v>
      </c>
    </row>
    <row r="23" spans="2:5" ht="45" x14ac:dyDescent="0.25">
      <c r="B23" s="45" t="s">
        <v>44</v>
      </c>
      <c r="C23" s="45" t="s">
        <v>43</v>
      </c>
      <c r="D23" s="46">
        <v>43643</v>
      </c>
      <c r="E23" s="47" t="s">
        <v>47</v>
      </c>
    </row>
    <row r="24" spans="2:5" ht="75" x14ac:dyDescent="0.25">
      <c r="B24" s="41" t="s">
        <v>45</v>
      </c>
      <c r="C24" s="42" t="s">
        <v>43</v>
      </c>
      <c r="D24" s="43">
        <v>43641</v>
      </c>
      <c r="E24" s="44" t="s">
        <v>46</v>
      </c>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38" spans="2:5" x14ac:dyDescent="0.25">
      <c r="B38" s="45"/>
      <c r="C38" s="45"/>
      <c r="D38" s="45"/>
      <c r="E38"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2021-03-29T14:18:51Z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