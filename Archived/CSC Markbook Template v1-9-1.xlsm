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tables/table1.xml" ContentType="application/vnd.openxmlformats-officedocument.spreadsheetml.tab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PTRedirect.corp.qr.com.au\Redirect$\r908088\Desktop\Markbook\"/>
    </mc:Choice>
  </mc:AlternateContent>
  <xr:revisionPtr revIDLastSave="0" documentId="10_ncr:100000_{C8BDEDA6-5968-419F-B8A4-8199213B035A}" xr6:coauthVersionLast="31" xr6:coauthVersionMax="44" xr10:uidLastSave="{00000000-0000-0000-0000-000000000000}"/>
  <bookViews>
    <workbookView xWindow="0" yWindow="0" windowWidth="28800" windowHeight="12225" tabRatio="723" activeTab="7" xr2:uid="{819FE5EB-A8BE-46E7-8C57-623FF87BA6E9}"/>
  </bookViews>
  <sheets>
    <sheet name="ClassInformation" sheetId="3" r:id="rId1"/>
    <sheet name="Semester1" sheetId="4" r:id="rId2"/>
    <sheet name="Semester2" sheetId="17" r:id="rId3"/>
    <sheet name="AssessmentTemplate" sheetId="14" r:id="rId4"/>
    <sheet name="EOSTemplate" sheetId="18" r:id="rId5"/>
    <sheet name="TemplateInstruction" sheetId="9" r:id="rId6"/>
    <sheet name="GradeScheme" sheetId="2" r:id="rId7"/>
    <sheet name="Changelog" sheetId="11" r:id="rId8"/>
  </sheets>
  <definedNames>
    <definedName name="_xlnm._FilterDatabase" localSheetId="0" hidden="1">ClassInformation!$C$9:$E$40</definedName>
    <definedName name="_xlnm._FilterDatabase" localSheetId="1" hidden="1">Semester1!$A$4:$B$40</definedName>
    <definedName name="_xlnm._FilterDatabase" localSheetId="2" hidden="1">Semester2!$A$4:$B$40</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 i="3" l="1"/>
  <c r="S40" i="14" l="1"/>
  <c r="S39" i="14"/>
  <c r="S38" i="14"/>
  <c r="S37" i="14"/>
  <c r="S36" i="14"/>
  <c r="S35" i="14"/>
  <c r="S34" i="14"/>
  <c r="S33" i="14"/>
  <c r="S32" i="14"/>
  <c r="S31" i="14"/>
  <c r="S30" i="14"/>
  <c r="S29" i="14"/>
  <c r="S28" i="14"/>
  <c r="S27" i="14"/>
  <c r="S26" i="14"/>
  <c r="S25" i="14"/>
  <c r="S24" i="14"/>
  <c r="S23" i="14"/>
  <c r="S22" i="14"/>
  <c r="S21" i="14"/>
  <c r="S20" i="14"/>
  <c r="S19" i="14"/>
  <c r="S18" i="14"/>
  <c r="S17" i="14"/>
  <c r="S16" i="14"/>
  <c r="S15" i="14"/>
  <c r="S14" i="14"/>
  <c r="S13" i="14"/>
  <c r="S12" i="14"/>
  <c r="S11" i="14"/>
  <c r="S10" i="14"/>
  <c r="S9" i="14"/>
  <c r="S8" i="14"/>
  <c r="S7" i="14"/>
  <c r="S6" i="14"/>
  <c r="S5" i="14"/>
  <c r="T5" i="14" s="1"/>
  <c r="V5" i="14" s="1"/>
  <c r="V40" i="14"/>
  <c r="V38" i="14"/>
  <c r="V36" i="14"/>
  <c r="V34" i="14"/>
  <c r="V32" i="14"/>
  <c r="V30" i="14"/>
  <c r="V28" i="14"/>
  <c r="V26" i="14"/>
  <c r="V24" i="14"/>
  <c r="V22" i="14"/>
  <c r="V20" i="14"/>
  <c r="V18" i="14"/>
  <c r="V16" i="14"/>
  <c r="V14" i="14"/>
  <c r="V12" i="14"/>
  <c r="V10" i="14"/>
  <c r="V8" i="14"/>
  <c r="V6" i="14"/>
  <c r="T40" i="14"/>
  <c r="T39" i="14"/>
  <c r="V39" i="14" s="1"/>
  <c r="T38" i="14"/>
  <c r="T37" i="14"/>
  <c r="V37" i="14" s="1"/>
  <c r="T36" i="14"/>
  <c r="T35" i="14"/>
  <c r="V35" i="14" s="1"/>
  <c r="T34" i="14"/>
  <c r="T33" i="14"/>
  <c r="V33" i="14" s="1"/>
  <c r="T32" i="14"/>
  <c r="T31" i="14"/>
  <c r="V31" i="14" s="1"/>
  <c r="T30" i="14"/>
  <c r="T29" i="14"/>
  <c r="V29" i="14" s="1"/>
  <c r="T28" i="14"/>
  <c r="T27" i="14"/>
  <c r="V27" i="14" s="1"/>
  <c r="T26" i="14"/>
  <c r="T25" i="14"/>
  <c r="V25" i="14" s="1"/>
  <c r="T24" i="14"/>
  <c r="T23" i="14"/>
  <c r="V23" i="14" s="1"/>
  <c r="T22" i="14"/>
  <c r="T21" i="14"/>
  <c r="V21" i="14" s="1"/>
  <c r="T20" i="14"/>
  <c r="T19" i="14"/>
  <c r="V19" i="14" s="1"/>
  <c r="T18" i="14"/>
  <c r="T17" i="14"/>
  <c r="V17" i="14" s="1"/>
  <c r="T16" i="14"/>
  <c r="T15" i="14"/>
  <c r="V15" i="14" s="1"/>
  <c r="T14" i="14"/>
  <c r="T13" i="14"/>
  <c r="V13" i="14" s="1"/>
  <c r="T12" i="14"/>
  <c r="T11" i="14"/>
  <c r="V11" i="14" s="1"/>
  <c r="T10" i="14"/>
  <c r="T9" i="14"/>
  <c r="V9" i="14" s="1"/>
  <c r="T8" i="14"/>
  <c r="T7" i="14"/>
  <c r="V7" i="14" s="1"/>
  <c r="T6" i="14"/>
  <c r="Q40" i="14"/>
  <c r="Q39" i="14"/>
  <c r="Q38" i="14"/>
  <c r="Q37" i="14"/>
  <c r="Q36" i="14"/>
  <c r="Q35" i="14"/>
  <c r="Q34" i="14"/>
  <c r="Q33" i="14"/>
  <c r="Q32" i="14"/>
  <c r="Q31" i="14"/>
  <c r="Q30" i="14"/>
  <c r="Q29" i="14"/>
  <c r="Q28" i="14"/>
  <c r="Q27" i="14"/>
  <c r="Q26" i="14"/>
  <c r="Q25" i="14"/>
  <c r="Q24" i="14"/>
  <c r="Q23" i="14"/>
  <c r="Q22" i="14"/>
  <c r="Q21" i="14"/>
  <c r="Q20" i="14"/>
  <c r="Q19" i="14"/>
  <c r="Q18" i="14"/>
  <c r="Q17" i="14"/>
  <c r="Q16" i="14"/>
  <c r="Q15" i="14"/>
  <c r="Q14" i="14"/>
  <c r="Q13" i="14"/>
  <c r="Q12" i="14"/>
  <c r="Q11" i="14"/>
  <c r="Q10" i="14"/>
  <c r="Q9" i="14"/>
  <c r="Q8" i="14"/>
  <c r="Q7" i="14"/>
  <c r="Q6" i="14"/>
  <c r="Q5" i="14"/>
  <c r="P40" i="14"/>
  <c r="P39" i="14"/>
  <c r="P38" i="14"/>
  <c r="P37" i="14"/>
  <c r="P36" i="14"/>
  <c r="P35" i="14"/>
  <c r="P34" i="14"/>
  <c r="P33" i="14"/>
  <c r="P32" i="14"/>
  <c r="P31" i="14"/>
  <c r="P30" i="14"/>
  <c r="P29" i="14"/>
  <c r="P28" i="14"/>
  <c r="P27" i="14"/>
  <c r="P26" i="14"/>
  <c r="P25" i="14"/>
  <c r="P24" i="14"/>
  <c r="P23" i="14"/>
  <c r="P22" i="14"/>
  <c r="P21" i="14"/>
  <c r="P20" i="14"/>
  <c r="P19" i="14"/>
  <c r="P18" i="14"/>
  <c r="P17" i="14"/>
  <c r="P16" i="14"/>
  <c r="P15" i="14"/>
  <c r="P14" i="14"/>
  <c r="P13" i="14"/>
  <c r="P12" i="14"/>
  <c r="P11" i="14"/>
  <c r="P10" i="14"/>
  <c r="P9" i="14"/>
  <c r="P8" i="14"/>
  <c r="P7" i="14"/>
  <c r="P6" i="14"/>
  <c r="P5" i="14"/>
  <c r="A1" i="17" l="1"/>
  <c r="XCW40" i="17" l="1"/>
  <c r="B40" i="17"/>
  <c r="A40" i="17"/>
  <c r="XCW39" i="17"/>
  <c r="B39" i="17"/>
  <c r="A39" i="17"/>
  <c r="XCW38" i="17"/>
  <c r="B38" i="17"/>
  <c r="A38" i="17"/>
  <c r="XCW37" i="17"/>
  <c r="B37" i="17"/>
  <c r="A37" i="17"/>
  <c r="XCW36" i="17"/>
  <c r="B36" i="17"/>
  <c r="A36" i="17"/>
  <c r="XCW35" i="17"/>
  <c r="B35" i="17"/>
  <c r="A35" i="17"/>
  <c r="XCW34" i="17"/>
  <c r="B34" i="17"/>
  <c r="A34" i="17"/>
  <c r="XCW33" i="17"/>
  <c r="B33" i="17"/>
  <c r="A33" i="17"/>
  <c r="XCW32" i="17"/>
  <c r="B32" i="17"/>
  <c r="A32" i="17"/>
  <c r="XCW31" i="17"/>
  <c r="B31" i="17"/>
  <c r="A31" i="17"/>
  <c r="XCW30" i="17"/>
  <c r="B30" i="17"/>
  <c r="A30" i="17"/>
  <c r="XCW29" i="17"/>
  <c r="B29" i="17"/>
  <c r="A29" i="17"/>
  <c r="XCW28" i="17"/>
  <c r="B28" i="17"/>
  <c r="A28" i="17"/>
  <c r="XCW27" i="17"/>
  <c r="B27" i="17"/>
  <c r="A27" i="17"/>
  <c r="XCW26" i="17"/>
  <c r="B26" i="17"/>
  <c r="A26" i="17"/>
  <c r="XCW25" i="17"/>
  <c r="B25" i="17"/>
  <c r="A25" i="17"/>
  <c r="XCW24" i="17"/>
  <c r="B24" i="17"/>
  <c r="A24" i="17"/>
  <c r="XCW23" i="17"/>
  <c r="B23" i="17"/>
  <c r="A23" i="17"/>
  <c r="XCW22" i="17"/>
  <c r="B22" i="17"/>
  <c r="A22" i="17"/>
  <c r="XCW21" i="17"/>
  <c r="B21" i="17"/>
  <c r="A21" i="17"/>
  <c r="XCW20" i="17"/>
  <c r="B20" i="17"/>
  <c r="A20" i="17"/>
  <c r="XCW19" i="17"/>
  <c r="B19" i="17"/>
  <c r="A19" i="17"/>
  <c r="XCW18" i="17"/>
  <c r="B18" i="17"/>
  <c r="A18" i="17"/>
  <c r="XCW17" i="17"/>
  <c r="B17" i="17"/>
  <c r="A17" i="17"/>
  <c r="XCW16" i="17"/>
  <c r="B16" i="17"/>
  <c r="A16" i="17"/>
  <c r="XCW15" i="17"/>
  <c r="B15" i="17"/>
  <c r="A15" i="17"/>
  <c r="XCW14" i="17"/>
  <c r="B14" i="17"/>
  <c r="A14" i="17"/>
  <c r="XCW13" i="17"/>
  <c r="B13" i="17"/>
  <c r="A13" i="17"/>
  <c r="XCW12" i="17"/>
  <c r="B12" i="17"/>
  <c r="A12" i="17"/>
  <c r="XCW11" i="17"/>
  <c r="B11" i="17"/>
  <c r="A11" i="17"/>
  <c r="XCW10" i="17"/>
  <c r="B10" i="17"/>
  <c r="A10" i="17"/>
  <c r="XCW9" i="17"/>
  <c r="B9" i="17"/>
  <c r="A9" i="17"/>
  <c r="XCW8" i="17"/>
  <c r="B8" i="17"/>
  <c r="A8" i="17"/>
  <c r="XCW7" i="17"/>
  <c r="B7" i="17"/>
  <c r="A7" i="17"/>
  <c r="XCW6" i="17"/>
  <c r="B6" i="17"/>
  <c r="A6" i="17"/>
  <c r="XCW5" i="17"/>
  <c r="B5" i="17"/>
  <c r="A5" i="17"/>
  <c r="B4" i="17"/>
  <c r="A4" i="17"/>
  <c r="P40" i="9" l="1"/>
  <c r="R40" i="9" s="1"/>
  <c r="M40" i="9"/>
  <c r="P39" i="9"/>
  <c r="R39" i="9" s="1"/>
  <c r="M39" i="9"/>
  <c r="P38" i="9"/>
  <c r="R38" i="9" s="1"/>
  <c r="M38" i="9"/>
  <c r="P37" i="9"/>
  <c r="R37" i="9" s="1"/>
  <c r="M37" i="9"/>
  <c r="P36" i="9"/>
  <c r="R36" i="9" s="1"/>
  <c r="M36" i="9"/>
  <c r="P35" i="9"/>
  <c r="R35" i="9" s="1"/>
  <c r="M35" i="9"/>
  <c r="P34" i="9"/>
  <c r="R34" i="9" s="1"/>
  <c r="M34" i="9"/>
  <c r="O34" i="9" s="1"/>
  <c r="P33" i="9"/>
  <c r="R33" i="9" s="1"/>
  <c r="M33" i="9"/>
  <c r="O33" i="9" s="1"/>
  <c r="R32" i="9"/>
  <c r="P32" i="9"/>
  <c r="Q32" i="9" s="1"/>
  <c r="M32" i="9"/>
  <c r="O32" i="9" s="1"/>
  <c r="P31" i="9"/>
  <c r="R31" i="9" s="1"/>
  <c r="M31" i="9"/>
  <c r="O31" i="9" s="1"/>
  <c r="P30" i="9"/>
  <c r="R30" i="9" s="1"/>
  <c r="M30" i="9"/>
  <c r="O30" i="9" s="1"/>
  <c r="P29" i="9"/>
  <c r="R29" i="9" s="1"/>
  <c r="M29" i="9"/>
  <c r="O29" i="9" s="1"/>
  <c r="P28" i="9"/>
  <c r="Q28" i="9" s="1"/>
  <c r="M28" i="9"/>
  <c r="O28" i="9" s="1"/>
  <c r="P27" i="9"/>
  <c r="R27" i="9" s="1"/>
  <c r="M27" i="9"/>
  <c r="O27" i="9" s="1"/>
  <c r="P26" i="9"/>
  <c r="Q26" i="9" s="1"/>
  <c r="M26" i="9"/>
  <c r="O26" i="9" s="1"/>
  <c r="Q25" i="9"/>
  <c r="P25" i="9"/>
  <c r="R25" i="9" s="1"/>
  <c r="M25" i="9"/>
  <c r="O25" i="9" s="1"/>
  <c r="P24" i="9"/>
  <c r="Q24" i="9" s="1"/>
  <c r="M24" i="9"/>
  <c r="O24" i="9" s="1"/>
  <c r="P23" i="9"/>
  <c r="R23" i="9" s="1"/>
  <c r="M23" i="9"/>
  <c r="O23" i="9" s="1"/>
  <c r="Q22" i="9"/>
  <c r="P22" i="9"/>
  <c r="R22" i="9" s="1"/>
  <c r="M22" i="9"/>
  <c r="O22" i="9" s="1"/>
  <c r="P21" i="9"/>
  <c r="R21" i="9" s="1"/>
  <c r="M21" i="9"/>
  <c r="O21" i="9" s="1"/>
  <c r="P20" i="9"/>
  <c r="Q20" i="9" s="1"/>
  <c r="M20" i="9"/>
  <c r="O20" i="9" s="1"/>
  <c r="P19" i="9"/>
  <c r="R19" i="9" s="1"/>
  <c r="M19" i="9"/>
  <c r="O19" i="9" s="1"/>
  <c r="P18" i="9"/>
  <c r="R18" i="9" s="1"/>
  <c r="M18" i="9"/>
  <c r="O18" i="9" s="1"/>
  <c r="P17" i="9"/>
  <c r="R17" i="9" s="1"/>
  <c r="M17" i="9"/>
  <c r="O17" i="9" s="1"/>
  <c r="P16" i="9"/>
  <c r="Q16" i="9" s="1"/>
  <c r="M16" i="9"/>
  <c r="O16" i="9" s="1"/>
  <c r="P15" i="9"/>
  <c r="R15" i="9" s="1"/>
  <c r="M15" i="9"/>
  <c r="O15" i="9" s="1"/>
  <c r="P14" i="9"/>
  <c r="R14" i="9" s="1"/>
  <c r="M14" i="9"/>
  <c r="O14" i="9" s="1"/>
  <c r="P13" i="9"/>
  <c r="R13" i="9" s="1"/>
  <c r="M13" i="9"/>
  <c r="O13" i="9" s="1"/>
  <c r="P12" i="9"/>
  <c r="Q12" i="9" s="1"/>
  <c r="M12" i="9"/>
  <c r="O12" i="9" s="1"/>
  <c r="P11" i="9"/>
  <c r="R11" i="9" s="1"/>
  <c r="M11" i="9"/>
  <c r="O11" i="9" s="1"/>
  <c r="P10" i="9"/>
  <c r="Q10" i="9" s="1"/>
  <c r="M10" i="9"/>
  <c r="O10" i="9" s="1"/>
  <c r="P9" i="9"/>
  <c r="R9" i="9" s="1"/>
  <c r="M9" i="9"/>
  <c r="R8" i="9"/>
  <c r="P8" i="9"/>
  <c r="Q8" i="9" s="1"/>
  <c r="M8" i="9"/>
  <c r="O8" i="9" s="1"/>
  <c r="M7" i="9"/>
  <c r="M6" i="9"/>
  <c r="P4" i="9"/>
  <c r="M4" i="9"/>
  <c r="Q3" i="9"/>
  <c r="P5" i="9" s="1"/>
  <c r="Q5" i="9" s="1"/>
  <c r="R5" i="9" s="1"/>
  <c r="P3" i="9"/>
  <c r="N3" i="9"/>
  <c r="M5" i="9" s="1"/>
  <c r="N5" i="9" s="1"/>
  <c r="M3" i="9"/>
  <c r="WKS6" i="4"/>
  <c r="WKS7" i="4"/>
  <c r="WKS8" i="4"/>
  <c r="WKS9" i="4"/>
  <c r="WKS10" i="4"/>
  <c r="WKS11" i="4"/>
  <c r="WKS12" i="4"/>
  <c r="WKS13" i="4"/>
  <c r="WKS14" i="4"/>
  <c r="WKS15" i="4"/>
  <c r="WKS16" i="4"/>
  <c r="WKS17" i="4"/>
  <c r="WKS18" i="4"/>
  <c r="WKS19" i="4"/>
  <c r="WKS20" i="4"/>
  <c r="WKS21" i="4"/>
  <c r="WKS22" i="4"/>
  <c r="WKS23" i="4"/>
  <c r="WKS24" i="4"/>
  <c r="WKS25" i="4"/>
  <c r="WKS26" i="4"/>
  <c r="WKS27" i="4"/>
  <c r="WKS28" i="4"/>
  <c r="WKS29" i="4"/>
  <c r="WKS30" i="4"/>
  <c r="WKS31" i="4"/>
  <c r="WKS32" i="4"/>
  <c r="WKS33" i="4"/>
  <c r="WKS34" i="4"/>
  <c r="WKS35" i="4"/>
  <c r="WKS36" i="4"/>
  <c r="WKS37" i="4"/>
  <c r="WKS38" i="4"/>
  <c r="WKS39" i="4"/>
  <c r="WKS40" i="4"/>
  <c r="WKS5" i="4"/>
  <c r="A1" i="4"/>
  <c r="B30" i="4"/>
  <c r="P6" i="9" l="1"/>
  <c r="Q6" i="9" s="1"/>
  <c r="R10" i="9"/>
  <c r="Q21" i="9"/>
  <c r="R24" i="9"/>
  <c r="Q34" i="9"/>
  <c r="Q9" i="9"/>
  <c r="Q18" i="9"/>
  <c r="Q38" i="9"/>
  <c r="P7" i="9"/>
  <c r="R26" i="9"/>
  <c r="Q40" i="9"/>
  <c r="O9" i="9"/>
  <c r="R6" i="9"/>
  <c r="Q14" i="9"/>
  <c r="Q17" i="9"/>
  <c r="Q30" i="9"/>
  <c r="Q33" i="9"/>
  <c r="Q36" i="9"/>
  <c r="Q13" i="9"/>
  <c r="R16" i="9"/>
  <c r="Q29" i="9"/>
  <c r="N26" i="9"/>
  <c r="S26" i="9" s="1"/>
  <c r="U26" i="9" s="1"/>
  <c r="N33" i="9"/>
  <c r="N34" i="9"/>
  <c r="S34" i="9" s="1"/>
  <c r="U34" i="9" s="1"/>
  <c r="N9" i="9"/>
  <c r="S9" i="9" s="1"/>
  <c r="U9" i="9" s="1"/>
  <c r="N10" i="9"/>
  <c r="S10" i="9" s="1"/>
  <c r="U10" i="9" s="1"/>
  <c r="N17" i="9"/>
  <c r="N18" i="9"/>
  <c r="N25" i="9"/>
  <c r="N13" i="9"/>
  <c r="N14" i="9"/>
  <c r="S14" i="9" s="1"/>
  <c r="U14" i="9" s="1"/>
  <c r="N29" i="9"/>
  <c r="N30" i="9"/>
  <c r="N6" i="9"/>
  <c r="S6" i="9" s="1"/>
  <c r="U6" i="9" s="1"/>
  <c r="N21" i="9"/>
  <c r="S21" i="9" s="1"/>
  <c r="U21" i="9" s="1"/>
  <c r="N22" i="9"/>
  <c r="S22" i="9" s="1"/>
  <c r="U22" i="9" s="1"/>
  <c r="R12" i="9"/>
  <c r="S17" i="9"/>
  <c r="U17" i="9" s="1"/>
  <c r="R20" i="9"/>
  <c r="S25" i="9"/>
  <c r="U25" i="9" s="1"/>
  <c r="R28" i="9"/>
  <c r="S33" i="9"/>
  <c r="U33" i="9" s="1"/>
  <c r="Q7" i="9"/>
  <c r="R7" i="9" s="1"/>
  <c r="N11" i="9"/>
  <c r="N12" i="9"/>
  <c r="S12" i="9" s="1"/>
  <c r="U12" i="9" s="1"/>
  <c r="Q15" i="9"/>
  <c r="N19" i="9"/>
  <c r="N20" i="9"/>
  <c r="S20" i="9" s="1"/>
  <c r="U20" i="9" s="1"/>
  <c r="Q23" i="9"/>
  <c r="N27" i="9"/>
  <c r="N28" i="9"/>
  <c r="S28" i="9" s="1"/>
  <c r="U28" i="9" s="1"/>
  <c r="Q31" i="9"/>
  <c r="Q35" i="9"/>
  <c r="Q39" i="9"/>
  <c r="N7" i="9"/>
  <c r="S7" i="9" s="1"/>
  <c r="U7" i="9" s="1"/>
  <c r="N8" i="9"/>
  <c r="S8" i="9" s="1"/>
  <c r="U8" i="9" s="1"/>
  <c r="Q11" i="9"/>
  <c r="N15" i="9"/>
  <c r="S15" i="9" s="1"/>
  <c r="U15" i="9" s="1"/>
  <c r="N16" i="9"/>
  <c r="S16" i="9" s="1"/>
  <c r="U16" i="9" s="1"/>
  <c r="Q19" i="9"/>
  <c r="N23" i="9"/>
  <c r="S23" i="9" s="1"/>
  <c r="U23" i="9" s="1"/>
  <c r="N24" i="9"/>
  <c r="S24" i="9" s="1"/>
  <c r="U24" i="9" s="1"/>
  <c r="Q27" i="9"/>
  <c r="N31" i="9"/>
  <c r="S31" i="9" s="1"/>
  <c r="U31" i="9" s="1"/>
  <c r="N32" i="9"/>
  <c r="S32" i="9" s="1"/>
  <c r="U32" i="9" s="1"/>
  <c r="Q37" i="9"/>
  <c r="O5" i="9"/>
  <c r="S5" i="9" s="1"/>
  <c r="U5" i="9" s="1"/>
  <c r="S18" i="9"/>
  <c r="U18" i="9" s="1"/>
  <c r="O35" i="9"/>
  <c r="N35" i="9"/>
  <c r="O36" i="9"/>
  <c r="N36" i="9"/>
  <c r="S36" i="9" s="1"/>
  <c r="U36" i="9" s="1"/>
  <c r="O37" i="9"/>
  <c r="N37" i="9"/>
  <c r="O38" i="9"/>
  <c r="N38" i="9"/>
  <c r="O39" i="9"/>
  <c r="N39" i="9"/>
  <c r="O40" i="9"/>
  <c r="N40" i="9"/>
  <c r="S40" i="9" s="1"/>
  <c r="U40" i="9" s="1"/>
  <c r="T3" i="14"/>
  <c r="U5" i="14" s="1"/>
  <c r="Q3" i="14"/>
  <c r="S4" i="14"/>
  <c r="P4" i="14"/>
  <c r="S3" i="14"/>
  <c r="P3" i="14"/>
  <c r="S19" i="9" l="1"/>
  <c r="U19" i="9" s="1"/>
  <c r="S38" i="9"/>
  <c r="U38" i="9" s="1"/>
  <c r="S30" i="9"/>
  <c r="U30" i="9" s="1"/>
  <c r="O7" i="9"/>
  <c r="S35" i="9"/>
  <c r="U35" i="9" s="1"/>
  <c r="S11" i="9"/>
  <c r="U11" i="9" s="1"/>
  <c r="S29" i="9"/>
  <c r="U29" i="9" s="1"/>
  <c r="S13" i="9"/>
  <c r="U13" i="9" s="1"/>
  <c r="O6" i="9"/>
  <c r="S39" i="9"/>
  <c r="U39" i="9" s="1"/>
  <c r="S37" i="9"/>
  <c r="U37" i="9" s="1"/>
  <c r="S27" i="9"/>
  <c r="U27" i="9" s="1"/>
  <c r="U16" i="14"/>
  <c r="U28" i="14"/>
  <c r="U32" i="14"/>
  <c r="U36" i="14"/>
  <c r="U7" i="14"/>
  <c r="U11" i="14"/>
  <c r="U15" i="14"/>
  <c r="U23" i="14"/>
  <c r="U27" i="14"/>
  <c r="U31" i="14"/>
  <c r="U39" i="14"/>
  <c r="U20" i="14"/>
  <c r="U19" i="14"/>
  <c r="U35" i="14"/>
  <c r="U8" i="14"/>
  <c r="X5" i="14"/>
  <c r="R5" i="14"/>
  <c r="U6" i="14"/>
  <c r="U10" i="14"/>
  <c r="U14" i="14"/>
  <c r="U18" i="14"/>
  <c r="U22" i="14"/>
  <c r="U26" i="14"/>
  <c r="U30" i="14"/>
  <c r="U34" i="14"/>
  <c r="U38" i="14"/>
  <c r="U24" i="14"/>
  <c r="U9" i="14"/>
  <c r="U13" i="14"/>
  <c r="U17" i="14"/>
  <c r="U21" i="14"/>
  <c r="U25" i="14"/>
  <c r="U29" i="14"/>
  <c r="U33" i="14"/>
  <c r="U37" i="14"/>
  <c r="U40" i="14"/>
  <c r="R7" i="14"/>
  <c r="R8" i="14"/>
  <c r="R9" i="14"/>
  <c r="R12" i="14"/>
  <c r="R17" i="14"/>
  <c r="R18" i="14"/>
  <c r="R19" i="14"/>
  <c r="R24" i="14"/>
  <c r="R25" i="14"/>
  <c r="R31" i="14"/>
  <c r="R33" i="14"/>
  <c r="R35" i="14"/>
  <c r="R39" i="14"/>
  <c r="X22" i="14" l="1"/>
  <c r="X38" i="14"/>
  <c r="X14" i="14"/>
  <c r="U12" i="14"/>
  <c r="X28" i="14"/>
  <c r="X32" i="14"/>
  <c r="X27" i="14"/>
  <c r="X34" i="14"/>
  <c r="X26" i="14"/>
  <c r="X10" i="14"/>
  <c r="X30" i="14"/>
  <c r="X6" i="14"/>
  <c r="X23" i="14"/>
  <c r="X15" i="14"/>
  <c r="X11" i="14"/>
  <c r="R27" i="14"/>
  <c r="R11" i="14"/>
  <c r="R23" i="14"/>
  <c r="X40" i="14"/>
  <c r="X36" i="14"/>
  <c r="X20" i="14"/>
  <c r="X16" i="14"/>
  <c r="R15" i="14"/>
  <c r="X39" i="14"/>
  <c r="X35" i="14"/>
  <c r="X31" i="14"/>
  <c r="X19" i="14"/>
  <c r="X7" i="14"/>
  <c r="R32" i="14"/>
  <c r="R16" i="14"/>
  <c r="R34" i="14"/>
  <c r="R28" i="14"/>
  <c r="R30" i="14"/>
  <c r="R14" i="14"/>
  <c r="X37" i="14"/>
  <c r="X33" i="14"/>
  <c r="X29" i="14"/>
  <c r="X25" i="14"/>
  <c r="X21" i="14"/>
  <c r="X17" i="14"/>
  <c r="X13" i="14"/>
  <c r="X9" i="14"/>
  <c r="R37" i="14"/>
  <c r="R29" i="14"/>
  <c r="R21" i="14"/>
  <c r="R13" i="14"/>
  <c r="R38" i="14"/>
  <c r="R26" i="14"/>
  <c r="R10" i="14"/>
  <c r="R36" i="14"/>
  <c r="R20" i="14"/>
  <c r="R40" i="14"/>
  <c r="R22" i="14"/>
  <c r="R6" i="14"/>
  <c r="X18" i="14"/>
  <c r="X24" i="14"/>
  <c r="X12" i="14"/>
  <c r="X8" i="14"/>
  <c r="B6" i="4" l="1"/>
  <c r="B7" i="4"/>
  <c r="B8" i="4"/>
  <c r="B9" i="4"/>
  <c r="B10" i="4"/>
  <c r="B11" i="4"/>
  <c r="B12" i="4"/>
  <c r="B13" i="4"/>
  <c r="B14" i="4"/>
  <c r="B15" i="4"/>
  <c r="B16" i="4"/>
  <c r="B17" i="4"/>
  <c r="B18" i="4"/>
  <c r="B19" i="4"/>
  <c r="B20" i="4"/>
  <c r="B21" i="4"/>
  <c r="B22" i="4"/>
  <c r="B23" i="4"/>
  <c r="B24" i="4"/>
  <c r="B25" i="4"/>
  <c r="B26" i="4"/>
  <c r="B27" i="4"/>
  <c r="B28" i="4"/>
  <c r="B29" i="4"/>
  <c r="B31" i="4"/>
  <c r="B32" i="4"/>
  <c r="B33" i="4"/>
  <c r="B34" i="4"/>
  <c r="B35" i="4"/>
  <c r="B36" i="4"/>
  <c r="B37" i="4"/>
  <c r="B38" i="4"/>
  <c r="B39" i="4"/>
  <c r="B40" i="4"/>
  <c r="B5" i="4"/>
  <c r="A6" i="4"/>
  <c r="A7" i="4"/>
  <c r="A8" i="4"/>
  <c r="A9"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5" i="4"/>
  <c r="B4" i="4" l="1"/>
  <c r="A4" i="4"/>
</calcChain>
</file>

<file path=xl/sharedStrings.xml><?xml version="1.0" encoding="utf-8"?>
<sst xmlns="http://schemas.openxmlformats.org/spreadsheetml/2006/main" count="291" uniqueCount="102">
  <si>
    <t>Score</t>
  </si>
  <si>
    <t>Grade</t>
  </si>
  <si>
    <t>Points</t>
  </si>
  <si>
    <t>E-</t>
  </si>
  <si>
    <t>E</t>
  </si>
  <si>
    <t>E+</t>
  </si>
  <si>
    <t>D-</t>
  </si>
  <si>
    <t>D</t>
  </si>
  <si>
    <t>D+</t>
  </si>
  <si>
    <t>C-</t>
  </si>
  <si>
    <t>C</t>
  </si>
  <si>
    <t>C+</t>
  </si>
  <si>
    <t>B-</t>
  </si>
  <si>
    <t>B</t>
  </si>
  <si>
    <t>B+</t>
  </si>
  <si>
    <t>A-</t>
  </si>
  <si>
    <t>A</t>
  </si>
  <si>
    <t>A+</t>
  </si>
  <si>
    <t>-</t>
  </si>
  <si>
    <t>Last Name</t>
  </si>
  <si>
    <t>First Name</t>
  </si>
  <si>
    <t>Student</t>
  </si>
  <si>
    <t>Class List</t>
  </si>
  <si>
    <t>Enrolled? (Y/N)</t>
  </si>
  <si>
    <t>Subject:</t>
  </si>
  <si>
    <t>Teacher:</t>
  </si>
  <si>
    <t>Class Information</t>
  </si>
  <si>
    <t>Legend</t>
  </si>
  <si>
    <t>Input Cell</t>
  </si>
  <si>
    <t>Teaching Year:</t>
  </si>
  <si>
    <t>Grade:</t>
  </si>
  <si>
    <t>UD</t>
  </si>
  <si>
    <t>%</t>
  </si>
  <si>
    <t>SD</t>
  </si>
  <si>
    <t>Overall</t>
  </si>
  <si>
    <t>Description</t>
  </si>
  <si>
    <t>Data Cell</t>
  </si>
  <si>
    <t>Cell for inputing information</t>
  </si>
  <si>
    <t>Cell for inputing data.
Cell will turn white after data is inputted.</t>
  </si>
  <si>
    <t>Revision Number</t>
  </si>
  <si>
    <t>Date</t>
  </si>
  <si>
    <t>Notes</t>
  </si>
  <si>
    <t>Edited by</t>
  </si>
  <si>
    <t>D.TR</t>
  </si>
  <si>
    <t>1.2.0</t>
  </si>
  <si>
    <t>1.0.0</t>
  </si>
  <si>
    <t>Creation of new markbook which contains:
- Modular Self-contained Assessment reporting blocks
- Better Clarification/Separation of Assessments
- Different Semester Tabs
- Template for 2 UD, 1 SD grading assessment</t>
  </si>
  <si>
    <t>Template now is generic, contains 2 overarching mark types with 3 sub marks.
Instructions tab now added to help new users.</t>
  </si>
  <si>
    <t>YOU FOUND ME! :) dtran.</t>
  </si>
  <si>
    <t>Calc. Grade</t>
  </si>
  <si>
    <t>Adj. Grade</t>
  </si>
  <si>
    <t>Protection added to some worksheets to disable users from changing formulas.
Changelog added.
Optimisation of formulas to the Assessment Template.
Corrected Formula for Overall grade giving incorrect results.
Added function to Overall grade formula so both grade types aren't needed.
Added clarification to Template Example.
Added Adjusted grade column.</t>
  </si>
  <si>
    <t>1.3.0</t>
  </si>
  <si>
    <t>1.3.1</t>
  </si>
  <si>
    <t>Optimisation Changes to drop down list.</t>
  </si>
  <si>
    <t>1.4.0</t>
  </si>
  <si>
    <t>Added Control Panel to each of the Semester Tabs Allowing for easier operation. Added 4 buttons; Add assessment, Remove assessment, remove columns, autofit column. Added Macros for each of the buttons and allow automatic pasting of new templates</t>
  </si>
  <si>
    <t>1.4.1</t>
  </si>
  <si>
    <t>Graphical Changes to buttons</t>
  </si>
  <si>
    <t>1.4.2</t>
  </si>
  <si>
    <t>Graphical Changes to Control Panel buttons</t>
  </si>
  <si>
    <t>1.5.0</t>
  </si>
  <si>
    <t>Changes to Template, each Marking catergory has now 5 sub catergories. Also changes to the formulas for better optimisation.</t>
  </si>
  <si>
    <t>1.5.1</t>
  </si>
  <si>
    <t>Changed the add assessment and remove last assessment, previously undo button didn't work and now it will work until you use a macro</t>
  </si>
  <si>
    <t>Assess:</t>
  </si>
  <si>
    <t>[Subject]</t>
  </si>
  <si>
    <t>[Teacher]</t>
  </si>
  <si>
    <t>1.5.2</t>
  </si>
  <si>
    <t>unknown</t>
  </si>
  <si>
    <t>1.5.3</t>
  </si>
  <si>
    <t>Formatting Changes and Changes to formula to be compatible with Office Pro Plus</t>
  </si>
  <si>
    <t>Overall Grade</t>
  </si>
  <si>
    <t>[Mark] :</t>
  </si>
  <si>
    <t>[Mark]:</t>
  </si>
  <si>
    <t>1.6.0</t>
  </si>
  <si>
    <t>Reworked the assessment template to include a non-calculated notes section. Updated the Template Instruction to the new template also added a sort button to students by last name alphabetically</t>
  </si>
  <si>
    <t>Misc.</t>
  </si>
  <si>
    <t>1.7.0</t>
  </si>
  <si>
    <t>1.6.1</t>
  </si>
  <si>
    <t>Example 1</t>
  </si>
  <si>
    <t>PADI:</t>
  </si>
  <si>
    <t>UD:</t>
  </si>
  <si>
    <t>Created a symbol for the sorted function and added to the sheets, also hid the template sheet, updated the template instruction, added the grey out functionality when enrolled is N</t>
  </si>
  <si>
    <t>Removed Delete from the semesters, added the sort button</t>
  </si>
  <si>
    <t>Changed the look of the semester tabs and the functions of the add and delete assessments all columns are hidden 
Add assessment shows the relevent cells
Delete Assessment hides the cells once deleted
2 new functions: Automatic Hide, automatically hides the unused cells and Show all Columns, shows all columns</t>
  </si>
  <si>
    <t>1.8.0</t>
  </si>
  <si>
    <r>
      <rPr>
        <b/>
        <sz val="11"/>
        <color theme="6" tint="0.79998168889431442"/>
        <rFont val="Calibri"/>
        <family val="2"/>
        <scheme val="minor"/>
      </rPr>
      <t>~</t>
    </r>
    <r>
      <rPr>
        <b/>
        <sz val="11"/>
        <color theme="1"/>
        <rFont val="Calibri"/>
        <family val="2"/>
        <scheme val="minor"/>
      </rPr>
      <t>%</t>
    </r>
    <r>
      <rPr>
        <b/>
        <sz val="11"/>
        <color theme="6" tint="0.79998168889431442"/>
        <rFont val="Calibri"/>
        <family val="2"/>
        <scheme val="minor"/>
      </rPr>
      <t>~</t>
    </r>
  </si>
  <si>
    <t>1.8.1</t>
  </si>
  <si>
    <t>Fixed a bug that would hide all cells if an assessment was deleted</t>
  </si>
  <si>
    <t>1.8.3</t>
  </si>
  <si>
    <t>1.8.2</t>
  </si>
  <si>
    <t>Skipped</t>
  </si>
  <si>
    <t>Optimisation Changes: Changed IF() to IFS() to allow easier debugging. Added more Misc Rows</t>
  </si>
  <si>
    <t>1.9.0</t>
  </si>
  <si>
    <t xml:space="preserve">Added end of semester template </t>
  </si>
  <si>
    <t xml:space="preserve">Overall Assessment </t>
  </si>
  <si>
    <t>End of Semester Grade</t>
  </si>
  <si>
    <t>Semester Grade</t>
  </si>
  <si>
    <t>1.9.1</t>
  </si>
  <si>
    <t>D.Tr</t>
  </si>
  <si>
    <t>Bug Fixes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</si>
</sst>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4" x14ac:knownFonts="1">
    <font>
      <sz val="11"/>
      <color theme="1"/>
      <name val="Calibri"/>
      <family val="2"/>
      <scheme val="minor"/>
    </font>
    <font>
      <b/>
      <sz val="15"/>
      <color theme="3"/>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sz val="11"/>
      <color theme="1"/>
      <name val="Calibri"/>
      <family val="2"/>
      <scheme val="minor"/>
    </font>
    <font>
      <b/>
      <sz val="11"/>
      <color rgb="FF3F3F76"/>
      <name val="Calibri"/>
      <family val="2"/>
      <scheme val="minor"/>
    </font>
    <font>
      <sz val="11"/>
      <color theme="0"/>
      <name val="Calibri"/>
      <family val="2"/>
      <scheme val="minor"/>
    </font>
    <font>
      <sz val="8"/>
      <color rgb="FF000000"/>
      <name val="Segoe UI"/>
      <family val="2"/>
    </font>
    <font>
      <sz val="11"/>
      <color theme="5" tint="0.59996337778862885"/>
      <name val="Calibri"/>
      <family val="2"/>
      <scheme val="minor"/>
    </font>
    <font>
      <strike/>
      <sz val="11"/>
      <color theme="1"/>
      <name val="Calibri"/>
      <family val="2"/>
      <scheme val="minor"/>
    </font>
    <font>
      <b/>
      <sz val="11"/>
      <color theme="6" tint="0.79998168889431442"/>
      <name val="Calibri"/>
      <family val="2"/>
      <scheme val="minor"/>
    </font>
    <font>
      <b/>
      <sz val="16"/>
      <color theme="2" tint="-0.249977111117893"/>
      <name val="Calibri"/>
      <family val="2"/>
      <scheme val="minor"/>
    </font>
    <font>
      <b/>
      <sz val="12"/>
      <color theme="3"/>
      <name val="Calibri"/>
      <family val="2"/>
      <scheme val="minor"/>
    </font>
  </fonts>
  <fills count="12">
    <fill>
      <patternFill patternType="none"/>
    </fill>
    <fill>
      <patternFill patternType="gray125"/>
    </fill>
    <fill>
      <patternFill patternType="solid">
        <fgColor rgb="FFFFCC99"/>
      </patternFill>
    </fill>
    <fill>
      <patternFill patternType="solid">
        <fgColor theme="0"/>
        <bgColor indexed="64"/>
      </patternFill>
    </fill>
    <fill>
      <patternFill patternType="solid">
        <fgColor theme="6"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rgb="FFF5F9FD"/>
        <bgColor indexed="64"/>
      </patternFill>
    </fill>
    <fill>
      <patternFill patternType="solid">
        <fgColor rgb="FFF1F7ED"/>
        <bgColor indexed="64"/>
      </patternFill>
    </fill>
    <fill>
      <patternFill patternType="solid">
        <fgColor rgb="FFE4D2F2"/>
        <bgColor indexed="64"/>
      </patternFill>
    </fill>
    <fill>
      <patternFill patternType="solid">
        <fgColor theme="5" tint="0.59999389629810485"/>
        <bgColor indexed="64"/>
      </patternFill>
    </fill>
    <fill>
      <patternFill patternType="solid">
        <fgColor theme="7" tint="0.39997558519241921"/>
        <bgColor indexed="64"/>
      </patternFill>
    </fill>
  </fills>
  <borders count="81">
    <border>
      <left/>
      <right/>
      <top/>
      <bottom/>
      <diagonal/>
    </border>
    <border>
      <left/>
      <right/>
      <top/>
      <bottom style="thick">
        <color theme="4"/>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style="thin">
        <color rgb="FF000000"/>
      </right>
      <top style="thin">
        <color rgb="FF000000"/>
      </top>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bottom/>
      <diagonal/>
    </border>
    <border>
      <left style="thin">
        <color rgb="FF000000"/>
      </left>
      <right style="thin">
        <color rgb="FF000000"/>
      </right>
      <top/>
      <bottom/>
      <diagonal/>
    </border>
    <border>
      <left/>
      <right/>
      <top/>
      <bottom style="thin">
        <color rgb="FF000000"/>
      </bottom>
      <diagonal/>
    </border>
    <border>
      <left style="thin">
        <color rgb="FF000000"/>
      </left>
      <right/>
      <top style="thin">
        <color rgb="FF000000"/>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7F7F7F"/>
      </left>
      <right style="thin">
        <color rgb="FF7F7F7F"/>
      </right>
      <top style="thin">
        <color rgb="FF7F7F7F"/>
      </top>
      <bottom/>
      <diagonal/>
    </border>
    <border>
      <left style="thin">
        <color rgb="FF7F7F7F"/>
      </left>
      <right style="thin">
        <color rgb="FF7F7F7F"/>
      </right>
      <top/>
      <bottom style="thin">
        <color rgb="FF7F7F7F"/>
      </bottom>
      <diagonal/>
    </border>
    <border>
      <left/>
      <right style="thin">
        <color rgb="FF7F7F7F"/>
      </right>
      <top style="thin">
        <color rgb="FF7F7F7F"/>
      </top>
      <bottom style="thin">
        <color rgb="FF7F7F7F"/>
      </bottom>
      <diagonal/>
    </border>
    <border>
      <left/>
      <right style="thin">
        <color rgb="FF7F7F7F"/>
      </right>
      <top style="thin">
        <color rgb="FF7F7F7F"/>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style="medium">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indexed="64"/>
      </left>
      <right style="thin">
        <color theme="0" tint="-0.249977111117893"/>
      </right>
      <top style="thin">
        <color indexed="64"/>
      </top>
      <bottom style="thin">
        <color theme="0" tint="-0.249977111117893"/>
      </bottom>
      <diagonal/>
    </border>
    <border>
      <left style="thin">
        <color indexed="64"/>
      </left>
      <right style="thin">
        <color theme="0" tint="-0.249977111117893"/>
      </right>
      <top style="thin">
        <color theme="0" tint="-0.249977111117893"/>
      </top>
      <bottom style="thin">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theme="0" tint="-0.249977111117893"/>
      </left>
      <right/>
      <top/>
      <bottom style="thin">
        <color theme="0" tint="-0.249977111117893"/>
      </bottom>
      <diagonal/>
    </border>
    <border>
      <left style="thin">
        <color theme="0" tint="-0.24994659260841701"/>
      </left>
      <right/>
      <top/>
      <bottom style="thin">
        <color theme="0" tint="-0.249977111117893"/>
      </bottom>
      <diagonal/>
    </border>
    <border>
      <left style="thin">
        <color theme="0" tint="-0.24994659260841701"/>
      </left>
      <right/>
      <top/>
      <bottom style="thin">
        <color theme="0" tint="-0.24994659260841701"/>
      </bottom>
      <diagonal/>
    </border>
    <border>
      <left style="thin">
        <color theme="1"/>
      </left>
      <right/>
      <top style="thin">
        <color theme="0" tint="-0.249977111117893"/>
      </top>
      <bottom style="thin">
        <color theme="0" tint="-0.249977111117893"/>
      </bottom>
      <diagonal/>
    </border>
    <border>
      <left style="thin">
        <color theme="0" tint="-0.24994659260841701"/>
      </left>
      <right/>
      <top style="thin">
        <color theme="0" tint="-0.249977111117893"/>
      </top>
      <bottom style="medium">
        <color theme="1"/>
      </bottom>
      <diagonal/>
    </border>
    <border>
      <left style="thin">
        <color theme="1"/>
      </left>
      <right/>
      <top style="thin">
        <color theme="0" tint="-0.249977111117893"/>
      </top>
      <bottom style="medium">
        <color theme="1"/>
      </bottom>
      <diagonal/>
    </border>
    <border>
      <left style="thin">
        <color theme="1"/>
      </left>
      <right/>
      <top/>
      <bottom style="thin">
        <color theme="0" tint="-0.24994659260841701"/>
      </bottom>
      <diagonal/>
    </border>
    <border>
      <left style="thin">
        <color indexed="64"/>
      </left>
      <right style="thin">
        <color theme="0" tint="-0.249977111117893"/>
      </right>
      <top style="thin">
        <color indexed="64"/>
      </top>
      <bottom style="thin">
        <color indexed="64"/>
      </bottom>
      <diagonal/>
    </border>
    <border>
      <left style="thin">
        <color theme="1"/>
      </left>
      <right/>
      <top/>
      <bottom style="medium">
        <color theme="1"/>
      </bottom>
      <diagonal/>
    </border>
    <border>
      <left style="thin">
        <color theme="0" tint="-0.24994659260841701"/>
      </left>
      <right/>
      <top/>
      <bottom style="medium">
        <color theme="1"/>
      </bottom>
      <diagonal/>
    </border>
    <border>
      <left style="thin">
        <color theme="0" tint="-0.249977111117893"/>
      </left>
      <right/>
      <top/>
      <bottom style="medium">
        <color theme="1"/>
      </bottom>
      <diagonal/>
    </border>
    <border>
      <left style="thin">
        <color theme="0" tint="-0.249977111117893"/>
      </left>
      <right style="medium">
        <color indexed="64"/>
      </right>
      <top/>
      <bottom style="medium">
        <color theme="1"/>
      </bottom>
      <diagonal/>
    </border>
    <border>
      <left style="thin">
        <color auto="1"/>
      </left>
      <right style="thin">
        <color theme="0" tint="-0.249977111117893"/>
      </right>
      <top/>
      <bottom style="thin">
        <color theme="0" tint="-0.249977111117893"/>
      </bottom>
      <diagonal/>
    </border>
    <border>
      <left style="thin">
        <color auto="1"/>
      </left>
      <right style="thin">
        <color theme="0" tint="-0.249977111117893"/>
      </right>
      <top/>
      <bottom style="medium">
        <color theme="1"/>
      </bottom>
      <diagonal/>
    </border>
    <border>
      <left style="thin">
        <color theme="0" tint="-0.249977111117893"/>
      </left>
      <right style="thin">
        <color theme="0" tint="-0.249977111117893"/>
      </right>
      <top/>
      <bottom style="thin">
        <color theme="1"/>
      </bottom>
      <diagonal/>
    </border>
    <border>
      <left style="thin">
        <color theme="0" tint="-0.249977111117893"/>
      </left>
      <right/>
      <top style="thin">
        <color indexed="64"/>
      </top>
      <bottom style="thin">
        <color auto="1"/>
      </bottom>
      <diagonal/>
    </border>
    <border>
      <left style="thin">
        <color theme="0" tint="-0.249977111117893"/>
      </left>
      <right style="thin">
        <color theme="0" tint="-0.249977111117893"/>
      </right>
      <top/>
      <bottom style="thin">
        <color indexed="64"/>
      </bottom>
      <diagonal/>
    </border>
    <border>
      <left style="thin">
        <color theme="0" tint="-0.249977111117893"/>
      </left>
      <right style="thin">
        <color indexed="64"/>
      </right>
      <top/>
      <bottom style="thin">
        <color indexed="64"/>
      </bottom>
      <diagonal/>
    </border>
    <border>
      <left style="thin">
        <color theme="0" tint="-0.24994659260841701"/>
      </left>
      <right style="thin">
        <color theme="1"/>
      </right>
      <top style="thin">
        <color theme="0" tint="-0.249977111117893"/>
      </top>
      <bottom style="medium">
        <color theme="1"/>
      </bottom>
      <diagonal/>
    </border>
    <border>
      <left/>
      <right/>
      <top/>
      <bottom style="thin">
        <color theme="0" tint="-0.249977111117893"/>
      </bottom>
      <diagonal/>
    </border>
    <border>
      <left/>
      <right/>
      <top style="thin">
        <color theme="0" tint="-0.249977111117893"/>
      </top>
      <bottom style="medium">
        <color theme="1"/>
      </bottom>
      <diagonal/>
    </border>
    <border>
      <left style="thin">
        <color theme="0" tint="-0.249977111117893"/>
      </left>
      <right style="thin">
        <color indexed="64"/>
      </right>
      <top/>
      <bottom style="thin">
        <color theme="0" tint="-0.249977111117893"/>
      </bottom>
      <diagonal/>
    </border>
    <border>
      <left style="thin">
        <color theme="0" tint="-0.249977111117893"/>
      </left>
      <right style="thin">
        <color indexed="64"/>
      </right>
      <top style="thin">
        <color theme="0" tint="-0.249977111117893"/>
      </top>
      <bottom style="medium">
        <color indexed="64"/>
      </bottom>
      <diagonal/>
    </border>
  </borders>
  <cellStyleXfs count="9">
    <xf numFmtId="0" fontId="0" fillId="0" borderId="0"/>
    <xf numFmtId="0" fontId="1" fillId="0" borderId="1" applyNumberFormat="0" applyFill="0" applyAlignment="0" applyProtection="0"/>
    <xf numFmtId="0" fontId="2" fillId="0" borderId="2" applyNumberFormat="0" applyFill="0" applyAlignment="0" applyProtection="0"/>
    <xf numFmtId="0" fontId="3" fillId="2" borderId="3" applyNumberFormat="0" applyAlignment="0" applyProtection="0"/>
    <xf numFmtId="9" fontId="5" fillId="0" borderId="0" applyFont="0" applyFill="0" applyBorder="0" applyAlignment="0" applyProtection="0"/>
    <xf numFmtId="0" fontId="2" fillId="0" borderId="0" applyNumberFormat="0" applyFill="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cellStyleXfs>
  <cellXfs count="229">
    <xf numFmtId="0" fontId="0" fillId="0" borderId="0" xfId="0"/>
    <xf numFmtId="0" fontId="0" fillId="0" borderId="6" xfId="0" applyBorder="1" applyAlignment="1">
      <alignment horizontal="center" vertical="center"/>
    </xf>
    <xf numFmtId="0" fontId="0" fillId="0" borderId="7" xfId="0" applyBorder="1" applyAlignment="1">
      <alignment horizontal="center" vertical="center"/>
    </xf>
    <xf numFmtId="0" fontId="0" fillId="0" borderId="13" xfId="0" applyBorder="1" applyAlignment="1">
      <alignment horizontal="center" vertical="center"/>
    </xf>
    <xf numFmtId="0" fontId="4" fillId="0" borderId="14"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16" xfId="0" applyFont="1" applyBorder="1" applyAlignment="1">
      <alignment horizontal="center" vertical="center"/>
    </xf>
    <xf numFmtId="0" fontId="0" fillId="0" borderId="4" xfId="0" applyBorder="1" applyAlignment="1">
      <alignment horizontal="center" vertical="center"/>
    </xf>
    <xf numFmtId="0" fontId="0" fillId="0" borderId="17" xfId="0" applyBorder="1" applyAlignment="1">
      <alignment horizontal="center" vertical="center"/>
    </xf>
    <xf numFmtId="0" fontId="0" fillId="0" borderId="0" xfId="0" applyBorder="1"/>
    <xf numFmtId="0" fontId="0" fillId="3" borderId="21" xfId="0" applyFill="1" applyBorder="1"/>
    <xf numFmtId="0" fontId="0" fillId="3" borderId="22" xfId="0" applyFill="1" applyBorder="1"/>
    <xf numFmtId="0" fontId="4" fillId="3" borderId="10" xfId="0" applyFont="1" applyFill="1" applyBorder="1"/>
    <xf numFmtId="0" fontId="4" fillId="3" borderId="30" xfId="0" applyFont="1" applyFill="1" applyBorder="1" applyAlignment="1">
      <alignment horizontal="center"/>
    </xf>
    <xf numFmtId="0" fontId="4" fillId="3" borderId="31" xfId="0" applyFont="1" applyFill="1" applyBorder="1" applyAlignment="1">
      <alignment horizontal="center"/>
    </xf>
    <xf numFmtId="0" fontId="4" fillId="3" borderId="32" xfId="0" applyFont="1" applyFill="1" applyBorder="1"/>
    <xf numFmtId="0" fontId="0" fillId="0" borderId="38" xfId="0" applyBorder="1" applyAlignment="1">
      <alignment horizontal="center" vertical="center"/>
    </xf>
    <xf numFmtId="9" fontId="0" fillId="0" borderId="0" xfId="4" applyFont="1" applyBorder="1"/>
    <xf numFmtId="0" fontId="0" fillId="0" borderId="0" xfId="0"/>
    <xf numFmtId="0" fontId="0" fillId="0" borderId="41" xfId="0" applyBorder="1"/>
    <xf numFmtId="0" fontId="3" fillId="2" borderId="41" xfId="3" applyBorder="1"/>
    <xf numFmtId="0" fontId="0" fillId="3" borderId="0" xfId="0" applyFill="1"/>
    <xf numFmtId="0" fontId="0" fillId="3" borderId="0" xfId="0" applyFill="1" applyBorder="1"/>
    <xf numFmtId="9" fontId="0" fillId="0" borderId="12" xfId="4" applyFont="1" applyBorder="1" applyAlignment="1">
      <alignment horizontal="center" vertical="center"/>
    </xf>
    <xf numFmtId="9" fontId="0" fillId="0" borderId="5" xfId="4" applyFont="1" applyBorder="1" applyAlignment="1">
      <alignment horizontal="center" vertical="center"/>
    </xf>
    <xf numFmtId="9" fontId="0" fillId="0" borderId="11" xfId="4" applyFont="1" applyBorder="1" applyAlignment="1">
      <alignment horizontal="center" vertical="center"/>
    </xf>
    <xf numFmtId="0" fontId="0" fillId="3" borderId="0" xfId="0" applyFill="1" applyBorder="1" applyAlignment="1">
      <alignment vertical="top" wrapText="1"/>
    </xf>
    <xf numFmtId="2" fontId="0" fillId="0" borderId="0" xfId="0" applyNumberFormat="1"/>
    <xf numFmtId="0" fontId="0" fillId="0" borderId="0" xfId="0" applyAlignment="1" applyProtection="1">
      <alignment horizontal="center" vertical="center"/>
      <protection locked="0"/>
    </xf>
    <xf numFmtId="0" fontId="3" fillId="2" borderId="27" xfId="3" applyBorder="1" applyAlignment="1" applyProtection="1">
      <alignment horizontal="center" vertical="center"/>
      <protection locked="0"/>
    </xf>
    <xf numFmtId="0" fontId="3" fillId="2" borderId="3" xfId="3" applyAlignment="1" applyProtection="1">
      <alignment horizontal="center" vertical="center"/>
      <protection locked="0"/>
    </xf>
    <xf numFmtId="0" fontId="3" fillId="2" borderId="28" xfId="3" applyBorder="1" applyAlignment="1" applyProtection="1">
      <alignment horizontal="center" vertical="center"/>
      <protection locked="0"/>
    </xf>
    <xf numFmtId="0" fontId="3" fillId="2" borderId="3" xfId="3" applyAlignment="1" applyProtection="1">
      <alignment horizontal="center"/>
      <protection locked="0"/>
    </xf>
    <xf numFmtId="0" fontId="7" fillId="3" borderId="0" xfId="0" applyFont="1" applyFill="1"/>
    <xf numFmtId="0" fontId="0" fillId="3" borderId="0" xfId="0" applyFill="1" applyProtection="1">
      <protection locked="0"/>
    </xf>
    <xf numFmtId="0" fontId="0" fillId="3" borderId="0" xfId="0" applyFill="1" applyAlignment="1" applyProtection="1">
      <alignment horizontal="left" vertical="center"/>
      <protection locked="0"/>
    </xf>
    <xf numFmtId="0" fontId="0" fillId="3" borderId="0" xfId="0" applyFill="1" applyAlignment="1" applyProtection="1">
      <alignment horizontal="left" vertical="center" wrapText="1"/>
      <protection locked="0"/>
    </xf>
    <xf numFmtId="0" fontId="4" fillId="3" borderId="46" xfId="0" applyFont="1" applyFill="1" applyBorder="1" applyAlignment="1" applyProtection="1">
      <alignment horizontal="left" vertical="center"/>
      <protection locked="0"/>
    </xf>
    <xf numFmtId="0" fontId="4" fillId="3" borderId="47" xfId="0" applyFont="1" applyFill="1" applyBorder="1" applyAlignment="1" applyProtection="1">
      <alignment horizontal="left" vertical="center"/>
      <protection locked="0"/>
    </xf>
    <xf numFmtId="0" fontId="4" fillId="3" borderId="48" xfId="0" applyFont="1" applyFill="1" applyBorder="1" applyAlignment="1" applyProtection="1">
      <alignment horizontal="left" vertical="center" wrapText="1"/>
      <protection locked="0"/>
    </xf>
    <xf numFmtId="0" fontId="4" fillId="3" borderId="0" xfId="0" applyFont="1" applyFill="1" applyProtection="1">
      <protection locked="0"/>
    </xf>
    <xf numFmtId="49" fontId="0" fillId="3" borderId="45" xfId="0" applyNumberFormat="1" applyFill="1" applyBorder="1" applyAlignment="1" applyProtection="1">
      <alignment horizontal="left" vertical="center"/>
      <protection locked="0"/>
    </xf>
    <xf numFmtId="0" fontId="0" fillId="3" borderId="45" xfId="0" applyFill="1" applyBorder="1" applyAlignment="1" applyProtection="1">
      <alignment horizontal="left" vertical="center"/>
      <protection locked="0"/>
    </xf>
    <xf numFmtId="14" fontId="0" fillId="3" borderId="45" xfId="0" applyNumberFormat="1" applyFill="1" applyBorder="1" applyAlignment="1" applyProtection="1">
      <alignment horizontal="left" vertical="center"/>
      <protection locked="0"/>
    </xf>
    <xf numFmtId="0" fontId="0" fillId="3" borderId="45" xfId="0" applyFill="1" applyBorder="1" applyAlignment="1" applyProtection="1">
      <alignment horizontal="left" vertical="center" wrapText="1"/>
      <protection locked="0"/>
    </xf>
    <xf numFmtId="0" fontId="0" fillId="3" borderId="44" xfId="0" applyFill="1" applyBorder="1" applyAlignment="1" applyProtection="1">
      <alignment horizontal="left" vertical="center"/>
      <protection locked="0"/>
    </xf>
    <xf numFmtId="14" fontId="0" fillId="3" borderId="44" xfId="0" applyNumberFormat="1" applyFill="1" applyBorder="1" applyAlignment="1" applyProtection="1">
      <alignment horizontal="left" vertical="center"/>
      <protection locked="0"/>
    </xf>
    <xf numFmtId="0" fontId="0" fillId="3" borderId="44" xfId="0" applyFill="1" applyBorder="1" applyAlignment="1" applyProtection="1">
      <alignment horizontal="left" vertical="center" wrapText="1"/>
      <protection locked="0"/>
    </xf>
    <xf numFmtId="0" fontId="0" fillId="3" borderId="0" xfId="0" applyFill="1" applyBorder="1" applyAlignment="1">
      <alignment wrapText="1"/>
    </xf>
    <xf numFmtId="0" fontId="4" fillId="3" borderId="0" xfId="0" applyFont="1" applyFill="1" applyBorder="1"/>
    <xf numFmtId="0" fontId="3" fillId="3" borderId="0" xfId="3" applyFill="1" applyBorder="1"/>
    <xf numFmtId="0" fontId="4" fillId="0" borderId="56" xfId="0" applyFont="1" applyBorder="1"/>
    <xf numFmtId="0" fontId="3" fillId="2" borderId="3" xfId="3" applyAlignment="1" applyProtection="1">
      <alignment horizontal="center" vertical="center"/>
      <protection locked="0"/>
    </xf>
    <xf numFmtId="0" fontId="3" fillId="2" borderId="3" xfId="3" applyAlignment="1" applyProtection="1">
      <alignment horizontal="center" vertical="center"/>
      <protection locked="0"/>
    </xf>
    <xf numFmtId="0" fontId="0" fillId="3" borderId="23" xfId="0" applyFill="1" applyBorder="1" applyAlignment="1"/>
    <xf numFmtId="0" fontId="0" fillId="3" borderId="24" xfId="0" applyFill="1" applyBorder="1" applyAlignment="1"/>
    <xf numFmtId="0" fontId="0" fillId="3" borderId="25" xfId="0" applyFill="1" applyBorder="1" applyAlignment="1"/>
    <xf numFmtId="0" fontId="0" fillId="0" borderId="25" xfId="0" applyBorder="1" applyAlignment="1" applyProtection="1">
      <alignment horizontal="center"/>
    </xf>
    <xf numFmtId="0" fontId="0" fillId="0" borderId="21" xfId="0" applyBorder="1" applyAlignment="1" applyProtection="1">
      <alignment horizontal="center" vertical="center"/>
    </xf>
    <xf numFmtId="0" fontId="0" fillId="0" borderId="22" xfId="0" applyBorder="1" applyAlignment="1" applyProtection="1">
      <alignment horizontal="center" vertical="center"/>
    </xf>
    <xf numFmtId="0" fontId="0" fillId="0" borderId="0" xfId="0" applyAlignment="1" applyProtection="1">
      <alignment horizontal="center"/>
      <protection locked="0"/>
    </xf>
    <xf numFmtId="0" fontId="0" fillId="0" borderId="0" xfId="0" applyAlignment="1">
      <alignment horizontal="center"/>
    </xf>
    <xf numFmtId="0" fontId="0" fillId="0" borderId="0" xfId="0" applyBorder="1" applyAlignment="1" applyProtection="1">
      <alignment horizontal="center"/>
      <protection locked="0"/>
    </xf>
    <xf numFmtId="9" fontId="0" fillId="0" borderId="0" xfId="4" applyFont="1" applyBorder="1" applyAlignment="1">
      <alignment horizontal="center"/>
    </xf>
    <xf numFmtId="0" fontId="0" fillId="0" borderId="21" xfId="0" applyBorder="1" applyAlignment="1">
      <alignment horizontal="center"/>
    </xf>
    <xf numFmtId="0" fontId="0" fillId="0" borderId="0" xfId="0" applyBorder="1" applyAlignment="1">
      <alignment horizontal="center"/>
    </xf>
    <xf numFmtId="164" fontId="0" fillId="0" borderId="59" xfId="0" applyNumberFormat="1" applyFill="1" applyBorder="1" applyAlignment="1" applyProtection="1">
      <alignment horizontal="center" vertical="center"/>
    </xf>
    <xf numFmtId="0" fontId="3" fillId="2" borderId="27" xfId="3" applyBorder="1" applyAlignment="1" applyProtection="1">
      <alignment horizontal="center" vertical="center"/>
      <protection locked="0"/>
    </xf>
    <xf numFmtId="0" fontId="3" fillId="2" borderId="3" xfId="3" applyAlignment="1" applyProtection="1">
      <alignment horizontal="center" vertical="center"/>
      <protection locked="0"/>
    </xf>
    <xf numFmtId="14" fontId="0" fillId="3" borderId="44" xfId="0" applyNumberFormat="1" applyFill="1" applyBorder="1" applyAlignment="1" applyProtection="1">
      <alignment horizontal="left" vertical="center"/>
      <protection locked="0"/>
    </xf>
    <xf numFmtId="0" fontId="5" fillId="4" borderId="58" xfId="6" applyBorder="1" applyAlignment="1" applyProtection="1">
      <alignment horizontal="center" vertical="center"/>
    </xf>
    <xf numFmtId="0" fontId="4" fillId="0" borderId="18" xfId="0" applyFont="1" applyBorder="1" applyAlignment="1" applyProtection="1">
      <alignment horizontal="center"/>
    </xf>
    <xf numFmtId="0" fontId="9" fillId="10" borderId="41" xfId="0" applyFont="1" applyFill="1" applyBorder="1" applyAlignment="1" applyProtection="1">
      <alignment horizontal="center"/>
    </xf>
    <xf numFmtId="0" fontId="0" fillId="3" borderId="30" xfId="0" applyFill="1" applyBorder="1" applyAlignment="1">
      <alignment horizontal="center"/>
    </xf>
    <xf numFmtId="0" fontId="4" fillId="8" borderId="43" xfId="8" applyFont="1" applyFill="1" applyBorder="1" applyAlignment="1" applyProtection="1">
      <alignment horizontal="center"/>
    </xf>
    <xf numFmtId="0" fontId="4" fillId="0" borderId="32" xfId="0" applyFont="1" applyFill="1" applyBorder="1" applyAlignment="1" applyProtection="1">
      <alignment horizontal="center" vertical="center"/>
    </xf>
    <xf numFmtId="0" fontId="9" fillId="10" borderId="40" xfId="0" applyFont="1" applyFill="1" applyBorder="1" applyAlignment="1" applyProtection="1">
      <alignment horizontal="center"/>
    </xf>
    <xf numFmtId="164" fontId="0" fillId="0" borderId="61" xfId="0" applyNumberFormat="1" applyFill="1" applyBorder="1" applyAlignment="1" applyProtection="1">
      <alignment horizontal="center" vertical="center"/>
    </xf>
    <xf numFmtId="164" fontId="0" fillId="0" borderId="62" xfId="0" applyNumberFormat="1" applyFill="1" applyBorder="1" applyAlignment="1" applyProtection="1">
      <alignment horizontal="center" vertical="center"/>
    </xf>
    <xf numFmtId="164" fontId="0" fillId="0" borderId="63" xfId="0" applyNumberFormat="1" applyFill="1" applyBorder="1" applyAlignment="1" applyProtection="1">
      <alignment horizontal="center" vertical="center"/>
    </xf>
    <xf numFmtId="0" fontId="4" fillId="7" borderId="65" xfId="7" applyFont="1" applyFill="1" applyBorder="1" applyAlignment="1" applyProtection="1">
      <alignment horizontal="center"/>
    </xf>
    <xf numFmtId="0" fontId="5" fillId="7" borderId="60" xfId="7" applyFill="1" applyBorder="1" applyAlignment="1" applyProtection="1">
      <alignment horizontal="center"/>
    </xf>
    <xf numFmtId="164" fontId="5" fillId="8" borderId="58" xfId="8" applyNumberFormat="1" applyFill="1" applyBorder="1" applyAlignment="1" applyProtection="1">
      <alignment horizontal="center" vertical="center"/>
    </xf>
    <xf numFmtId="0" fontId="5" fillId="7" borderId="67" xfId="7" applyFill="1" applyBorder="1" applyAlignment="1" applyProtection="1">
      <alignment horizontal="center"/>
    </xf>
    <xf numFmtId="164" fontId="5" fillId="8" borderId="68" xfId="8" applyNumberFormat="1" applyFill="1" applyBorder="1" applyAlignment="1" applyProtection="1">
      <alignment horizontal="center" vertical="center"/>
    </xf>
    <xf numFmtId="0" fontId="5" fillId="4" borderId="68" xfId="6" applyBorder="1" applyAlignment="1" applyProtection="1">
      <alignment horizontal="center" vertical="center"/>
    </xf>
    <xf numFmtId="0" fontId="5" fillId="4" borderId="69" xfId="6" applyBorder="1" applyAlignment="1" applyProtection="1">
      <alignment horizontal="center" vertical="center"/>
    </xf>
    <xf numFmtId="164" fontId="5" fillId="8" borderId="42" xfId="8" applyNumberFormat="1" applyFill="1" applyBorder="1" applyAlignment="1" applyProtection="1">
      <alignment horizontal="center" vertical="center"/>
    </xf>
    <xf numFmtId="164" fontId="5" fillId="8" borderId="70" xfId="8" applyNumberFormat="1" applyFill="1" applyBorder="1" applyAlignment="1" applyProtection="1">
      <alignment horizontal="center" vertical="center"/>
    </xf>
    <xf numFmtId="164" fontId="5" fillId="8" borderId="71" xfId="8" applyNumberFormat="1" applyFill="1" applyBorder="1" applyAlignment="1" applyProtection="1">
      <alignment horizontal="center" vertical="center"/>
    </xf>
    <xf numFmtId="0" fontId="5" fillId="4" borderId="70" xfId="6" applyBorder="1" applyAlignment="1" applyProtection="1">
      <alignment horizontal="center" vertical="center"/>
    </xf>
    <xf numFmtId="0" fontId="5" fillId="4" borderId="71" xfId="6" applyBorder="1" applyAlignment="1" applyProtection="1">
      <alignment horizontal="center" vertical="center"/>
    </xf>
    <xf numFmtId="9" fontId="5" fillId="7" borderId="60" xfId="4" applyFill="1" applyBorder="1" applyAlignment="1" applyProtection="1">
      <alignment horizontal="center"/>
    </xf>
    <xf numFmtId="9" fontId="5" fillId="7" borderId="67" xfId="4" applyFill="1" applyBorder="1" applyAlignment="1" applyProtection="1">
      <alignment horizontal="center"/>
    </xf>
    <xf numFmtId="9" fontId="5" fillId="8" borderId="58" xfId="4" applyFill="1" applyBorder="1" applyAlignment="1" applyProtection="1">
      <alignment horizontal="center" vertical="center"/>
    </xf>
    <xf numFmtId="9" fontId="5" fillId="8" borderId="68" xfId="4" applyFill="1" applyBorder="1" applyAlignment="1" applyProtection="1">
      <alignment horizontal="center" vertical="center"/>
    </xf>
    <xf numFmtId="0" fontId="0" fillId="0" borderId="37" xfId="0" applyBorder="1" applyAlignment="1" applyProtection="1">
      <alignment horizontal="center"/>
    </xf>
    <xf numFmtId="0" fontId="6" fillId="2" borderId="34" xfId="3" applyFont="1" applyBorder="1" applyAlignment="1" applyProtection="1">
      <alignment horizontal="center"/>
    </xf>
    <xf numFmtId="9" fontId="4" fillId="7" borderId="72" xfId="4" applyFont="1" applyFill="1" applyBorder="1" applyAlignment="1" applyProtection="1">
      <alignment horizontal="center"/>
    </xf>
    <xf numFmtId="0" fontId="4" fillId="7" borderId="10" xfId="7" applyFont="1" applyFill="1" applyBorder="1" applyAlignment="1" applyProtection="1">
      <alignment horizontal="center"/>
    </xf>
    <xf numFmtId="9" fontId="4" fillId="8" borderId="74" xfId="8" applyNumberFormat="1" applyFont="1" applyFill="1" applyBorder="1" applyAlignment="1" applyProtection="1">
      <alignment horizontal="center"/>
    </xf>
    <xf numFmtId="0" fontId="4" fillId="8" borderId="75" xfId="8" applyFont="1" applyFill="1" applyBorder="1" applyAlignment="1" applyProtection="1">
      <alignment horizontal="center"/>
    </xf>
    <xf numFmtId="164" fontId="0" fillId="0" borderId="76" xfId="0" applyNumberFormat="1" applyFill="1" applyBorder="1" applyAlignment="1" applyProtection="1">
      <alignment horizontal="center" vertical="center"/>
    </xf>
    <xf numFmtId="0" fontId="0" fillId="0" borderId="23" xfId="0" applyBorder="1" applyAlignment="1" applyProtection="1">
      <alignment horizontal="center" vertical="center"/>
    </xf>
    <xf numFmtId="0" fontId="0" fillId="0" borderId="25" xfId="0" applyBorder="1" applyAlignment="1" applyProtection="1">
      <alignment horizontal="center" vertical="center"/>
    </xf>
    <xf numFmtId="0" fontId="0" fillId="0" borderId="24" xfId="0" applyBorder="1" applyAlignment="1" applyProtection="1">
      <alignment horizontal="center"/>
    </xf>
    <xf numFmtId="164" fontId="5" fillId="7" borderId="64" xfId="7" applyNumberFormat="1" applyFill="1" applyBorder="1" applyAlignment="1" applyProtection="1">
      <alignment horizontal="center"/>
    </xf>
    <xf numFmtId="164" fontId="5" fillId="7" borderId="66" xfId="7" applyNumberFormat="1" applyFill="1" applyBorder="1" applyAlignment="1" applyProtection="1">
      <alignment horizontal="center"/>
    </xf>
    <xf numFmtId="0" fontId="0" fillId="4" borderId="58" xfId="6" applyFont="1" applyBorder="1" applyAlignment="1" applyProtection="1">
      <alignment horizontal="center" vertical="center"/>
    </xf>
    <xf numFmtId="0" fontId="10" fillId="0" borderId="0" xfId="0" applyFont="1"/>
    <xf numFmtId="0" fontId="0" fillId="0" borderId="21" xfId="0" applyFont="1" applyBorder="1" applyAlignment="1" applyProtection="1">
      <alignment horizontal="center" vertical="center"/>
    </xf>
    <xf numFmtId="0" fontId="6" fillId="2" borderId="37" xfId="3" applyFont="1" applyBorder="1" applyAlignment="1" applyProtection="1">
      <alignment horizontal="center" vertical="center"/>
    </xf>
    <xf numFmtId="0" fontId="6" fillId="2" borderId="35" xfId="3" applyFont="1" applyBorder="1" applyAlignment="1" applyProtection="1">
      <alignment horizontal="center" vertical="center"/>
    </xf>
    <xf numFmtId="0" fontId="0" fillId="0" borderId="0" xfId="0" applyBorder="1" applyAlignment="1">
      <alignment horizontal="center"/>
    </xf>
    <xf numFmtId="0" fontId="4" fillId="0" borderId="18" xfId="0" applyFont="1" applyBorder="1" applyAlignment="1" applyProtection="1">
      <alignment horizontal="center"/>
      <protection locked="0"/>
    </xf>
    <xf numFmtId="0" fontId="9" fillId="10" borderId="41" xfId="0" applyFont="1" applyFill="1" applyBorder="1" applyAlignment="1" applyProtection="1">
      <alignment horizontal="center"/>
      <protection locked="0"/>
    </xf>
    <xf numFmtId="0" fontId="6" fillId="2" borderId="34" xfId="3" applyFont="1" applyBorder="1" applyAlignment="1" applyProtection="1">
      <alignment horizontal="center"/>
      <protection locked="0"/>
    </xf>
    <xf numFmtId="0" fontId="0" fillId="0" borderId="37" xfId="0" applyBorder="1" applyAlignment="1" applyProtection="1">
      <alignment horizontal="center"/>
      <protection locked="0"/>
    </xf>
    <xf numFmtId="0" fontId="0" fillId="3" borderId="30" xfId="0" applyFill="1" applyBorder="1" applyAlignment="1" applyProtection="1">
      <alignment horizontal="center"/>
      <protection locked="0"/>
    </xf>
    <xf numFmtId="0" fontId="6" fillId="2" borderId="37" xfId="3" applyFont="1" applyBorder="1" applyAlignment="1" applyProtection="1">
      <alignment horizontal="center" vertical="center"/>
      <protection locked="0"/>
    </xf>
    <xf numFmtId="0" fontId="6" fillId="2" borderId="35" xfId="3" applyFont="1" applyBorder="1" applyAlignment="1" applyProtection="1">
      <alignment horizontal="center" vertical="center"/>
      <protection locked="0"/>
    </xf>
    <xf numFmtId="0" fontId="4" fillId="7" borderId="65" xfId="7" applyFont="1" applyFill="1" applyBorder="1" applyAlignment="1" applyProtection="1">
      <alignment horizontal="center"/>
      <protection locked="0"/>
    </xf>
    <xf numFmtId="9" fontId="4" fillId="7" borderId="72" xfId="4" applyFont="1" applyFill="1" applyBorder="1" applyAlignment="1" applyProtection="1">
      <alignment horizontal="center"/>
      <protection locked="0"/>
    </xf>
    <xf numFmtId="0" fontId="4" fillId="7" borderId="10" xfId="7" applyFont="1" applyFill="1" applyBorder="1" applyAlignment="1" applyProtection="1">
      <alignment horizontal="center"/>
      <protection locked="0"/>
    </xf>
    <xf numFmtId="0" fontId="4" fillId="8" borderId="43" xfId="8" applyFont="1" applyFill="1" applyBorder="1" applyAlignment="1" applyProtection="1">
      <alignment horizontal="center"/>
      <protection locked="0"/>
    </xf>
    <xf numFmtId="9" fontId="4" fillId="8" borderId="74" xfId="8" applyNumberFormat="1" applyFont="1" applyFill="1" applyBorder="1" applyAlignment="1" applyProtection="1">
      <alignment horizontal="center"/>
      <protection locked="0"/>
    </xf>
    <xf numFmtId="0" fontId="4" fillId="8" borderId="75" xfId="8" applyFont="1" applyFill="1" applyBorder="1" applyAlignment="1" applyProtection="1">
      <alignment horizontal="center"/>
      <protection locked="0"/>
    </xf>
    <xf numFmtId="0" fontId="4" fillId="0" borderId="32" xfId="0" applyFont="1" applyFill="1" applyBorder="1" applyAlignment="1" applyProtection="1">
      <alignment horizontal="center" vertical="center"/>
      <protection locked="0"/>
    </xf>
    <xf numFmtId="164" fontId="0" fillId="0" borderId="59" xfId="0" applyNumberFormat="1" applyFill="1" applyBorder="1" applyAlignment="1" applyProtection="1">
      <alignment horizontal="center" vertical="center"/>
      <protection locked="0"/>
    </xf>
    <xf numFmtId="164" fontId="0" fillId="0" borderId="61" xfId="0" applyNumberFormat="1" applyFill="1" applyBorder="1" applyAlignment="1" applyProtection="1">
      <alignment horizontal="center" vertical="center"/>
      <protection locked="0"/>
    </xf>
    <xf numFmtId="164" fontId="5" fillId="7" borderId="64" xfId="7" applyNumberFormat="1" applyFill="1" applyBorder="1" applyAlignment="1" applyProtection="1">
      <alignment horizontal="center"/>
      <protection locked="0"/>
    </xf>
    <xf numFmtId="9" fontId="5" fillId="7" borderId="60" xfId="4" applyFill="1" applyBorder="1" applyAlignment="1" applyProtection="1">
      <alignment horizontal="center"/>
      <protection locked="0"/>
    </xf>
    <xf numFmtId="0" fontId="5" fillId="7" borderId="60" xfId="7" applyFill="1" applyBorder="1" applyAlignment="1" applyProtection="1">
      <alignment horizontal="center"/>
      <protection locked="0"/>
    </xf>
    <xf numFmtId="164" fontId="5" fillId="8" borderId="42" xfId="8" applyNumberFormat="1" applyFill="1" applyBorder="1" applyAlignment="1" applyProtection="1">
      <alignment horizontal="center" vertical="center"/>
      <protection locked="0"/>
    </xf>
    <xf numFmtId="9" fontId="5" fillId="8" borderId="58" xfId="4" applyFill="1" applyBorder="1" applyAlignment="1" applyProtection="1">
      <alignment horizontal="center" vertical="center"/>
      <protection locked="0"/>
    </xf>
    <xf numFmtId="164" fontId="5" fillId="8" borderId="58" xfId="8" applyNumberFormat="1" applyFill="1" applyBorder="1" applyAlignment="1" applyProtection="1">
      <alignment horizontal="center" vertical="center"/>
      <protection locked="0"/>
    </xf>
    <xf numFmtId="0" fontId="5" fillId="4" borderId="70" xfId="6" applyBorder="1" applyAlignment="1" applyProtection="1">
      <alignment horizontal="center" vertical="center"/>
      <protection locked="0"/>
    </xf>
    <xf numFmtId="0" fontId="5" fillId="4" borderId="58" xfId="6" applyBorder="1" applyAlignment="1" applyProtection="1">
      <alignment horizontal="center" vertical="center"/>
      <protection locked="0"/>
    </xf>
    <xf numFmtId="164" fontId="5" fillId="8" borderId="70" xfId="8" applyNumberFormat="1" applyFill="1" applyBorder="1" applyAlignment="1" applyProtection="1">
      <alignment horizontal="center" vertical="center"/>
      <protection locked="0"/>
    </xf>
    <xf numFmtId="164" fontId="0" fillId="0" borderId="62" xfId="0" applyNumberFormat="1" applyFill="1" applyBorder="1" applyAlignment="1" applyProtection="1">
      <alignment horizontal="center" vertical="center"/>
      <protection locked="0"/>
    </xf>
    <xf numFmtId="164" fontId="0" fillId="0" borderId="63" xfId="0" applyNumberFormat="1" applyFill="1" applyBorder="1" applyAlignment="1" applyProtection="1">
      <alignment horizontal="center" vertical="center"/>
      <protection locked="0"/>
    </xf>
    <xf numFmtId="164" fontId="0" fillId="0" borderId="76" xfId="0" applyNumberFormat="1" applyFill="1" applyBorder="1" applyAlignment="1" applyProtection="1">
      <alignment horizontal="center" vertical="center"/>
      <protection locked="0"/>
    </xf>
    <xf numFmtId="164" fontId="5" fillId="7" borderId="66" xfId="7" applyNumberFormat="1" applyFill="1" applyBorder="1" applyAlignment="1" applyProtection="1">
      <alignment horizontal="center"/>
      <protection locked="0"/>
    </xf>
    <xf numFmtId="9" fontId="5" fillId="7" borderId="67" xfId="4" applyFill="1" applyBorder="1" applyAlignment="1" applyProtection="1">
      <alignment horizontal="center"/>
      <protection locked="0"/>
    </xf>
    <xf numFmtId="0" fontId="5" fillId="7" borderId="67" xfId="7" applyFill="1" applyBorder="1" applyAlignment="1" applyProtection="1">
      <alignment horizontal="center"/>
      <protection locked="0"/>
    </xf>
    <xf numFmtId="164" fontId="5" fillId="8" borderId="71" xfId="8" applyNumberFormat="1" applyFill="1" applyBorder="1" applyAlignment="1" applyProtection="1">
      <alignment horizontal="center" vertical="center"/>
      <protection locked="0"/>
    </xf>
    <xf numFmtId="9" fontId="5" fillId="8" borderId="68" xfId="4" applyFill="1" applyBorder="1" applyAlignment="1" applyProtection="1">
      <alignment horizontal="center" vertical="center"/>
      <protection locked="0"/>
    </xf>
    <xf numFmtId="164" fontId="5" fillId="8" borderId="68" xfId="8" applyNumberFormat="1" applyFill="1" applyBorder="1" applyAlignment="1" applyProtection="1">
      <alignment horizontal="center" vertical="center"/>
      <protection locked="0"/>
    </xf>
    <xf numFmtId="0" fontId="5" fillId="4" borderId="71" xfId="6" applyBorder="1" applyAlignment="1" applyProtection="1">
      <alignment horizontal="center" vertical="center"/>
      <protection locked="0"/>
    </xf>
    <xf numFmtId="0" fontId="5" fillId="4" borderId="68" xfId="6" applyBorder="1" applyAlignment="1" applyProtection="1">
      <alignment horizontal="center" vertical="center"/>
      <protection locked="0"/>
    </xf>
    <xf numFmtId="0" fontId="5" fillId="4" borderId="69" xfId="6" applyBorder="1" applyAlignment="1" applyProtection="1">
      <alignment horizontal="center" vertical="center"/>
      <protection locked="0"/>
    </xf>
    <xf numFmtId="0" fontId="9" fillId="10" borderId="40" xfId="0" applyFont="1" applyFill="1" applyBorder="1" applyAlignment="1" applyProtection="1">
      <alignment horizontal="center"/>
      <protection locked="0"/>
    </xf>
    <xf numFmtId="164" fontId="0" fillId="0" borderId="77" xfId="0" applyNumberFormat="1" applyFill="1" applyBorder="1" applyAlignment="1" applyProtection="1">
      <alignment horizontal="center" vertical="center"/>
      <protection locked="0"/>
    </xf>
    <xf numFmtId="164" fontId="0" fillId="0" borderId="78" xfId="0" applyNumberFormat="1" applyFill="1" applyBorder="1" applyAlignment="1" applyProtection="1">
      <alignment horizontal="center" vertical="center"/>
      <protection locked="0"/>
    </xf>
    <xf numFmtId="0" fontId="4" fillId="0" borderId="0" xfId="0" applyFont="1" applyAlignment="1" applyProtection="1">
      <alignment horizontal="center"/>
      <protection locked="0"/>
    </xf>
    <xf numFmtId="0" fontId="0" fillId="0" borderId="0" xfId="0" applyAlignment="1" applyProtection="1">
      <alignment horizontal="center" wrapText="1"/>
      <protection locked="0"/>
    </xf>
    <xf numFmtId="0" fontId="6" fillId="2" borderId="32" xfId="3" applyFont="1" applyBorder="1" applyAlignment="1" applyProtection="1">
      <alignment horizontal="center"/>
      <protection locked="0"/>
    </xf>
    <xf numFmtId="0" fontId="6" fillId="2" borderId="30" xfId="3" applyFont="1" applyBorder="1" applyAlignment="1" applyProtection="1">
      <alignment horizontal="center"/>
      <protection locked="0"/>
    </xf>
    <xf numFmtId="0" fontId="6" fillId="2" borderId="10" xfId="3" applyFont="1" applyBorder="1" applyAlignment="1" applyProtection="1">
      <alignment horizontal="center"/>
      <protection locked="0"/>
    </xf>
    <xf numFmtId="0" fontId="6" fillId="11" borderId="19" xfId="3" applyFont="1" applyFill="1" applyBorder="1" applyAlignment="1" applyProtection="1">
      <alignment horizontal="center"/>
      <protection locked="0"/>
    </xf>
    <xf numFmtId="0" fontId="6" fillId="11" borderId="19" xfId="3" applyFont="1" applyFill="1" applyBorder="1" applyAlignment="1" applyProtection="1">
      <protection locked="0"/>
    </xf>
    <xf numFmtId="0" fontId="6" fillId="11" borderId="20" xfId="3" applyFont="1" applyFill="1" applyBorder="1" applyAlignment="1" applyProtection="1">
      <protection locked="0"/>
    </xf>
    <xf numFmtId="0" fontId="9" fillId="11" borderId="41" xfId="0" applyFont="1" applyFill="1" applyBorder="1" applyAlignment="1" applyProtection="1">
      <alignment horizontal="center"/>
      <protection locked="0"/>
    </xf>
    <xf numFmtId="0" fontId="9" fillId="11" borderId="40" xfId="0" applyFont="1" applyFill="1" applyBorder="1" applyAlignment="1" applyProtection="1">
      <alignment horizontal="center"/>
      <protection locked="0"/>
    </xf>
    <xf numFmtId="0" fontId="4" fillId="4" borderId="79" xfId="6" applyFont="1" applyBorder="1" applyAlignment="1" applyProtection="1">
      <alignment horizontal="center" vertical="center"/>
      <protection locked="0"/>
    </xf>
    <xf numFmtId="0" fontId="4" fillId="4" borderId="80" xfId="6" applyFont="1" applyBorder="1" applyAlignment="1" applyProtection="1">
      <alignment horizontal="center" vertical="center"/>
      <protection locked="0"/>
    </xf>
    <xf numFmtId="0" fontId="13" fillId="0" borderId="39" xfId="5" applyFont="1" applyBorder="1" applyAlignment="1" applyProtection="1">
      <alignment horizontal="centerContinuous"/>
      <protection locked="0"/>
    </xf>
    <xf numFmtId="0" fontId="13" fillId="0" borderId="37" xfId="5" applyFont="1" applyBorder="1" applyAlignment="1" applyProtection="1">
      <alignment horizontal="centerContinuous"/>
      <protection locked="0"/>
    </xf>
    <xf numFmtId="0" fontId="13" fillId="0" borderId="57" xfId="5" applyFont="1" applyBorder="1" applyAlignment="1" applyProtection="1">
      <alignment horizontal="centerContinuous"/>
      <protection locked="0"/>
    </xf>
    <xf numFmtId="0" fontId="0" fillId="9" borderId="49" xfId="0" applyFill="1" applyBorder="1" applyAlignment="1">
      <alignment vertical="center"/>
    </xf>
    <xf numFmtId="0" fontId="0" fillId="9" borderId="41" xfId="0" applyFill="1" applyBorder="1" applyAlignment="1">
      <alignment vertical="center"/>
    </xf>
    <xf numFmtId="0" fontId="0" fillId="9" borderId="50" xfId="0" applyFill="1" applyBorder="1" applyAlignment="1">
      <alignment vertical="center"/>
    </xf>
    <xf numFmtId="0" fontId="0" fillId="0" borderId="51" xfId="0" applyBorder="1" applyAlignment="1">
      <alignment horizontal="center" wrapText="1"/>
    </xf>
    <xf numFmtId="0" fontId="0" fillId="0" borderId="33" xfId="0" applyBorder="1" applyAlignment="1">
      <alignment horizontal="center" wrapText="1"/>
    </xf>
    <xf numFmtId="0" fontId="0" fillId="0" borderId="52" xfId="0" applyBorder="1" applyAlignment="1">
      <alignment horizontal="center" wrapText="1"/>
    </xf>
    <xf numFmtId="0" fontId="0" fillId="0" borderId="21" xfId="0" applyBorder="1" applyAlignment="1">
      <alignment horizontal="center" wrapText="1"/>
    </xf>
    <xf numFmtId="0" fontId="0" fillId="0" borderId="0" xfId="0" applyBorder="1" applyAlignment="1">
      <alignment horizontal="center" wrapText="1"/>
    </xf>
    <xf numFmtId="0" fontId="0" fillId="0" borderId="22" xfId="0" applyBorder="1" applyAlignment="1">
      <alignment horizontal="center" wrapText="1"/>
    </xf>
    <xf numFmtId="0" fontId="0" fillId="0" borderId="53" xfId="0" applyBorder="1" applyAlignment="1">
      <alignment horizontal="center" wrapText="1"/>
    </xf>
    <xf numFmtId="0" fontId="0" fillId="0" borderId="54" xfId="0" applyBorder="1" applyAlignment="1">
      <alignment horizontal="center" wrapText="1"/>
    </xf>
    <xf numFmtId="0" fontId="0" fillId="0" borderId="55" xfId="0" applyBorder="1" applyAlignment="1">
      <alignment horizontal="center" wrapText="1"/>
    </xf>
    <xf numFmtId="0" fontId="12" fillId="3" borderId="18" xfId="0" applyFont="1" applyFill="1" applyBorder="1" applyAlignment="1">
      <alignment horizontal="center"/>
    </xf>
    <xf numFmtId="0" fontId="12" fillId="3" borderId="19" xfId="0" applyFont="1" applyFill="1" applyBorder="1" applyAlignment="1">
      <alignment horizontal="center"/>
    </xf>
    <xf numFmtId="0" fontId="12" fillId="3" borderId="20" xfId="0" applyFont="1" applyFill="1" applyBorder="1" applyAlignment="1">
      <alignment horizontal="center"/>
    </xf>
    <xf numFmtId="0" fontId="0" fillId="3" borderId="0" xfId="0" applyFill="1" applyBorder="1" applyAlignment="1">
      <alignment vertical="center"/>
    </xf>
    <xf numFmtId="0" fontId="4" fillId="3" borderId="0" xfId="0" applyFont="1" applyFill="1" applyBorder="1" applyAlignment="1">
      <alignment horizontal="center"/>
    </xf>
    <xf numFmtId="0" fontId="0" fillId="3" borderId="0" xfId="0" applyFill="1" applyBorder="1" applyAlignment="1">
      <alignment horizontal="center"/>
    </xf>
    <xf numFmtId="0" fontId="4" fillId="3" borderId="8" xfId="0" applyFont="1" applyFill="1" applyBorder="1" applyAlignment="1">
      <alignment horizontal="center"/>
    </xf>
    <xf numFmtId="0" fontId="4" fillId="3" borderId="33" xfId="0" applyFont="1" applyFill="1" applyBorder="1" applyAlignment="1">
      <alignment horizontal="center"/>
    </xf>
    <xf numFmtId="0" fontId="4" fillId="3" borderId="9" xfId="0" applyFont="1" applyFill="1" applyBorder="1" applyAlignment="1">
      <alignment horizontal="center"/>
    </xf>
    <xf numFmtId="0" fontId="3" fillId="2" borderId="28" xfId="3" applyBorder="1" applyAlignment="1" applyProtection="1">
      <alignment horizontal="center"/>
      <protection locked="0"/>
    </xf>
    <xf numFmtId="0" fontId="3" fillId="2" borderId="3" xfId="3" applyAlignment="1" applyProtection="1">
      <alignment horizontal="center"/>
      <protection locked="0"/>
    </xf>
    <xf numFmtId="0" fontId="3" fillId="2" borderId="28" xfId="3" applyBorder="1" applyAlignment="1" applyProtection="1">
      <alignment horizontal="center" vertical="center"/>
      <protection locked="0"/>
    </xf>
    <xf numFmtId="0" fontId="3" fillId="2" borderId="3" xfId="3" applyAlignment="1" applyProtection="1">
      <alignment horizontal="center" vertical="center"/>
      <protection locked="0"/>
    </xf>
    <xf numFmtId="0" fontId="3" fillId="2" borderId="29" xfId="3" applyBorder="1" applyAlignment="1" applyProtection="1">
      <alignment horizontal="center" vertical="center"/>
      <protection locked="0"/>
    </xf>
    <xf numFmtId="0" fontId="3" fillId="2" borderId="26" xfId="3" applyBorder="1" applyAlignment="1" applyProtection="1">
      <alignment horizontal="center" vertical="center"/>
      <protection locked="0"/>
    </xf>
    <xf numFmtId="0" fontId="1" fillId="3" borderId="1" xfId="1" applyFill="1" applyAlignment="1">
      <alignment horizontal="center"/>
    </xf>
    <xf numFmtId="0" fontId="4" fillId="0" borderId="39" xfId="0" applyFont="1" applyBorder="1" applyAlignment="1">
      <alignment horizontal="center"/>
    </xf>
    <xf numFmtId="0" fontId="4" fillId="0" borderId="37" xfId="0" applyFont="1" applyBorder="1" applyAlignment="1">
      <alignment horizontal="center"/>
    </xf>
    <xf numFmtId="0" fontId="4" fillId="0" borderId="57" xfId="0" applyFont="1" applyBorder="1" applyAlignment="1">
      <alignment horizontal="center"/>
    </xf>
    <xf numFmtId="0" fontId="0" fillId="0" borderId="21" xfId="0" applyBorder="1" applyAlignment="1">
      <alignment horizontal="center"/>
    </xf>
    <xf numFmtId="0" fontId="0" fillId="0" borderId="0" xfId="0" applyBorder="1" applyAlignment="1">
      <alignment horizontal="center"/>
    </xf>
    <xf numFmtId="0" fontId="0" fillId="0" borderId="22" xfId="0" applyBorder="1" applyAlignment="1">
      <alignment horizontal="center"/>
    </xf>
    <xf numFmtId="0" fontId="2" fillId="0" borderId="0" xfId="2" applyBorder="1" applyAlignment="1">
      <alignment horizontal="center" vertical="center" wrapText="1"/>
    </xf>
    <xf numFmtId="0" fontId="2" fillId="0" borderId="22" xfId="2" applyBorder="1" applyAlignment="1">
      <alignment horizontal="center" vertical="center" wrapText="1"/>
    </xf>
    <xf numFmtId="0" fontId="4" fillId="0" borderId="0" xfId="0" applyFont="1" applyBorder="1" applyAlignment="1">
      <alignment horizontal="center"/>
    </xf>
    <xf numFmtId="0" fontId="4" fillId="0" borderId="22" xfId="0" applyFont="1" applyBorder="1" applyAlignment="1">
      <alignment horizontal="center"/>
    </xf>
    <xf numFmtId="0" fontId="4" fillId="7" borderId="73" xfId="4" applyNumberFormat="1" applyFont="1" applyFill="1" applyBorder="1" applyAlignment="1" applyProtection="1">
      <alignment horizontal="center"/>
      <protection locked="0"/>
    </xf>
    <xf numFmtId="0" fontId="4" fillId="7" borderId="36" xfId="4" applyNumberFormat="1" applyFont="1" applyFill="1" applyBorder="1" applyAlignment="1" applyProtection="1">
      <alignment horizontal="center"/>
      <protection locked="0"/>
    </xf>
    <xf numFmtId="0" fontId="4" fillId="6" borderId="73" xfId="8" applyFont="1" applyBorder="1" applyAlignment="1" applyProtection="1">
      <alignment horizontal="center"/>
      <protection locked="0"/>
    </xf>
    <xf numFmtId="0" fontId="4" fillId="6" borderId="36" xfId="8" applyFont="1" applyBorder="1" applyAlignment="1" applyProtection="1">
      <alignment horizontal="center"/>
      <protection locked="0"/>
    </xf>
    <xf numFmtId="0" fontId="2" fillId="0" borderId="35" xfId="5" applyBorder="1" applyAlignment="1" applyProtection="1">
      <alignment horizontal="center"/>
      <protection locked="0"/>
    </xf>
    <xf numFmtId="0" fontId="2" fillId="0" borderId="37" xfId="5" applyBorder="1" applyAlignment="1" applyProtection="1">
      <alignment horizontal="center"/>
      <protection locked="0"/>
    </xf>
    <xf numFmtId="0" fontId="2" fillId="0" borderId="36" xfId="5" applyBorder="1" applyAlignment="1" applyProtection="1">
      <alignment horizontal="center"/>
      <protection locked="0"/>
    </xf>
    <xf numFmtId="0" fontId="6" fillId="2" borderId="19" xfId="3" applyFont="1" applyBorder="1" applyAlignment="1" applyProtection="1">
      <alignment horizontal="center"/>
      <protection locked="0"/>
    </xf>
    <xf numFmtId="0" fontId="6" fillId="2" borderId="20" xfId="3" applyFont="1" applyBorder="1" applyAlignment="1" applyProtection="1">
      <alignment horizontal="center"/>
      <protection locked="0"/>
    </xf>
    <xf numFmtId="0" fontId="2" fillId="0" borderId="39" xfId="5" applyBorder="1" applyAlignment="1" applyProtection="1">
      <alignment horizontal="center"/>
      <protection locked="0"/>
    </xf>
    <xf numFmtId="0" fontId="2" fillId="0" borderId="57" xfId="5" applyBorder="1" applyAlignment="1" applyProtection="1">
      <alignment horizontal="center"/>
      <protection locked="0"/>
    </xf>
    <xf numFmtId="0" fontId="2" fillId="0" borderId="35" xfId="5" applyBorder="1" applyAlignment="1" applyProtection="1">
      <alignment horizontal="center"/>
    </xf>
    <xf numFmtId="0" fontId="2" fillId="0" borderId="37" xfId="5" applyBorder="1" applyAlignment="1" applyProtection="1">
      <alignment horizontal="center"/>
    </xf>
    <xf numFmtId="0" fontId="2" fillId="0" borderId="36" xfId="5" applyBorder="1" applyAlignment="1" applyProtection="1">
      <alignment horizontal="center"/>
    </xf>
    <xf numFmtId="0" fontId="6" fillId="2" borderId="19" xfId="3" applyFont="1" applyBorder="1" applyAlignment="1" applyProtection="1">
      <alignment horizontal="center"/>
    </xf>
    <xf numFmtId="0" fontId="6" fillId="2" borderId="20" xfId="3" applyFont="1" applyBorder="1" applyAlignment="1" applyProtection="1">
      <alignment horizontal="center"/>
    </xf>
    <xf numFmtId="0" fontId="2" fillId="0" borderId="57" xfId="5" applyBorder="1" applyAlignment="1" applyProtection="1">
      <alignment horizontal="center"/>
    </xf>
    <xf numFmtId="0" fontId="4" fillId="7" borderId="73" xfId="4" applyNumberFormat="1" applyFont="1" applyFill="1" applyBorder="1" applyAlignment="1" applyProtection="1">
      <alignment horizontal="center"/>
    </xf>
    <xf numFmtId="0" fontId="4" fillId="7" borderId="36" xfId="4" applyNumberFormat="1" applyFont="1" applyFill="1" applyBorder="1" applyAlignment="1" applyProtection="1">
      <alignment horizontal="center"/>
    </xf>
    <xf numFmtId="0" fontId="4" fillId="6" borderId="73" xfId="8" applyFont="1" applyBorder="1" applyAlignment="1" applyProtection="1">
      <alignment horizontal="center"/>
    </xf>
    <xf numFmtId="0" fontId="4" fillId="6" borderId="36" xfId="8" applyFont="1" applyBorder="1" applyAlignment="1" applyProtection="1">
      <alignment horizontal="center"/>
    </xf>
    <xf numFmtId="0" fontId="2" fillId="0" borderId="39" xfId="5" applyBorder="1" applyAlignment="1" applyProtection="1">
      <alignment horizontal="center"/>
    </xf>
  </cellXfs>
  <cellStyles count="9">
    <cellStyle name="20% - Accent3" xfId="6" builtinId="38"/>
    <cellStyle name="20% - Accent5" xfId="7" builtinId="46"/>
    <cellStyle name="20% - Accent6" xfId="8" builtinId="50"/>
    <cellStyle name="Heading 1" xfId="1" builtinId="16"/>
    <cellStyle name="Heading 3" xfId="2" builtinId="18"/>
    <cellStyle name="Heading 4" xfId="5" builtinId="19"/>
    <cellStyle name="Input" xfId="3" builtinId="20"/>
    <cellStyle name="Normal" xfId="0" builtinId="0"/>
    <cellStyle name="Percent" xfId="4" builtinId="5"/>
  </cellStyles>
  <dxfs count="15">
    <dxf>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thin">
          <color rgb="FF000000"/>
        </right>
        <top style="thin">
          <color rgb="FF000000"/>
        </top>
        <bottom style="thin">
          <color rgb="FF000000"/>
        </bottom>
      </border>
    </dxf>
    <dxf>
      <fill>
        <patternFill>
          <bgColor rgb="FFFFCCFF"/>
        </patternFill>
      </fill>
    </dxf>
    <dxf>
      <fill>
        <patternFill patternType="none">
          <bgColor auto="1"/>
        </patternFill>
      </fill>
    </dxf>
    <dxf>
      <font>
        <strike val="0"/>
        <color rgb="FFFF0000"/>
      </font>
      <fill>
        <patternFill>
          <bgColor rgb="FFFF9F9F"/>
        </patternFill>
      </fill>
    </dxf>
    <dxf>
      <font>
        <strike val="0"/>
        <color rgb="FFFF0000"/>
      </font>
      <fill>
        <patternFill>
          <bgColor rgb="FFFF9F9F"/>
        </patternFill>
      </fill>
    </dxf>
    <dxf>
      <fill>
        <patternFill>
          <bgColor rgb="FFFFCCFF"/>
        </patternFill>
      </fill>
    </dxf>
    <dxf>
      <fill>
        <patternFill patternType="none">
          <bgColor auto="1"/>
        </patternFill>
      </fill>
    </dxf>
    <dxf>
      <font>
        <strike val="0"/>
        <color rgb="FFFF0000"/>
      </font>
      <fill>
        <patternFill>
          <bgColor rgb="FFFF9F9F"/>
        </patternFill>
      </fill>
    </dxf>
    <dxf>
      <font>
        <strike val="0"/>
        <color theme="0"/>
      </font>
    </dxf>
    <dxf>
      <font>
        <strike/>
        <color theme="0" tint="-0.34998626667073579"/>
      </font>
      <fill>
        <patternFill>
          <bgColor theme="0" tint="-0.14996795556505021"/>
        </patternFill>
      </fill>
    </dxf>
    <dxf>
      <font>
        <strike val="0"/>
        <color theme="0"/>
      </font>
    </dxf>
    <dxf>
      <font>
        <strike/>
        <color theme="0" tint="-0.34998626667073579"/>
      </font>
      <fill>
        <patternFill>
          <bgColor theme="0" tint="-0.14996795556505021"/>
        </patternFill>
      </fill>
    </dxf>
  </dxfs>
  <tableStyles count="0" defaultTableStyle="TableStyleMedium2" defaultPivotStyle="PivotStyleLight16"/>
  <colors>
    <mruColors>
      <color rgb="FFFACDAC"/>
      <color rgb="FFFFB9B9"/>
      <color rgb="FFFF9B9B"/>
      <color rgb="FFFFCCFF"/>
      <color rgb="FFFF9F9F"/>
      <color rgb="FFFF6969"/>
      <color rgb="FFFF8B8B"/>
      <color rgb="FFE8AFFF"/>
      <color rgb="FFE4D2F2"/>
      <color rgb="FFF3D5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GBox" noThreeD="1"/>
</file>

<file path=xl/drawings/_rels/drawing2.xml.rels><?xml version="1.0" encoding="UTF-8" standalone="yes"?>
<Relationships xmlns="http://schemas.openxmlformats.org/package/2006/relationships"><Relationship Id="rId8" Type="http://schemas.openxmlformats.org/officeDocument/2006/relationships/image" Target="../media/image7.sv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www.needpix.com/photo/595914/finish-flag-race-racing-win-winner" TargetMode="External"/><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8.png"/></Relationships>
</file>

<file path=xl/drawings/_rels/drawing3.xml.rels><?xml version="1.0" encoding="UTF-8" standalone="yes"?>
<Relationships xmlns="http://schemas.openxmlformats.org/package/2006/relationships"><Relationship Id="rId8" Type="http://schemas.openxmlformats.org/officeDocument/2006/relationships/image" Target="../media/image7.sv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www.needpix.com/photo/595914/finish-flag-race-racing-win-winner" TargetMode="External"/><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8.png"/></Relationships>
</file>

<file path=xl/drawings/_rels/drawing5.xml.rels><?xml version="1.0" encoding="UTF-8" standalone="yes"?>
<Relationships xmlns="http://schemas.openxmlformats.org/package/2006/relationships"><Relationship Id="rId8" Type="http://schemas.openxmlformats.org/officeDocument/2006/relationships/image" Target="../media/image7.sv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www.needpix.com/photo/595914/finish-flag-race-racing-win-winner" TargetMode="External"/><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7</xdr:col>
      <xdr:colOff>0</xdr:colOff>
      <xdr:row>0</xdr:row>
      <xdr:rowOff>190499</xdr:rowOff>
    </xdr:from>
    <xdr:to>
      <xdr:col>10</xdr:col>
      <xdr:colOff>590550</xdr:colOff>
      <xdr:row>25</xdr:row>
      <xdr:rowOff>114300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629150" y="190499"/>
          <a:ext cx="2419350" cy="4772026"/>
        </a:xfrm>
        <a:prstGeom prst="rect">
          <a:avLst/>
        </a:prstGeom>
        <a:solidFill>
          <a:schemeClr val="lt1"/>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t>INSTRUCTIONS:</a:t>
          </a:r>
        </a:p>
        <a:p>
          <a:r>
            <a:rPr lang="en-AU" sz="1100"/>
            <a:t>Fill in the data to the Right first before using the SpreadSheet.</a:t>
          </a:r>
        </a:p>
        <a:p>
          <a:endParaRPr lang="en-AU" sz="1100"/>
        </a:p>
        <a:p>
          <a:r>
            <a:rPr lang="en-AU" sz="1100"/>
            <a:t>Please do not delete students out of the list if they are not in the class anymore, put a N in the "Enrolled" Column.</a:t>
          </a:r>
        </a:p>
        <a:p>
          <a:endParaRPr lang="en-AU" sz="1100"/>
        </a:p>
        <a:p>
          <a:r>
            <a:rPr lang="en-AU" sz="1100" b="1"/>
            <a:t>GENERAL NOTES:</a:t>
          </a:r>
        </a:p>
        <a:p>
          <a:r>
            <a:rPr lang="en-AU" sz="1100"/>
            <a:t>Only Enter Data into the input cells, all other cells have formulas and should not be changed.</a:t>
          </a:r>
        </a:p>
        <a:p>
          <a:endParaRPr lang="en-AU" sz="1100"/>
        </a:p>
        <a:p>
          <a:r>
            <a:rPr lang="en-AU" sz="1100"/>
            <a:t>Grades should only be numerical, if the assessment was missed and there is no grade, use a "-" (dash).</a:t>
          </a:r>
        </a:p>
        <a:p>
          <a:endParaRPr lang="en-AU" sz="1100"/>
        </a:p>
        <a:p>
          <a:r>
            <a:rPr lang="en-AU" sz="1100"/>
            <a:t>More detailed instructions are in the Template Tab and an example provided in the Example Tab.</a:t>
          </a:r>
        </a:p>
        <a:p>
          <a:endParaRPr lang="en-AU" sz="1100"/>
        </a:p>
        <a:p>
          <a:r>
            <a:rPr lang="en-AU" sz="1100">
              <a:solidFill>
                <a:srgbClr val="FF0000"/>
              </a:solidFill>
            </a:rPr>
            <a:t>If adding</a:t>
          </a:r>
          <a:r>
            <a:rPr lang="en-AU" sz="1100" baseline="0">
              <a:solidFill>
                <a:srgbClr val="FF0000"/>
              </a:solidFill>
            </a:rPr>
            <a:t> the sheets with the "+" gives a "Cannot Run Macro" Error,</a:t>
          </a:r>
        </a:p>
        <a:p>
          <a:r>
            <a:rPr lang="en-AU" sz="1100" baseline="0">
              <a:solidFill>
                <a:srgbClr val="FF0000"/>
              </a:solidFill>
            </a:rPr>
            <a:t>Go to:</a:t>
          </a:r>
        </a:p>
        <a:p>
          <a:r>
            <a:rPr lang="en-AU" sz="1100" baseline="0">
              <a:solidFill>
                <a:srgbClr val="FF0000"/>
              </a:solidFill>
            </a:rPr>
            <a:t>File&gt;Info&gt;Enable Content&gt;Enable All Content</a:t>
          </a:r>
          <a:endParaRPr lang="en-AU" sz="1100">
            <a:solidFill>
              <a:srgbClr val="FF0000"/>
            </a:solidFill>
          </a:endParaRPr>
        </a:p>
        <a:p>
          <a:endParaRPr lang="en-AU" sz="1100"/>
        </a:p>
        <a:p>
          <a:endParaRPr lang="en-AU" sz="1100"/>
        </a:p>
        <a:p>
          <a:endParaRPr lang="en-AU" sz="1100"/>
        </a:p>
        <a:p>
          <a:endParaRPr lang="en-AU"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40</xdr:row>
          <xdr:rowOff>28575</xdr:rowOff>
        </xdr:from>
        <xdr:to>
          <xdr:col>1</xdr:col>
          <xdr:colOff>1019175</xdr:colOff>
          <xdr:row>43</xdr:row>
          <xdr:rowOff>171450</xdr:rowOff>
        </xdr:to>
        <xdr:sp macro="" textlink="">
          <xdr:nvSpPr>
            <xdr:cNvPr id="6172" name="Group Box 28" hidden="1">
              <a:extLst>
                <a:ext uri="{63B3BB69-23CF-44E3-9099-C40C66FF867C}">
                  <a14:compatExt spid="_x0000_s6172"/>
                </a:ext>
                <a:ext uri="{FF2B5EF4-FFF2-40B4-BE49-F238E27FC236}">
                  <a16:creationId xmlns:a16="http://schemas.microsoft.com/office/drawing/2014/main" id="{00000000-0008-0000-0100-00001C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ea typeface="Segoe UI"/>
                  <a:cs typeface="Segoe UI"/>
                </a:rPr>
                <a:t>Control Panel</a:t>
              </a:r>
            </a:p>
          </xdr:txBody>
        </xdr:sp>
        <xdr:clientData/>
      </xdr:twoCellAnchor>
    </mc:Choice>
    <mc:Fallback/>
  </mc:AlternateContent>
  <xdr:twoCellAnchor editAs="oneCell">
    <xdr:from>
      <xdr:col>0</xdr:col>
      <xdr:colOff>113469</xdr:colOff>
      <xdr:row>40</xdr:row>
      <xdr:rowOff>134278</xdr:rowOff>
    </xdr:from>
    <xdr:to>
      <xdr:col>0</xdr:col>
      <xdr:colOff>542014</xdr:colOff>
      <xdr:row>43</xdr:row>
      <xdr:rowOff>127072</xdr:rowOff>
    </xdr:to>
    <xdr:pic macro="[0]!AutoFitColumn">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113469" y="7773328"/>
          <a:ext cx="426640" cy="562389"/>
        </a:xfrm>
        <a:prstGeom prst="rect">
          <a:avLst/>
        </a:prstGeom>
      </xdr:spPr>
    </xdr:pic>
    <xdr:clientData/>
  </xdr:twoCellAnchor>
  <xdr:twoCellAnchor>
    <xdr:from>
      <xdr:col>1</xdr:col>
      <xdr:colOff>881743</xdr:colOff>
      <xdr:row>1</xdr:row>
      <xdr:rowOff>186417</xdr:rowOff>
    </xdr:from>
    <xdr:to>
      <xdr:col>1</xdr:col>
      <xdr:colOff>1027870</xdr:colOff>
      <xdr:row>3</xdr:row>
      <xdr:rowOff>180977</xdr:rowOff>
    </xdr:to>
    <xdr:grpSp>
      <xdr:nvGrpSpPr>
        <xdr:cNvPr id="19" name="Group 18">
          <a:extLst>
            <a:ext uri="{FF2B5EF4-FFF2-40B4-BE49-F238E27FC236}">
              <a16:creationId xmlns:a16="http://schemas.microsoft.com/office/drawing/2014/main" id="{00000000-0008-0000-0100-000013000000}"/>
            </a:ext>
          </a:extLst>
        </xdr:cNvPr>
        <xdr:cNvGrpSpPr/>
      </xdr:nvGrpSpPr>
      <xdr:grpSpPr>
        <a:xfrm>
          <a:off x="1935096" y="376917"/>
          <a:ext cx="146127" cy="375560"/>
          <a:chOff x="4370613" y="2128157"/>
          <a:chExt cx="146127" cy="375560"/>
        </a:xfrm>
      </xdr:grpSpPr>
      <xdr:sp macro="[0]!AddAssessment" textlink="">
        <xdr:nvSpPr>
          <xdr:cNvPr id="20" name="Trapezoid 19">
            <a:extLst>
              <a:ext uri="{FF2B5EF4-FFF2-40B4-BE49-F238E27FC236}">
                <a16:creationId xmlns:a16="http://schemas.microsoft.com/office/drawing/2014/main" id="{00000000-0008-0000-0100-000014000000}"/>
              </a:ext>
            </a:extLst>
          </xdr:cNvPr>
          <xdr:cNvSpPr/>
        </xdr:nvSpPr>
        <xdr:spPr>
          <a:xfrm rot="5400000">
            <a:off x="4255897" y="2242873"/>
            <a:ext cx="375560" cy="146127"/>
          </a:xfrm>
          <a:prstGeom prst="trapezoid">
            <a:avLst>
              <a:gd name="adj" fmla="val 0"/>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21" name="Cross 20">
            <a:extLst>
              <a:ext uri="{FF2B5EF4-FFF2-40B4-BE49-F238E27FC236}">
                <a16:creationId xmlns:a16="http://schemas.microsoft.com/office/drawing/2014/main" id="{00000000-0008-0000-0100-000015000000}"/>
              </a:ext>
            </a:extLst>
          </xdr:cNvPr>
          <xdr:cNvSpPr/>
        </xdr:nvSpPr>
        <xdr:spPr>
          <a:xfrm>
            <a:off x="4395479" y="2265431"/>
            <a:ext cx="96396" cy="101011"/>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0</xdr:col>
      <xdr:colOff>12247</xdr:colOff>
      <xdr:row>1</xdr:row>
      <xdr:rowOff>186418</xdr:rowOff>
    </xdr:from>
    <xdr:to>
      <xdr:col>0</xdr:col>
      <xdr:colOff>158374</xdr:colOff>
      <xdr:row>3</xdr:row>
      <xdr:rowOff>180978</xdr:rowOff>
    </xdr:to>
    <xdr:grpSp>
      <xdr:nvGrpSpPr>
        <xdr:cNvPr id="25" name="Group 24">
          <a:extLst>
            <a:ext uri="{FF2B5EF4-FFF2-40B4-BE49-F238E27FC236}">
              <a16:creationId xmlns:a16="http://schemas.microsoft.com/office/drawing/2014/main" id="{00000000-0008-0000-0100-000019000000}"/>
            </a:ext>
          </a:extLst>
        </xdr:cNvPr>
        <xdr:cNvGrpSpPr/>
      </xdr:nvGrpSpPr>
      <xdr:grpSpPr>
        <a:xfrm>
          <a:off x="12247" y="376918"/>
          <a:ext cx="146127" cy="375560"/>
          <a:chOff x="4659085" y="2122715"/>
          <a:chExt cx="146127" cy="375560"/>
        </a:xfrm>
      </xdr:grpSpPr>
      <xdr:sp macro="[0]!DeleteLastAssess" textlink="">
        <xdr:nvSpPr>
          <xdr:cNvPr id="26" name="Trapezoid 25">
            <a:extLst>
              <a:ext uri="{FF2B5EF4-FFF2-40B4-BE49-F238E27FC236}">
                <a16:creationId xmlns:a16="http://schemas.microsoft.com/office/drawing/2014/main" id="{00000000-0008-0000-0100-00001A000000}"/>
              </a:ext>
            </a:extLst>
          </xdr:cNvPr>
          <xdr:cNvSpPr/>
        </xdr:nvSpPr>
        <xdr:spPr>
          <a:xfrm rot="5400000">
            <a:off x="4544369" y="2237431"/>
            <a:ext cx="375560" cy="146127"/>
          </a:xfrm>
          <a:prstGeom prst="trapezoid">
            <a:avLst>
              <a:gd name="adj" fmla="val 0"/>
            </a:avLst>
          </a:prstGeom>
          <a:solidFill>
            <a:srgbClr val="F2A2A2"/>
          </a:solidFill>
          <a:ln>
            <a:solidFill>
              <a:srgbClr val="F2A2A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DeleteLastAssess" textlink="">
        <xdr:nvSpPr>
          <xdr:cNvPr id="27" name="Minus Sign 26">
            <a:extLst>
              <a:ext uri="{FF2B5EF4-FFF2-40B4-BE49-F238E27FC236}">
                <a16:creationId xmlns:a16="http://schemas.microsoft.com/office/drawing/2014/main" id="{00000000-0008-0000-0100-00001B000000}"/>
              </a:ext>
            </a:extLst>
          </xdr:cNvPr>
          <xdr:cNvSpPr/>
        </xdr:nvSpPr>
        <xdr:spPr>
          <a:xfrm>
            <a:off x="4677721" y="2287635"/>
            <a:ext cx="108857" cy="45719"/>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1</xdr:col>
      <xdr:colOff>506015</xdr:colOff>
      <xdr:row>40</xdr:row>
      <xdr:rowOff>136892</xdr:rowOff>
    </xdr:from>
    <xdr:to>
      <xdr:col>1</xdr:col>
      <xdr:colOff>932497</xdr:colOff>
      <xdr:row>43</xdr:row>
      <xdr:rowOff>124457</xdr:rowOff>
    </xdr:to>
    <xdr:pic macro="[0]!SortFunctionAscend">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a:stretch>
          <a:fillRect/>
        </a:stretch>
      </xdr:blipFill>
      <xdr:spPr>
        <a:xfrm>
          <a:off x="1553765" y="7775942"/>
          <a:ext cx="422672" cy="557160"/>
        </a:xfrm>
        <a:prstGeom prst="rect">
          <a:avLst/>
        </a:prstGeom>
      </xdr:spPr>
    </xdr:pic>
    <xdr:clientData/>
  </xdr:twoCellAnchor>
  <xdr:twoCellAnchor editAs="oneCell">
    <xdr:from>
      <xdr:col>0</xdr:col>
      <xdr:colOff>593011</xdr:colOff>
      <xdr:row>40</xdr:row>
      <xdr:rowOff>134485</xdr:rowOff>
    </xdr:from>
    <xdr:to>
      <xdr:col>0</xdr:col>
      <xdr:colOff>1017431</xdr:colOff>
      <xdr:row>43</xdr:row>
      <xdr:rowOff>126865</xdr:rowOff>
    </xdr:to>
    <xdr:pic macro="[0]!HideUnusedColumns">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3"/>
        <a:stretch>
          <a:fillRect/>
        </a:stretch>
      </xdr:blipFill>
      <xdr:spPr>
        <a:xfrm>
          <a:off x="593011" y="7773535"/>
          <a:ext cx="426325" cy="561975"/>
        </a:xfrm>
        <a:prstGeom prst="rect">
          <a:avLst/>
        </a:prstGeom>
      </xdr:spPr>
    </xdr:pic>
    <xdr:clientData/>
  </xdr:twoCellAnchor>
  <xdr:twoCellAnchor editAs="oneCell">
    <xdr:from>
      <xdr:col>1</xdr:col>
      <xdr:colOff>24488</xdr:colOff>
      <xdr:row>40</xdr:row>
      <xdr:rowOff>132969</xdr:rowOff>
    </xdr:from>
    <xdr:to>
      <xdr:col>1</xdr:col>
      <xdr:colOff>451208</xdr:colOff>
      <xdr:row>43</xdr:row>
      <xdr:rowOff>130285</xdr:rowOff>
    </xdr:to>
    <xdr:pic macro="[0]!ShowAllColumns">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1072238" y="7772019"/>
          <a:ext cx="428625" cy="565006"/>
        </a:xfrm>
        <a:prstGeom prst="rect">
          <a:avLst/>
        </a:prstGeom>
      </xdr:spPr>
    </xdr:pic>
    <xdr:clientData/>
  </xdr:twoCellAnchor>
  <xdr:twoCellAnchor>
    <xdr:from>
      <xdr:col>0</xdr:col>
      <xdr:colOff>333375</xdr:colOff>
      <xdr:row>44</xdr:row>
      <xdr:rowOff>47625</xdr:rowOff>
    </xdr:from>
    <xdr:to>
      <xdr:col>1</xdr:col>
      <xdr:colOff>828674</xdr:colOff>
      <xdr:row>46</xdr:row>
      <xdr:rowOff>144461</xdr:rowOff>
    </xdr:to>
    <xdr:grpSp>
      <xdr:nvGrpSpPr>
        <xdr:cNvPr id="13" name="Group 12">
          <a:extLst>
            <a:ext uri="{FF2B5EF4-FFF2-40B4-BE49-F238E27FC236}">
              <a16:creationId xmlns:a16="http://schemas.microsoft.com/office/drawing/2014/main" id="{00000000-0008-0000-0100-00000D000000}"/>
            </a:ext>
          </a:extLst>
        </xdr:cNvPr>
        <xdr:cNvGrpSpPr/>
      </xdr:nvGrpSpPr>
      <xdr:grpSpPr>
        <a:xfrm>
          <a:off x="333375" y="8452037"/>
          <a:ext cx="1548652" cy="477836"/>
          <a:chOff x="699989" y="3255968"/>
          <a:chExt cx="1884534" cy="576892"/>
        </a:xfrm>
      </xdr:grpSpPr>
      <xdr:pic macro="[0]!AddEOSAssessment">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837473B0-CC2E-450A-ABE3-18F120FF3D39}">
                <a1611:picAttrSrcUrl xmlns:a1611="http://schemas.microsoft.com/office/drawing/2016/11/main" r:id="rId6"/>
              </a:ext>
            </a:extLst>
          </a:blip>
          <a:stretch>
            <a:fillRect/>
          </a:stretch>
        </xdr:blipFill>
        <xdr:spPr>
          <a:xfrm>
            <a:off x="1391514" y="3303859"/>
            <a:ext cx="501483" cy="481110"/>
          </a:xfrm>
          <a:prstGeom prst="rect">
            <a:avLst/>
          </a:prstGeom>
        </xdr:spPr>
      </xdr:pic>
      <xdr:sp macro="[0]!AddEOSAssessment" textlink="">
        <xdr:nvSpPr>
          <xdr:cNvPr id="15" name="Rectangle 14">
            <a:extLst>
              <a:ext uri="{FF2B5EF4-FFF2-40B4-BE49-F238E27FC236}">
                <a16:creationId xmlns:a16="http://schemas.microsoft.com/office/drawing/2014/main" id="{00000000-0008-0000-0100-00000F000000}"/>
              </a:ext>
            </a:extLst>
          </xdr:cNvPr>
          <xdr:cNvSpPr/>
        </xdr:nvSpPr>
        <xdr:spPr>
          <a:xfrm>
            <a:off x="699989" y="3255968"/>
            <a:ext cx="1884534" cy="576892"/>
          </a:xfrm>
          <a:prstGeom prst="rect">
            <a:avLst/>
          </a:prstGeom>
          <a:ln w="28575"/>
        </xdr:spPr>
        <xdr:style>
          <a:lnRef idx="1">
            <a:schemeClr val="dk1"/>
          </a:lnRef>
          <a:fillRef idx="0">
            <a:schemeClr val="dk1"/>
          </a:fillRef>
          <a:effectRef idx="0">
            <a:schemeClr val="dk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AU"/>
          </a:p>
        </xdr:txBody>
      </xdr:sp>
    </xdr:grpSp>
    <xdr:clientData/>
  </xdr:twoCellAnchor>
  <xdr:twoCellAnchor editAs="oneCell">
    <xdr:from>
      <xdr:col>1</xdr:col>
      <xdr:colOff>581025</xdr:colOff>
      <xdr:row>45</xdr:row>
      <xdr:rowOff>104775</xdr:rowOff>
    </xdr:from>
    <xdr:to>
      <xdr:col>1</xdr:col>
      <xdr:colOff>812528</xdr:colOff>
      <xdr:row>46</xdr:row>
      <xdr:rowOff>145778</xdr:rowOff>
    </xdr:to>
    <xdr:pic macro="[0]!DeleteEOSAssessment">
      <xdr:nvPicPr>
        <xdr:cNvPr id="16" name="Graphic 13" descr="Line arrow Rotate left">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628775" y="8696325"/>
          <a:ext cx="231503" cy="231503"/>
        </a:xfrm>
        <a:prstGeom prst="rect">
          <a:avLst/>
        </a:prstGeom>
      </xdr:spPr>
    </xdr:pic>
    <xdr:clientData/>
  </xdr:twoCellAnchor>
  <xdr:twoCellAnchor>
    <xdr:from>
      <xdr:col>0</xdr:col>
      <xdr:colOff>381000</xdr:colOff>
      <xdr:row>45</xdr:row>
      <xdr:rowOff>95251</xdr:rowOff>
    </xdr:from>
    <xdr:to>
      <xdr:col>0</xdr:col>
      <xdr:colOff>672499</xdr:colOff>
      <xdr:row>46</xdr:row>
      <xdr:rowOff>95250</xdr:rowOff>
    </xdr:to>
    <xdr:grpSp>
      <xdr:nvGrpSpPr>
        <xdr:cNvPr id="17" name="Group 16">
          <a:extLst>
            <a:ext uri="{FF2B5EF4-FFF2-40B4-BE49-F238E27FC236}">
              <a16:creationId xmlns:a16="http://schemas.microsoft.com/office/drawing/2014/main" id="{00000000-0008-0000-0100-000011000000}"/>
            </a:ext>
          </a:extLst>
        </xdr:cNvPr>
        <xdr:cNvGrpSpPr/>
      </xdr:nvGrpSpPr>
      <xdr:grpSpPr>
        <a:xfrm>
          <a:off x="381000" y="8690163"/>
          <a:ext cx="291499" cy="190499"/>
          <a:chOff x="6126341" y="2133035"/>
          <a:chExt cx="337782" cy="220745"/>
        </a:xfrm>
      </xdr:grpSpPr>
      <xdr:pic macro="[0]!ShowOnlyEOSAssessment">
        <xdr:nvPicPr>
          <xdr:cNvPr id="18" name="Picture 17" descr="Related image">
            <a:extLst>
              <a:ext uri="{FF2B5EF4-FFF2-40B4-BE49-F238E27FC236}">
                <a16:creationId xmlns:a16="http://schemas.microsoft.com/office/drawing/2014/main" id="{00000000-0008-0000-0100-000012000000}"/>
              </a:ext>
            </a:extLst>
          </xdr:cNvPr>
          <xdr:cNvPicPr>
            <a:picLocks noChangeAspect="1" noChangeArrowheads="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11779" t="27760" r="8666" b="29777"/>
          <a:stretch/>
        </xdr:blipFill>
        <xdr:spPr bwMode="auto">
          <a:xfrm>
            <a:off x="6126341" y="2158224"/>
            <a:ext cx="337782" cy="180292"/>
          </a:xfrm>
          <a:prstGeom prst="rect">
            <a:avLst/>
          </a:prstGeom>
          <a:noFill/>
          <a:extLst>
            <a:ext uri="{909E8E84-426E-40DD-AFC4-6F175D3DCCD1}">
              <a14:hiddenFill xmlns:a14="http://schemas.microsoft.com/office/drawing/2010/main">
                <a:solidFill>
                  <a:srgbClr val="FFFFFF"/>
                </a:solidFill>
              </a14:hiddenFill>
            </a:ext>
          </a:extLst>
        </xdr:spPr>
      </xdr:pic>
      <xdr:cxnSp macro="[0]!ShowOnlyEOSAssessment">
        <xdr:nvCxnSpPr>
          <xdr:cNvPr id="22" name="Straight Connector 21">
            <a:extLst>
              <a:ext uri="{FF2B5EF4-FFF2-40B4-BE49-F238E27FC236}">
                <a16:creationId xmlns:a16="http://schemas.microsoft.com/office/drawing/2014/main" id="{00000000-0008-0000-0100-000016000000}"/>
              </a:ext>
            </a:extLst>
          </xdr:cNvPr>
          <xdr:cNvCxnSpPr>
            <a:cxnSpLocks/>
          </xdr:cNvCxnSpPr>
        </xdr:nvCxnSpPr>
        <xdr:spPr>
          <a:xfrm>
            <a:off x="6176963" y="2133035"/>
            <a:ext cx="234794" cy="220745"/>
          </a:xfrm>
          <a:prstGeom prst="line">
            <a:avLst/>
          </a:prstGeom>
          <a:ln w="28575"/>
        </xdr:spPr>
        <xdr:style>
          <a:lnRef idx="1">
            <a:schemeClr val="dk1"/>
          </a:lnRef>
          <a:fillRef idx="0">
            <a:schemeClr val="dk1"/>
          </a:fillRef>
          <a:effectRef idx="0">
            <a:schemeClr val="dk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40</xdr:row>
          <xdr:rowOff>28575</xdr:rowOff>
        </xdr:from>
        <xdr:to>
          <xdr:col>1</xdr:col>
          <xdr:colOff>1019175</xdr:colOff>
          <xdr:row>43</xdr:row>
          <xdr:rowOff>171450</xdr:rowOff>
        </xdr:to>
        <xdr:sp macro="" textlink="">
          <xdr:nvSpPr>
            <xdr:cNvPr id="28673" name="Group Box 1" hidden="1">
              <a:extLst>
                <a:ext uri="{63B3BB69-23CF-44E3-9099-C40C66FF867C}">
                  <a14:compatExt spid="_x0000_s28673"/>
                </a:ext>
                <a:ext uri="{FF2B5EF4-FFF2-40B4-BE49-F238E27FC236}">
                  <a16:creationId xmlns:a16="http://schemas.microsoft.com/office/drawing/2014/main" id="{00000000-0008-0000-0200-000001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ea typeface="Segoe UI"/>
                  <a:cs typeface="Segoe UI"/>
                </a:rPr>
                <a:t>Control Panel</a:t>
              </a:r>
            </a:p>
          </xdr:txBody>
        </xdr:sp>
        <xdr:clientData/>
      </xdr:twoCellAnchor>
    </mc:Choice>
    <mc:Fallback/>
  </mc:AlternateContent>
  <xdr:twoCellAnchor editAs="oneCell">
    <xdr:from>
      <xdr:col>0</xdr:col>
      <xdr:colOff>113469</xdr:colOff>
      <xdr:row>40</xdr:row>
      <xdr:rowOff>134278</xdr:rowOff>
    </xdr:from>
    <xdr:to>
      <xdr:col>0</xdr:col>
      <xdr:colOff>553444</xdr:colOff>
      <xdr:row>43</xdr:row>
      <xdr:rowOff>134692</xdr:rowOff>
    </xdr:to>
    <xdr:pic macro="[0]!AutoFitColumn">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113469" y="7773328"/>
          <a:ext cx="426640" cy="562389"/>
        </a:xfrm>
        <a:prstGeom prst="rect">
          <a:avLst/>
        </a:prstGeom>
      </xdr:spPr>
    </xdr:pic>
    <xdr:clientData/>
  </xdr:twoCellAnchor>
  <xdr:twoCellAnchor>
    <xdr:from>
      <xdr:col>1</xdr:col>
      <xdr:colOff>881743</xdr:colOff>
      <xdr:row>1</xdr:row>
      <xdr:rowOff>186417</xdr:rowOff>
    </xdr:from>
    <xdr:to>
      <xdr:col>1</xdr:col>
      <xdr:colOff>1027870</xdr:colOff>
      <xdr:row>3</xdr:row>
      <xdr:rowOff>180977</xdr:rowOff>
    </xdr:to>
    <xdr:grpSp>
      <xdr:nvGrpSpPr>
        <xdr:cNvPr id="4" name="Group 3">
          <a:extLst>
            <a:ext uri="{FF2B5EF4-FFF2-40B4-BE49-F238E27FC236}">
              <a16:creationId xmlns:a16="http://schemas.microsoft.com/office/drawing/2014/main" id="{00000000-0008-0000-0200-000004000000}"/>
            </a:ext>
          </a:extLst>
        </xdr:cNvPr>
        <xdr:cNvGrpSpPr/>
      </xdr:nvGrpSpPr>
      <xdr:grpSpPr>
        <a:xfrm>
          <a:off x="1935096" y="376917"/>
          <a:ext cx="146127" cy="375560"/>
          <a:chOff x="4370613" y="2128157"/>
          <a:chExt cx="146127" cy="375560"/>
        </a:xfrm>
      </xdr:grpSpPr>
      <xdr:sp macro="[0]!AddAssessment" textlink="">
        <xdr:nvSpPr>
          <xdr:cNvPr id="5" name="Trapezoid 4">
            <a:extLst>
              <a:ext uri="{FF2B5EF4-FFF2-40B4-BE49-F238E27FC236}">
                <a16:creationId xmlns:a16="http://schemas.microsoft.com/office/drawing/2014/main" id="{00000000-0008-0000-0200-000005000000}"/>
              </a:ext>
            </a:extLst>
          </xdr:cNvPr>
          <xdr:cNvSpPr/>
        </xdr:nvSpPr>
        <xdr:spPr>
          <a:xfrm rot="5400000">
            <a:off x="4255897" y="2242873"/>
            <a:ext cx="375560" cy="146127"/>
          </a:xfrm>
          <a:prstGeom prst="trapezoid">
            <a:avLst>
              <a:gd name="adj" fmla="val 0"/>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6" name="Cross 5">
            <a:extLst>
              <a:ext uri="{FF2B5EF4-FFF2-40B4-BE49-F238E27FC236}">
                <a16:creationId xmlns:a16="http://schemas.microsoft.com/office/drawing/2014/main" id="{00000000-0008-0000-0200-000006000000}"/>
              </a:ext>
            </a:extLst>
          </xdr:cNvPr>
          <xdr:cNvSpPr/>
        </xdr:nvSpPr>
        <xdr:spPr>
          <a:xfrm>
            <a:off x="4395479" y="2265431"/>
            <a:ext cx="96396" cy="101011"/>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0</xdr:col>
      <xdr:colOff>12247</xdr:colOff>
      <xdr:row>1</xdr:row>
      <xdr:rowOff>186418</xdr:rowOff>
    </xdr:from>
    <xdr:to>
      <xdr:col>0</xdr:col>
      <xdr:colOff>158374</xdr:colOff>
      <xdr:row>3</xdr:row>
      <xdr:rowOff>180978</xdr:rowOff>
    </xdr:to>
    <xdr:grpSp>
      <xdr:nvGrpSpPr>
        <xdr:cNvPr id="7" name="Group 6">
          <a:extLst>
            <a:ext uri="{FF2B5EF4-FFF2-40B4-BE49-F238E27FC236}">
              <a16:creationId xmlns:a16="http://schemas.microsoft.com/office/drawing/2014/main" id="{00000000-0008-0000-0200-000007000000}"/>
            </a:ext>
          </a:extLst>
        </xdr:cNvPr>
        <xdr:cNvGrpSpPr/>
      </xdr:nvGrpSpPr>
      <xdr:grpSpPr>
        <a:xfrm>
          <a:off x="12247" y="376918"/>
          <a:ext cx="146127" cy="375560"/>
          <a:chOff x="4659085" y="2122715"/>
          <a:chExt cx="146127" cy="375560"/>
        </a:xfrm>
      </xdr:grpSpPr>
      <xdr:sp macro="[0]!DeleteLastAssess" textlink="">
        <xdr:nvSpPr>
          <xdr:cNvPr id="8" name="Trapezoid 7">
            <a:extLst>
              <a:ext uri="{FF2B5EF4-FFF2-40B4-BE49-F238E27FC236}">
                <a16:creationId xmlns:a16="http://schemas.microsoft.com/office/drawing/2014/main" id="{00000000-0008-0000-0200-000008000000}"/>
              </a:ext>
            </a:extLst>
          </xdr:cNvPr>
          <xdr:cNvSpPr/>
        </xdr:nvSpPr>
        <xdr:spPr>
          <a:xfrm rot="5400000">
            <a:off x="4544369" y="2237431"/>
            <a:ext cx="375560" cy="146127"/>
          </a:xfrm>
          <a:prstGeom prst="trapezoid">
            <a:avLst>
              <a:gd name="adj" fmla="val 0"/>
            </a:avLst>
          </a:prstGeom>
          <a:solidFill>
            <a:srgbClr val="F2A2A2"/>
          </a:solidFill>
          <a:ln>
            <a:solidFill>
              <a:srgbClr val="F2A2A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DeleteLastAssess" textlink="">
        <xdr:nvSpPr>
          <xdr:cNvPr id="9" name="Minus Sign 8">
            <a:extLst>
              <a:ext uri="{FF2B5EF4-FFF2-40B4-BE49-F238E27FC236}">
                <a16:creationId xmlns:a16="http://schemas.microsoft.com/office/drawing/2014/main" id="{00000000-0008-0000-0200-000009000000}"/>
              </a:ext>
            </a:extLst>
          </xdr:cNvPr>
          <xdr:cNvSpPr/>
        </xdr:nvSpPr>
        <xdr:spPr>
          <a:xfrm>
            <a:off x="4677721" y="2287635"/>
            <a:ext cx="108857" cy="45719"/>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1</xdr:col>
      <xdr:colOff>506015</xdr:colOff>
      <xdr:row>40</xdr:row>
      <xdr:rowOff>136892</xdr:rowOff>
    </xdr:from>
    <xdr:to>
      <xdr:col>1</xdr:col>
      <xdr:colOff>932497</xdr:colOff>
      <xdr:row>43</xdr:row>
      <xdr:rowOff>130172</xdr:rowOff>
    </xdr:to>
    <xdr:pic macro="[0]!SortFunctionAscend">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2"/>
        <a:stretch>
          <a:fillRect/>
        </a:stretch>
      </xdr:blipFill>
      <xdr:spPr>
        <a:xfrm>
          <a:off x="1553765" y="7775942"/>
          <a:ext cx="422672" cy="557160"/>
        </a:xfrm>
        <a:prstGeom prst="rect">
          <a:avLst/>
        </a:prstGeom>
      </xdr:spPr>
    </xdr:pic>
    <xdr:clientData/>
  </xdr:twoCellAnchor>
  <xdr:twoCellAnchor editAs="oneCell">
    <xdr:from>
      <xdr:col>0</xdr:col>
      <xdr:colOff>593011</xdr:colOff>
      <xdr:row>40</xdr:row>
      <xdr:rowOff>134485</xdr:rowOff>
    </xdr:from>
    <xdr:to>
      <xdr:col>0</xdr:col>
      <xdr:colOff>1011716</xdr:colOff>
      <xdr:row>43</xdr:row>
      <xdr:rowOff>134485</xdr:rowOff>
    </xdr:to>
    <xdr:pic macro="[0]!HideUnusedColumns">
      <xdr:nvPicPr>
        <xdr:cNvPr id="11" name="Picture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3"/>
        <a:stretch>
          <a:fillRect/>
        </a:stretch>
      </xdr:blipFill>
      <xdr:spPr>
        <a:xfrm>
          <a:off x="593011" y="7773535"/>
          <a:ext cx="426325" cy="561975"/>
        </a:xfrm>
        <a:prstGeom prst="rect">
          <a:avLst/>
        </a:prstGeom>
      </xdr:spPr>
    </xdr:pic>
    <xdr:clientData/>
  </xdr:twoCellAnchor>
  <xdr:twoCellAnchor editAs="oneCell">
    <xdr:from>
      <xdr:col>1</xdr:col>
      <xdr:colOff>24488</xdr:colOff>
      <xdr:row>40</xdr:row>
      <xdr:rowOff>132969</xdr:rowOff>
    </xdr:from>
    <xdr:to>
      <xdr:col>1</xdr:col>
      <xdr:colOff>441683</xdr:colOff>
      <xdr:row>43</xdr:row>
      <xdr:rowOff>130285</xdr:rowOff>
    </xdr:to>
    <xdr:pic macro="[0]!ShowAllColumns">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4"/>
        <a:stretch>
          <a:fillRect/>
        </a:stretch>
      </xdr:blipFill>
      <xdr:spPr>
        <a:xfrm>
          <a:off x="1072238" y="7772019"/>
          <a:ext cx="428625" cy="565006"/>
        </a:xfrm>
        <a:prstGeom prst="rect">
          <a:avLst/>
        </a:prstGeom>
      </xdr:spPr>
    </xdr:pic>
    <xdr:clientData/>
  </xdr:twoCellAnchor>
  <xdr:twoCellAnchor>
    <xdr:from>
      <xdr:col>0</xdr:col>
      <xdr:colOff>285750</xdr:colOff>
      <xdr:row>44</xdr:row>
      <xdr:rowOff>19050</xdr:rowOff>
    </xdr:from>
    <xdr:to>
      <xdr:col>1</xdr:col>
      <xdr:colOff>781049</xdr:colOff>
      <xdr:row>46</xdr:row>
      <xdr:rowOff>115886</xdr:rowOff>
    </xdr:to>
    <xdr:grpSp>
      <xdr:nvGrpSpPr>
        <xdr:cNvPr id="16" name="Group 15">
          <a:extLst>
            <a:ext uri="{FF2B5EF4-FFF2-40B4-BE49-F238E27FC236}">
              <a16:creationId xmlns:a16="http://schemas.microsoft.com/office/drawing/2014/main" id="{00000000-0008-0000-0200-000010000000}"/>
            </a:ext>
          </a:extLst>
        </xdr:cNvPr>
        <xdr:cNvGrpSpPr/>
      </xdr:nvGrpSpPr>
      <xdr:grpSpPr>
        <a:xfrm>
          <a:off x="285750" y="8423462"/>
          <a:ext cx="1548652" cy="477836"/>
          <a:chOff x="699989" y="3255968"/>
          <a:chExt cx="1884534" cy="576892"/>
        </a:xfrm>
      </xdr:grpSpPr>
      <xdr:pic macro="[0]!AddEOSAssessment">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837473B0-CC2E-450A-ABE3-18F120FF3D39}">
                <a1611:picAttrSrcUrl xmlns:a1611="http://schemas.microsoft.com/office/drawing/2016/11/main" r:id="rId6"/>
              </a:ext>
            </a:extLst>
          </a:blip>
          <a:stretch>
            <a:fillRect/>
          </a:stretch>
        </xdr:blipFill>
        <xdr:spPr>
          <a:xfrm>
            <a:off x="1391514" y="3303859"/>
            <a:ext cx="501483" cy="481110"/>
          </a:xfrm>
          <a:prstGeom prst="rect">
            <a:avLst/>
          </a:prstGeom>
        </xdr:spPr>
      </xdr:pic>
      <xdr:sp macro="[0]!AddEOSAssessment" textlink="">
        <xdr:nvSpPr>
          <xdr:cNvPr id="18" name="Rectangle 17">
            <a:extLst>
              <a:ext uri="{FF2B5EF4-FFF2-40B4-BE49-F238E27FC236}">
                <a16:creationId xmlns:a16="http://schemas.microsoft.com/office/drawing/2014/main" id="{00000000-0008-0000-0200-000012000000}"/>
              </a:ext>
            </a:extLst>
          </xdr:cNvPr>
          <xdr:cNvSpPr/>
        </xdr:nvSpPr>
        <xdr:spPr>
          <a:xfrm>
            <a:off x="699989" y="3255968"/>
            <a:ext cx="1884534" cy="576892"/>
          </a:xfrm>
          <a:prstGeom prst="rect">
            <a:avLst/>
          </a:prstGeom>
          <a:ln w="28575"/>
        </xdr:spPr>
        <xdr:style>
          <a:lnRef idx="1">
            <a:schemeClr val="dk1"/>
          </a:lnRef>
          <a:fillRef idx="0">
            <a:schemeClr val="dk1"/>
          </a:fillRef>
          <a:effectRef idx="0">
            <a:schemeClr val="dk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AU"/>
          </a:p>
        </xdr:txBody>
      </xdr:sp>
    </xdr:grpSp>
    <xdr:clientData/>
  </xdr:twoCellAnchor>
  <xdr:twoCellAnchor editAs="oneCell">
    <xdr:from>
      <xdr:col>1</xdr:col>
      <xdr:colOff>533400</xdr:colOff>
      <xdr:row>45</xdr:row>
      <xdr:rowOff>76200</xdr:rowOff>
    </xdr:from>
    <xdr:to>
      <xdr:col>1</xdr:col>
      <xdr:colOff>764903</xdr:colOff>
      <xdr:row>46</xdr:row>
      <xdr:rowOff>117203</xdr:rowOff>
    </xdr:to>
    <xdr:pic macro="[0]!DeleteEOSAssessment">
      <xdr:nvPicPr>
        <xdr:cNvPr id="22" name="Graphic 13" descr="Line arrow Rotate left">
          <a:extLst>
            <a:ext uri="{FF2B5EF4-FFF2-40B4-BE49-F238E27FC236}">
              <a16:creationId xmlns:a16="http://schemas.microsoft.com/office/drawing/2014/main" id="{00000000-0008-0000-0200-000016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581150" y="8667750"/>
          <a:ext cx="231503" cy="231503"/>
        </a:xfrm>
        <a:prstGeom prst="rect">
          <a:avLst/>
        </a:prstGeom>
      </xdr:spPr>
    </xdr:pic>
    <xdr:clientData/>
  </xdr:twoCellAnchor>
  <xdr:twoCellAnchor>
    <xdr:from>
      <xdr:col>0</xdr:col>
      <xdr:colOff>381000</xdr:colOff>
      <xdr:row>45</xdr:row>
      <xdr:rowOff>57150</xdr:rowOff>
    </xdr:from>
    <xdr:to>
      <xdr:col>0</xdr:col>
      <xdr:colOff>672499</xdr:colOff>
      <xdr:row>46</xdr:row>
      <xdr:rowOff>57149</xdr:rowOff>
    </xdr:to>
    <xdr:grpSp>
      <xdr:nvGrpSpPr>
        <xdr:cNvPr id="23" name="Group 22">
          <a:extLst>
            <a:ext uri="{FF2B5EF4-FFF2-40B4-BE49-F238E27FC236}">
              <a16:creationId xmlns:a16="http://schemas.microsoft.com/office/drawing/2014/main" id="{00000000-0008-0000-0200-000017000000}"/>
            </a:ext>
          </a:extLst>
        </xdr:cNvPr>
        <xdr:cNvGrpSpPr/>
      </xdr:nvGrpSpPr>
      <xdr:grpSpPr>
        <a:xfrm>
          <a:off x="381000" y="8652062"/>
          <a:ext cx="291499" cy="190499"/>
          <a:chOff x="6126341" y="2133035"/>
          <a:chExt cx="337782" cy="220745"/>
        </a:xfrm>
      </xdr:grpSpPr>
      <xdr:pic macro="[0]!ShowOnlyEOSAssessment">
        <xdr:nvPicPr>
          <xdr:cNvPr id="24" name="Picture 23" descr="Related image">
            <a:extLst>
              <a:ext uri="{FF2B5EF4-FFF2-40B4-BE49-F238E27FC236}">
                <a16:creationId xmlns:a16="http://schemas.microsoft.com/office/drawing/2014/main" id="{00000000-0008-0000-0200-000018000000}"/>
              </a:ext>
            </a:extLst>
          </xdr:cNvPr>
          <xdr:cNvPicPr>
            <a:picLocks noChangeAspect="1" noChangeArrowheads="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11779" t="27760" r="8666" b="29777"/>
          <a:stretch/>
        </xdr:blipFill>
        <xdr:spPr bwMode="auto">
          <a:xfrm>
            <a:off x="6126341" y="2158224"/>
            <a:ext cx="337782" cy="180292"/>
          </a:xfrm>
          <a:prstGeom prst="rect">
            <a:avLst/>
          </a:prstGeom>
          <a:noFill/>
          <a:extLst>
            <a:ext uri="{909E8E84-426E-40DD-AFC4-6F175D3DCCD1}">
              <a14:hiddenFill xmlns:a14="http://schemas.microsoft.com/office/drawing/2010/main">
                <a:solidFill>
                  <a:srgbClr val="FFFFFF"/>
                </a:solidFill>
              </a14:hiddenFill>
            </a:ext>
          </a:extLst>
        </xdr:spPr>
      </xdr:pic>
      <xdr:cxnSp macro="[0]!ShowOnlyEOSAssessment">
        <xdr:nvCxnSpPr>
          <xdr:cNvPr id="25" name="Straight Connector 24">
            <a:extLst>
              <a:ext uri="{FF2B5EF4-FFF2-40B4-BE49-F238E27FC236}">
                <a16:creationId xmlns:a16="http://schemas.microsoft.com/office/drawing/2014/main" id="{00000000-0008-0000-0200-000019000000}"/>
              </a:ext>
            </a:extLst>
          </xdr:cNvPr>
          <xdr:cNvCxnSpPr>
            <a:cxnSpLocks/>
          </xdr:cNvCxnSpPr>
        </xdr:nvCxnSpPr>
        <xdr:spPr>
          <a:xfrm>
            <a:off x="6176963" y="2133035"/>
            <a:ext cx="234794" cy="220745"/>
          </a:xfrm>
          <a:prstGeom prst="line">
            <a:avLst/>
          </a:prstGeom>
          <a:ln w="28575"/>
        </xdr:spPr>
        <xdr:style>
          <a:lnRef idx="1">
            <a:schemeClr val="dk1"/>
          </a:lnRef>
          <a:fillRef idx="0">
            <a:schemeClr val="dk1"/>
          </a:fillRef>
          <a:effectRef idx="0">
            <a:schemeClr val="dk1"/>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xdr:oneCellAnchor>
    <xdr:from>
      <xdr:col>5</xdr:col>
      <xdr:colOff>0</xdr:colOff>
      <xdr:row>40</xdr:row>
      <xdr:rowOff>56029</xdr:rowOff>
    </xdr:from>
    <xdr:ext cx="5681555" cy="655885"/>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6924675" y="7685554"/>
          <a:ext cx="5681555" cy="655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3600" b="1">
              <a:solidFill>
                <a:srgbClr val="FF8B8B"/>
              </a:solidFill>
            </a:rPr>
            <a:t>DO NOT MODIFY THIS SHEET</a:t>
          </a:r>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1</xdr:col>
      <xdr:colOff>53838</xdr:colOff>
      <xdr:row>4</xdr:row>
      <xdr:rowOff>41413</xdr:rowOff>
    </xdr:from>
    <xdr:to>
      <xdr:col>2</xdr:col>
      <xdr:colOff>298174</xdr:colOff>
      <xdr:row>9</xdr:row>
      <xdr:rowOff>190013</xdr:rowOff>
    </xdr:to>
    <xdr:cxnSp macro="">
      <xdr:nvCxnSpPr>
        <xdr:cNvPr id="11" name="Straight Arrow Connector 10">
          <a:extLst>
            <a:ext uri="{FF2B5EF4-FFF2-40B4-BE49-F238E27FC236}">
              <a16:creationId xmlns:a16="http://schemas.microsoft.com/office/drawing/2014/main" id="{00000000-0008-0000-0500-00000B000000}"/>
            </a:ext>
          </a:extLst>
        </xdr:cNvPr>
        <xdr:cNvCxnSpPr>
          <a:stCxn id="18" idx="0"/>
        </xdr:cNvCxnSpPr>
      </xdr:nvCxnSpPr>
      <xdr:spPr>
        <a:xfrm flipV="1">
          <a:off x="749577" y="803413"/>
          <a:ext cx="940075" cy="110110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132522</xdr:colOff>
      <xdr:row>9</xdr:row>
      <xdr:rowOff>190013</xdr:rowOff>
    </xdr:from>
    <xdr:ext cx="1234109" cy="655949"/>
    <xdr:sp macro="" textlink="">
      <xdr:nvSpPr>
        <xdr:cNvPr id="18" name="TextBox 17">
          <a:extLst>
            <a:ext uri="{FF2B5EF4-FFF2-40B4-BE49-F238E27FC236}">
              <a16:creationId xmlns:a16="http://schemas.microsoft.com/office/drawing/2014/main" id="{00000000-0008-0000-0500-000012000000}"/>
            </a:ext>
          </a:extLst>
        </xdr:cNvPr>
        <xdr:cNvSpPr txBox="1"/>
      </xdr:nvSpPr>
      <xdr:spPr>
        <a:xfrm>
          <a:off x="132522" y="1904513"/>
          <a:ext cx="1234109"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Input the mark type</a:t>
          </a:r>
          <a:r>
            <a:rPr lang="en-AU" sz="1200" baseline="0">
              <a:solidFill>
                <a:srgbClr val="FF0000"/>
              </a:solidFill>
            </a:rPr>
            <a:t> &amp; the </a:t>
          </a:r>
          <a:r>
            <a:rPr lang="en-AU" sz="1200">
              <a:solidFill>
                <a:srgbClr val="FF0000"/>
              </a:solidFill>
            </a:rPr>
            <a:t>Max allowable Marks </a:t>
          </a:r>
        </a:p>
      </xdr:txBody>
    </xdr:sp>
    <xdr:clientData/>
  </xdr:oneCellAnchor>
  <xdr:oneCellAnchor>
    <xdr:from>
      <xdr:col>2</xdr:col>
      <xdr:colOff>476497</xdr:colOff>
      <xdr:row>22</xdr:row>
      <xdr:rowOff>151524</xdr:rowOff>
    </xdr:from>
    <xdr:ext cx="1389530" cy="843821"/>
    <xdr:sp macro="" textlink="">
      <xdr:nvSpPr>
        <xdr:cNvPr id="24" name="TextBox 23">
          <a:extLst>
            <a:ext uri="{FF2B5EF4-FFF2-40B4-BE49-F238E27FC236}">
              <a16:creationId xmlns:a16="http://schemas.microsoft.com/office/drawing/2014/main" id="{00000000-0008-0000-0500-000018000000}"/>
            </a:ext>
          </a:extLst>
        </xdr:cNvPr>
        <xdr:cNvSpPr txBox="1"/>
      </xdr:nvSpPr>
      <xdr:spPr>
        <a:xfrm>
          <a:off x="1867975" y="4342524"/>
          <a:ext cx="1389530"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If</a:t>
          </a:r>
          <a:r>
            <a:rPr lang="en-AU" sz="1200" baseline="0">
              <a:solidFill>
                <a:srgbClr val="FF0000"/>
              </a:solidFill>
            </a:rPr>
            <a:t> Rows are not used, hide them with the button below</a:t>
          </a:r>
          <a:endParaRPr lang="en-AU" sz="1200">
            <a:solidFill>
              <a:srgbClr val="FF0000"/>
            </a:solidFill>
          </a:endParaRPr>
        </a:p>
      </xdr:txBody>
    </xdr:sp>
    <xdr:clientData/>
  </xdr:oneCellAnchor>
  <xdr:oneCellAnchor>
    <xdr:from>
      <xdr:col>12</xdr:col>
      <xdr:colOff>522001</xdr:colOff>
      <xdr:row>11</xdr:row>
      <xdr:rowOff>178614</xdr:rowOff>
    </xdr:from>
    <xdr:ext cx="2857500" cy="1720599"/>
    <xdr:sp macro="" textlink="">
      <xdr:nvSpPr>
        <xdr:cNvPr id="31" name="TextBox 30">
          <a:extLst>
            <a:ext uri="{FF2B5EF4-FFF2-40B4-BE49-F238E27FC236}">
              <a16:creationId xmlns:a16="http://schemas.microsoft.com/office/drawing/2014/main" id="{00000000-0008-0000-0500-00001F000000}"/>
            </a:ext>
          </a:extLst>
        </xdr:cNvPr>
        <xdr:cNvSpPr txBox="1"/>
      </xdr:nvSpPr>
      <xdr:spPr>
        <a:xfrm>
          <a:off x="6087914" y="2274114"/>
          <a:ext cx="2857500" cy="1720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AU" sz="1200">
              <a:solidFill>
                <a:srgbClr val="FF0000"/>
              </a:solidFill>
            </a:rPr>
            <a:t>Results Get Calculated here.</a:t>
          </a:r>
        </a:p>
        <a:p>
          <a:pPr algn="ctr"/>
          <a:r>
            <a:rPr lang="en-AU" sz="1200">
              <a:solidFill>
                <a:srgbClr val="FF0000"/>
              </a:solidFill>
            </a:rPr>
            <a:t> DO NOT MANUALLY TYPE IN HERE! (Except</a:t>
          </a:r>
          <a:r>
            <a:rPr lang="en-AU" sz="1200" baseline="0">
              <a:solidFill>
                <a:srgbClr val="FF0000"/>
              </a:solidFill>
            </a:rPr>
            <a:t> "Adj. Grade" Column)</a:t>
          </a:r>
        </a:p>
        <a:p>
          <a:pPr algn="ctr"/>
          <a:endParaRPr lang="en-AU" sz="1200" baseline="0">
            <a:solidFill>
              <a:srgbClr val="FF0000"/>
            </a:solidFill>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AU" sz="1100">
              <a:solidFill>
                <a:srgbClr val="FF0000"/>
              </a:solidFill>
              <a:effectLst/>
              <a:latin typeface="+mn-lt"/>
              <a:ea typeface="+mn-ea"/>
              <a:cs typeface="+mn-cs"/>
            </a:rPr>
            <a:t>Calculated grade will be displayed</a:t>
          </a:r>
          <a:r>
            <a:rPr lang="en-AU" sz="1100" baseline="0">
              <a:solidFill>
                <a:srgbClr val="FF0000"/>
              </a:solidFill>
              <a:effectLst/>
              <a:latin typeface="+mn-lt"/>
              <a:ea typeface="+mn-ea"/>
              <a:cs typeface="+mn-cs"/>
            </a:rPr>
            <a:t> here, by default it is rounded down. If you wish to change this grade, look in the "Adj. Grade" column.</a:t>
          </a:r>
          <a:endParaRPr lang="en-AU" sz="1200">
            <a:solidFill>
              <a:srgbClr val="FF0000"/>
            </a:solidFill>
            <a:effectLst/>
          </a:endParaRPr>
        </a:p>
        <a:p>
          <a:pPr algn="ctr"/>
          <a:endParaRPr lang="en-AU" sz="1200">
            <a:solidFill>
              <a:srgbClr val="FF0000"/>
            </a:solidFill>
          </a:endParaRPr>
        </a:p>
      </xdr:txBody>
    </xdr:sp>
    <xdr:clientData/>
  </xdr:oneCellAnchor>
  <xdr:oneCellAnchor>
    <xdr:from>
      <xdr:col>2</xdr:col>
      <xdr:colOff>232353</xdr:colOff>
      <xdr:row>5</xdr:row>
      <xdr:rowOff>120343</xdr:rowOff>
    </xdr:from>
    <xdr:ext cx="1736912" cy="843821"/>
    <xdr:sp macro="" textlink="">
      <xdr:nvSpPr>
        <xdr:cNvPr id="35" name="TextBox 34">
          <a:extLst>
            <a:ext uri="{FF2B5EF4-FFF2-40B4-BE49-F238E27FC236}">
              <a16:creationId xmlns:a16="http://schemas.microsoft.com/office/drawing/2014/main" id="{00000000-0008-0000-0500-000023000000}"/>
            </a:ext>
          </a:extLst>
        </xdr:cNvPr>
        <xdr:cNvSpPr txBox="1"/>
      </xdr:nvSpPr>
      <xdr:spPr>
        <a:xfrm>
          <a:off x="1623831" y="1072843"/>
          <a:ext cx="1736912"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Cells</a:t>
          </a:r>
          <a:r>
            <a:rPr lang="en-AU" sz="1200" baseline="0">
              <a:solidFill>
                <a:srgbClr val="FF0000"/>
              </a:solidFill>
            </a:rPr>
            <a:t> are purple if data is needed &amp; will turn white once there is data in the cell.</a:t>
          </a:r>
        </a:p>
      </xdr:txBody>
    </xdr:sp>
    <xdr:clientData/>
  </xdr:oneCellAnchor>
  <xdr:oneCellAnchor>
    <xdr:from>
      <xdr:col>2</xdr:col>
      <xdr:colOff>223632</xdr:colOff>
      <xdr:row>10</xdr:row>
      <xdr:rowOff>3411</xdr:rowOff>
    </xdr:from>
    <xdr:ext cx="1736912" cy="655949"/>
    <xdr:sp macro="" textlink="">
      <xdr:nvSpPr>
        <xdr:cNvPr id="41" name="TextBox 40">
          <a:extLst>
            <a:ext uri="{FF2B5EF4-FFF2-40B4-BE49-F238E27FC236}">
              <a16:creationId xmlns:a16="http://schemas.microsoft.com/office/drawing/2014/main" id="{00000000-0008-0000-0500-000029000000}"/>
            </a:ext>
          </a:extLst>
        </xdr:cNvPr>
        <xdr:cNvSpPr txBox="1"/>
      </xdr:nvSpPr>
      <xdr:spPr>
        <a:xfrm>
          <a:off x="1615110" y="1908411"/>
          <a:ext cx="1736912"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Dashes are used to</a:t>
          </a:r>
          <a:r>
            <a:rPr lang="en-AU" sz="1200" baseline="0">
              <a:solidFill>
                <a:srgbClr val="FF0000"/>
              </a:solidFill>
            </a:rPr>
            <a:t> indicate that a student missed this assessment.</a:t>
          </a:r>
        </a:p>
      </xdr:txBody>
    </xdr:sp>
    <xdr:clientData/>
  </xdr:oneCellAnchor>
  <xdr:oneCellAnchor>
    <xdr:from>
      <xdr:col>2</xdr:col>
      <xdr:colOff>92545</xdr:colOff>
      <xdr:row>0</xdr:row>
      <xdr:rowOff>0</xdr:rowOff>
    </xdr:from>
    <xdr:ext cx="4482353" cy="264560"/>
    <xdr:sp macro="" textlink="">
      <xdr:nvSpPr>
        <xdr:cNvPr id="54" name="TextBox 53">
          <a:extLst>
            <a:ext uri="{FF2B5EF4-FFF2-40B4-BE49-F238E27FC236}">
              <a16:creationId xmlns:a16="http://schemas.microsoft.com/office/drawing/2014/main" id="{00000000-0008-0000-0500-000036000000}"/>
            </a:ext>
          </a:extLst>
        </xdr:cNvPr>
        <xdr:cNvSpPr txBox="1"/>
      </xdr:nvSpPr>
      <xdr:spPr>
        <a:xfrm>
          <a:off x="1169284" y="0"/>
          <a:ext cx="448235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a:solidFill>
                <a:srgbClr val="FF0000"/>
              </a:solidFill>
            </a:rPr>
            <a:t> (Assessment Type, UD, SD etc. You can change these)</a:t>
          </a:r>
        </a:p>
      </xdr:txBody>
    </xdr:sp>
    <xdr:clientData/>
  </xdr:oneCellAnchor>
  <xdr:oneCellAnchor>
    <xdr:from>
      <xdr:col>13</xdr:col>
      <xdr:colOff>123263</xdr:colOff>
      <xdr:row>20</xdr:row>
      <xdr:rowOff>149868</xdr:rowOff>
    </xdr:from>
    <xdr:ext cx="2310653" cy="1783180"/>
    <xdr:sp macro="" textlink="">
      <xdr:nvSpPr>
        <xdr:cNvPr id="44" name="TextBox 43">
          <a:extLst>
            <a:ext uri="{FF2B5EF4-FFF2-40B4-BE49-F238E27FC236}">
              <a16:creationId xmlns:a16="http://schemas.microsoft.com/office/drawing/2014/main" id="{00000000-0008-0000-0500-00002C000000}"/>
            </a:ext>
          </a:extLst>
        </xdr:cNvPr>
        <xdr:cNvSpPr txBox="1"/>
      </xdr:nvSpPr>
      <xdr:spPr>
        <a:xfrm>
          <a:off x="6401480" y="3959868"/>
          <a:ext cx="2310653" cy="17831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AU" sz="1200">
              <a:solidFill>
                <a:srgbClr val="FF0000"/>
              </a:solidFill>
            </a:rPr>
            <a:t>Adjusted Grade column is used when</a:t>
          </a:r>
          <a:r>
            <a:rPr lang="en-AU" sz="1200" baseline="0">
              <a:solidFill>
                <a:srgbClr val="FF0000"/>
              </a:solidFill>
            </a:rPr>
            <a:t> the calculated grade is either incorrect or the grade should be bumped up/down. Type in this row manually. The "Overall Grade" column will be updated to the grade you type in here. If you don't need to adjust the grade, leave blank.</a:t>
          </a:r>
          <a:endParaRPr lang="en-AU" sz="1200">
            <a:solidFill>
              <a:srgbClr val="FF0000"/>
            </a:solidFill>
          </a:endParaRPr>
        </a:p>
      </xdr:txBody>
    </xdr:sp>
    <xdr:clientData/>
  </xdr:oneCellAnchor>
  <xdr:oneCellAnchor>
    <xdr:from>
      <xdr:col>14</xdr:col>
      <xdr:colOff>121996</xdr:colOff>
      <xdr:row>30</xdr:row>
      <xdr:rowOff>187673</xdr:rowOff>
    </xdr:from>
    <xdr:ext cx="1642199" cy="655949"/>
    <xdr:sp macro="" textlink="">
      <xdr:nvSpPr>
        <xdr:cNvPr id="48" name="TextBox 47">
          <a:extLst>
            <a:ext uri="{FF2B5EF4-FFF2-40B4-BE49-F238E27FC236}">
              <a16:creationId xmlns:a16="http://schemas.microsoft.com/office/drawing/2014/main" id="{00000000-0008-0000-0500-000030000000}"/>
            </a:ext>
          </a:extLst>
        </xdr:cNvPr>
        <xdr:cNvSpPr txBox="1"/>
      </xdr:nvSpPr>
      <xdr:spPr>
        <a:xfrm>
          <a:off x="6723235" y="5902673"/>
          <a:ext cx="1642199"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n-AU" sz="1200" b="0" i="0" u="none" strike="noStrike" kern="0" cap="none" spc="0" normalizeH="0" baseline="0" noProof="0">
              <a:ln>
                <a:noFill/>
              </a:ln>
              <a:solidFill>
                <a:srgbClr val="FF0000"/>
              </a:solidFill>
              <a:effectLst/>
              <a:uLnTx/>
              <a:uFillTx/>
              <a:latin typeface="+mn-lt"/>
              <a:ea typeface="+mn-ea"/>
              <a:cs typeface="+mn-cs"/>
            </a:rPr>
            <a:t>Cells turn red for failed grades.</a:t>
          </a:r>
        </a:p>
        <a:p>
          <a:endParaRPr lang="en-AU" sz="1200" baseline="0">
            <a:solidFill>
              <a:srgbClr val="FF0000"/>
            </a:solidFill>
          </a:endParaRPr>
        </a:p>
      </xdr:txBody>
    </xdr:sp>
    <xdr:clientData/>
  </xdr:oneCellAnchor>
  <xdr:twoCellAnchor>
    <xdr:from>
      <xdr:col>13</xdr:col>
      <xdr:colOff>265044</xdr:colOff>
      <xdr:row>7</xdr:row>
      <xdr:rowOff>16565</xdr:rowOff>
    </xdr:from>
    <xdr:to>
      <xdr:col>13</xdr:col>
      <xdr:colOff>290330</xdr:colOff>
      <xdr:row>7</xdr:row>
      <xdr:rowOff>186993</xdr:rowOff>
    </xdr:to>
    <xdr:cxnSp macro="">
      <xdr:nvCxnSpPr>
        <xdr:cNvPr id="50" name="Straight Arrow Connector 49">
          <a:extLst>
            <a:ext uri="{FF2B5EF4-FFF2-40B4-BE49-F238E27FC236}">
              <a16:creationId xmlns:a16="http://schemas.microsoft.com/office/drawing/2014/main" id="{00000000-0008-0000-0500-000032000000}"/>
            </a:ext>
          </a:extLst>
        </xdr:cNvPr>
        <xdr:cNvCxnSpPr>
          <a:stCxn id="53" idx="0"/>
        </xdr:cNvCxnSpPr>
      </xdr:nvCxnSpPr>
      <xdr:spPr>
        <a:xfrm flipH="1" flipV="1">
          <a:off x="6543261" y="1350065"/>
          <a:ext cx="25286" cy="170428"/>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91595</xdr:colOff>
      <xdr:row>7</xdr:row>
      <xdr:rowOff>186993</xdr:rowOff>
    </xdr:from>
    <xdr:ext cx="1822077" cy="655949"/>
    <xdr:sp macro="" textlink="">
      <xdr:nvSpPr>
        <xdr:cNvPr id="53" name="TextBox 52">
          <a:extLst>
            <a:ext uri="{FF2B5EF4-FFF2-40B4-BE49-F238E27FC236}">
              <a16:creationId xmlns:a16="http://schemas.microsoft.com/office/drawing/2014/main" id="{00000000-0008-0000-0500-000035000000}"/>
            </a:ext>
          </a:extLst>
        </xdr:cNvPr>
        <xdr:cNvSpPr txBox="1"/>
      </xdr:nvSpPr>
      <xdr:spPr>
        <a:xfrm>
          <a:off x="5657508" y="1520493"/>
          <a:ext cx="1822077"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This grade</a:t>
          </a:r>
          <a:r>
            <a:rPr lang="en-AU" sz="1200" baseline="0">
              <a:solidFill>
                <a:srgbClr val="FF0000"/>
              </a:solidFill>
            </a:rPr>
            <a:t> cannot be calculated because of missing assessment.</a:t>
          </a:r>
          <a:endParaRPr lang="en-AU" sz="1200">
            <a:solidFill>
              <a:srgbClr val="FF0000"/>
            </a:solidFill>
          </a:endParaRPr>
        </a:p>
      </xdr:txBody>
    </xdr:sp>
    <xdr:clientData/>
  </xdr:oneCellAnchor>
  <xdr:oneCellAnchor>
    <xdr:from>
      <xdr:col>0</xdr:col>
      <xdr:colOff>1</xdr:colOff>
      <xdr:row>44</xdr:row>
      <xdr:rowOff>157842</xdr:rowOff>
    </xdr:from>
    <xdr:ext cx="902803" cy="1031693"/>
    <xdr:sp macro="" textlink="">
      <xdr:nvSpPr>
        <xdr:cNvPr id="64" name="TextBox 63">
          <a:extLst>
            <a:ext uri="{FF2B5EF4-FFF2-40B4-BE49-F238E27FC236}">
              <a16:creationId xmlns:a16="http://schemas.microsoft.com/office/drawing/2014/main" id="{00000000-0008-0000-0500-000040000000}"/>
            </a:ext>
          </a:extLst>
        </xdr:cNvPr>
        <xdr:cNvSpPr txBox="1"/>
      </xdr:nvSpPr>
      <xdr:spPr>
        <a:xfrm>
          <a:off x="1" y="8548125"/>
          <a:ext cx="902803" cy="1031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Resizes the selected columns to its contents</a:t>
          </a:r>
        </a:p>
      </xdr:txBody>
    </xdr:sp>
    <xdr:clientData/>
  </xdr:oneCellAnchor>
  <mc:AlternateContent xmlns:mc="http://schemas.openxmlformats.org/markup-compatibility/2006">
    <mc:Choice xmlns:a14="http://schemas.microsoft.com/office/drawing/2010/main" Requires="a14">
      <xdr:twoCellAnchor editAs="oneCell">
        <xdr:from>
          <xdr:col>0</xdr:col>
          <xdr:colOff>104775</xdr:colOff>
          <xdr:row>40</xdr:row>
          <xdr:rowOff>133350</xdr:rowOff>
        </xdr:from>
        <xdr:to>
          <xdr:col>3</xdr:col>
          <xdr:colOff>495300</xdr:colOff>
          <xdr:row>45</xdr:row>
          <xdr:rowOff>0</xdr:rowOff>
        </xdr:to>
        <xdr:sp macro="" textlink="">
          <xdr:nvSpPr>
            <xdr:cNvPr id="3077" name="Group Box 5" hidden="1">
              <a:extLst>
                <a:ext uri="{63B3BB69-23CF-44E3-9099-C40C66FF867C}">
                  <a14:compatExt spid="_x0000_s3077"/>
                </a:ext>
                <a:ext uri="{FF2B5EF4-FFF2-40B4-BE49-F238E27FC236}">
                  <a16:creationId xmlns:a16="http://schemas.microsoft.com/office/drawing/2014/main" id="{00000000-0008-0000-0500-000005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ea typeface="Segoe UI"/>
                  <a:cs typeface="Segoe UI"/>
                </a:rPr>
                <a:t>Control Panel</a:t>
              </a:r>
            </a:p>
          </xdr:txBody>
        </xdr:sp>
        <xdr:clientData/>
      </xdr:twoCellAnchor>
    </mc:Choice>
    <mc:Fallback/>
  </mc:AlternateContent>
  <xdr:twoCellAnchor editAs="oneCell">
    <xdr:from>
      <xdr:col>0</xdr:col>
      <xdr:colOff>209550</xdr:colOff>
      <xdr:row>41</xdr:row>
      <xdr:rowOff>28575</xdr:rowOff>
    </xdr:from>
    <xdr:to>
      <xdr:col>1</xdr:col>
      <xdr:colOff>66261</xdr:colOff>
      <xdr:row>44</xdr:row>
      <xdr:rowOff>185305</xdr:rowOff>
    </xdr:to>
    <xdr:pic>
      <xdr:nvPicPr>
        <xdr:cNvPr id="85" name="Picture 84">
          <a:extLst>
            <a:ext uri="{FF2B5EF4-FFF2-40B4-BE49-F238E27FC236}">
              <a16:creationId xmlns:a16="http://schemas.microsoft.com/office/drawing/2014/main" id="{00000000-0008-0000-0500-000055000000}"/>
            </a:ext>
          </a:extLst>
        </xdr:cNvPr>
        <xdr:cNvPicPr>
          <a:picLocks noChangeAspect="1"/>
        </xdr:cNvPicPr>
      </xdr:nvPicPr>
      <xdr:blipFill>
        <a:blip xmlns:r="http://schemas.openxmlformats.org/officeDocument/2006/relationships" r:embed="rId1"/>
        <a:stretch>
          <a:fillRect/>
        </a:stretch>
      </xdr:blipFill>
      <xdr:spPr>
        <a:xfrm>
          <a:off x="209550" y="7848600"/>
          <a:ext cx="552450" cy="728230"/>
        </a:xfrm>
        <a:prstGeom prst="rect">
          <a:avLst/>
        </a:prstGeom>
      </xdr:spPr>
    </xdr:pic>
    <xdr:clientData/>
  </xdr:twoCellAnchor>
  <xdr:oneCellAnchor>
    <xdr:from>
      <xdr:col>1</xdr:col>
      <xdr:colOff>180976</xdr:colOff>
      <xdr:row>44</xdr:row>
      <xdr:rowOff>153642</xdr:rowOff>
    </xdr:from>
    <xdr:ext cx="1057274" cy="1219565"/>
    <xdr:sp macro="" textlink="">
      <xdr:nvSpPr>
        <xdr:cNvPr id="91" name="TextBox 90">
          <a:extLst>
            <a:ext uri="{FF2B5EF4-FFF2-40B4-BE49-F238E27FC236}">
              <a16:creationId xmlns:a16="http://schemas.microsoft.com/office/drawing/2014/main" id="{00000000-0008-0000-0500-00005B000000}"/>
            </a:ext>
          </a:extLst>
        </xdr:cNvPr>
        <xdr:cNvSpPr txBox="1"/>
      </xdr:nvSpPr>
      <xdr:spPr>
        <a:xfrm>
          <a:off x="876301" y="8545167"/>
          <a:ext cx="1057274" cy="1219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Hides all unused columns</a:t>
          </a:r>
        </a:p>
        <a:p>
          <a:r>
            <a:rPr lang="en-AU" sz="1200" baseline="0">
              <a:solidFill>
                <a:srgbClr val="FF0000"/>
              </a:solidFill>
            </a:rPr>
            <a:t>and Shows all columns</a:t>
          </a:r>
        </a:p>
        <a:p>
          <a:endParaRPr lang="en-AU" sz="1200" baseline="0">
            <a:solidFill>
              <a:srgbClr val="FF0000"/>
            </a:solidFill>
          </a:endParaRPr>
        </a:p>
      </xdr:txBody>
    </xdr:sp>
    <xdr:clientData/>
  </xdr:oneCellAnchor>
  <xdr:twoCellAnchor editAs="oneCell">
    <xdr:from>
      <xdr:col>2</xdr:col>
      <xdr:colOff>568188</xdr:colOff>
      <xdr:row>41</xdr:row>
      <xdr:rowOff>34371</xdr:rowOff>
    </xdr:from>
    <xdr:to>
      <xdr:col>3</xdr:col>
      <xdr:colOff>410004</xdr:colOff>
      <xdr:row>44</xdr:row>
      <xdr:rowOff>171451</xdr:rowOff>
    </xdr:to>
    <xdr:pic>
      <xdr:nvPicPr>
        <xdr:cNvPr id="65" name="Picture 64">
          <a:extLst>
            <a:ext uri="{FF2B5EF4-FFF2-40B4-BE49-F238E27FC236}">
              <a16:creationId xmlns:a16="http://schemas.microsoft.com/office/drawing/2014/main" id="{00000000-0008-0000-0500-000041000000}"/>
            </a:ext>
          </a:extLst>
        </xdr:cNvPr>
        <xdr:cNvPicPr>
          <a:picLocks noChangeAspect="1"/>
        </xdr:cNvPicPr>
      </xdr:nvPicPr>
      <xdr:blipFill>
        <a:blip xmlns:r="http://schemas.openxmlformats.org/officeDocument/2006/relationships" r:embed="rId2"/>
        <a:stretch>
          <a:fillRect/>
        </a:stretch>
      </xdr:blipFill>
      <xdr:spPr>
        <a:xfrm>
          <a:off x="1958838" y="7854396"/>
          <a:ext cx="537141" cy="708580"/>
        </a:xfrm>
        <a:prstGeom prst="rect">
          <a:avLst/>
        </a:prstGeom>
      </xdr:spPr>
    </xdr:pic>
    <xdr:clientData/>
  </xdr:twoCellAnchor>
  <xdr:oneCellAnchor>
    <xdr:from>
      <xdr:col>2</xdr:col>
      <xdr:colOff>577305</xdr:colOff>
      <xdr:row>44</xdr:row>
      <xdr:rowOff>140804</xdr:rowOff>
    </xdr:from>
    <xdr:ext cx="853109" cy="843821"/>
    <xdr:sp macro="" textlink="">
      <xdr:nvSpPr>
        <xdr:cNvPr id="66" name="TextBox 65">
          <a:extLst>
            <a:ext uri="{FF2B5EF4-FFF2-40B4-BE49-F238E27FC236}">
              <a16:creationId xmlns:a16="http://schemas.microsoft.com/office/drawing/2014/main" id="{00000000-0008-0000-0500-000042000000}"/>
            </a:ext>
          </a:extLst>
        </xdr:cNvPr>
        <xdr:cNvSpPr txBox="1"/>
      </xdr:nvSpPr>
      <xdr:spPr>
        <a:xfrm>
          <a:off x="1967955" y="8532329"/>
          <a:ext cx="853109"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Rearrange Rows from A to Z</a:t>
          </a:r>
        </a:p>
        <a:p>
          <a:endParaRPr lang="en-AU" sz="1200" baseline="0">
            <a:solidFill>
              <a:srgbClr val="FF0000"/>
            </a:solidFill>
          </a:endParaRPr>
        </a:p>
      </xdr:txBody>
    </xdr:sp>
    <xdr:clientData/>
  </xdr:oneCellAnchor>
  <xdr:twoCellAnchor>
    <xdr:from>
      <xdr:col>0</xdr:col>
      <xdr:colOff>24848</xdr:colOff>
      <xdr:row>1</xdr:row>
      <xdr:rowOff>0</xdr:rowOff>
    </xdr:from>
    <xdr:to>
      <xdr:col>5</xdr:col>
      <xdr:colOff>687456</xdr:colOff>
      <xdr:row>4</xdr:row>
      <xdr:rowOff>16565</xdr:rowOff>
    </xdr:to>
    <xdr:sp macro="" textlink="">
      <xdr:nvSpPr>
        <xdr:cNvPr id="4" name="Rectangle 3">
          <a:extLst>
            <a:ext uri="{FF2B5EF4-FFF2-40B4-BE49-F238E27FC236}">
              <a16:creationId xmlns:a16="http://schemas.microsoft.com/office/drawing/2014/main" id="{00000000-0008-0000-0500-000004000000}"/>
            </a:ext>
          </a:extLst>
        </xdr:cNvPr>
        <xdr:cNvSpPr/>
      </xdr:nvSpPr>
      <xdr:spPr>
        <a:xfrm>
          <a:off x="24848" y="190500"/>
          <a:ext cx="4139233" cy="588065"/>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2</xdr:col>
      <xdr:colOff>11596</xdr:colOff>
      <xdr:row>1</xdr:row>
      <xdr:rowOff>140804</xdr:rowOff>
    </xdr:from>
    <xdr:to>
      <xdr:col>4</xdr:col>
      <xdr:colOff>687456</xdr:colOff>
      <xdr:row>40</xdr:row>
      <xdr:rowOff>33130</xdr:rowOff>
    </xdr:to>
    <xdr:sp macro="" textlink="">
      <xdr:nvSpPr>
        <xdr:cNvPr id="70" name="Rectangle 69">
          <a:extLst>
            <a:ext uri="{FF2B5EF4-FFF2-40B4-BE49-F238E27FC236}">
              <a16:creationId xmlns:a16="http://schemas.microsoft.com/office/drawing/2014/main" id="{00000000-0008-0000-0500-000046000000}"/>
            </a:ext>
          </a:extLst>
        </xdr:cNvPr>
        <xdr:cNvSpPr/>
      </xdr:nvSpPr>
      <xdr:spPr>
        <a:xfrm>
          <a:off x="1403074" y="331304"/>
          <a:ext cx="2067339" cy="7330109"/>
        </a:xfrm>
        <a:prstGeom prst="rect">
          <a:avLst/>
        </a:prstGeom>
        <a:no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11</xdr:col>
      <xdr:colOff>690769</xdr:colOff>
      <xdr:row>1</xdr:row>
      <xdr:rowOff>16565</xdr:rowOff>
    </xdr:from>
    <xdr:to>
      <xdr:col>21</xdr:col>
      <xdr:colOff>16566</xdr:colOff>
      <xdr:row>40</xdr:row>
      <xdr:rowOff>33130</xdr:rowOff>
    </xdr:to>
    <xdr:sp macro="" textlink="">
      <xdr:nvSpPr>
        <xdr:cNvPr id="71" name="Rectangle 70">
          <a:extLst>
            <a:ext uri="{FF2B5EF4-FFF2-40B4-BE49-F238E27FC236}">
              <a16:creationId xmlns:a16="http://schemas.microsoft.com/office/drawing/2014/main" id="{00000000-0008-0000-0500-000047000000}"/>
            </a:ext>
          </a:extLst>
        </xdr:cNvPr>
        <xdr:cNvSpPr/>
      </xdr:nvSpPr>
      <xdr:spPr>
        <a:xfrm>
          <a:off x="5560943" y="207065"/>
          <a:ext cx="5280993" cy="7454348"/>
        </a:xfrm>
        <a:prstGeom prst="rect">
          <a:avLst/>
        </a:prstGeom>
        <a:no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18</xdr:col>
      <xdr:colOff>723900</xdr:colOff>
      <xdr:row>2</xdr:row>
      <xdr:rowOff>3311</xdr:rowOff>
    </xdr:from>
    <xdr:to>
      <xdr:col>20</xdr:col>
      <xdr:colOff>24847</xdr:colOff>
      <xdr:row>40</xdr:row>
      <xdr:rowOff>8281</xdr:rowOff>
    </xdr:to>
    <xdr:sp macro="" textlink="">
      <xdr:nvSpPr>
        <xdr:cNvPr id="73" name="Rectangle 72">
          <a:extLst>
            <a:ext uri="{FF2B5EF4-FFF2-40B4-BE49-F238E27FC236}">
              <a16:creationId xmlns:a16="http://schemas.microsoft.com/office/drawing/2014/main" id="{00000000-0008-0000-0500-000049000000}"/>
            </a:ext>
          </a:extLst>
        </xdr:cNvPr>
        <xdr:cNvSpPr/>
      </xdr:nvSpPr>
      <xdr:spPr>
        <a:xfrm>
          <a:off x="9047922" y="384311"/>
          <a:ext cx="742121" cy="7252253"/>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18</xdr:col>
      <xdr:colOff>222459</xdr:colOff>
      <xdr:row>21</xdr:row>
      <xdr:rowOff>9938</xdr:rowOff>
    </xdr:from>
    <xdr:to>
      <xdr:col>18</xdr:col>
      <xdr:colOff>723900</xdr:colOff>
      <xdr:row>25</xdr:row>
      <xdr:rowOff>88958</xdr:rowOff>
    </xdr:to>
    <xdr:cxnSp macro="">
      <xdr:nvCxnSpPr>
        <xdr:cNvPr id="75" name="Straight Arrow Connector 74">
          <a:extLst>
            <a:ext uri="{FF2B5EF4-FFF2-40B4-BE49-F238E27FC236}">
              <a16:creationId xmlns:a16="http://schemas.microsoft.com/office/drawing/2014/main" id="{00000000-0008-0000-0500-00004B000000}"/>
            </a:ext>
          </a:extLst>
        </xdr:cNvPr>
        <xdr:cNvCxnSpPr>
          <a:stCxn id="44" idx="3"/>
          <a:endCxn id="73" idx="1"/>
        </xdr:cNvCxnSpPr>
      </xdr:nvCxnSpPr>
      <xdr:spPr>
        <a:xfrm flipV="1">
          <a:off x="8712133" y="4010438"/>
          <a:ext cx="501441" cy="84102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24847</xdr:colOff>
      <xdr:row>1</xdr:row>
      <xdr:rowOff>24848</xdr:rowOff>
    </xdr:from>
    <xdr:to>
      <xdr:col>11</xdr:col>
      <xdr:colOff>654326</xdr:colOff>
      <xdr:row>40</xdr:row>
      <xdr:rowOff>57978</xdr:rowOff>
    </xdr:to>
    <xdr:sp macro="" textlink="">
      <xdr:nvSpPr>
        <xdr:cNvPr id="76" name="Rectangle 75">
          <a:extLst>
            <a:ext uri="{FF2B5EF4-FFF2-40B4-BE49-F238E27FC236}">
              <a16:creationId xmlns:a16="http://schemas.microsoft.com/office/drawing/2014/main" id="{00000000-0008-0000-0500-00004C000000}"/>
            </a:ext>
          </a:extLst>
        </xdr:cNvPr>
        <xdr:cNvSpPr/>
      </xdr:nvSpPr>
      <xdr:spPr>
        <a:xfrm>
          <a:off x="4199282" y="215348"/>
          <a:ext cx="1325218" cy="7470913"/>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oneCellAnchor>
    <xdr:from>
      <xdr:col>10</xdr:col>
      <xdr:colOff>33130</xdr:colOff>
      <xdr:row>9</xdr:row>
      <xdr:rowOff>41219</xdr:rowOff>
    </xdr:from>
    <xdr:ext cx="1358348" cy="1219565"/>
    <xdr:sp macro="" textlink="">
      <xdr:nvSpPr>
        <xdr:cNvPr id="77" name="TextBox 76">
          <a:extLst>
            <a:ext uri="{FF2B5EF4-FFF2-40B4-BE49-F238E27FC236}">
              <a16:creationId xmlns:a16="http://schemas.microsoft.com/office/drawing/2014/main" id="{00000000-0008-0000-0500-00004D000000}"/>
            </a:ext>
          </a:extLst>
        </xdr:cNvPr>
        <xdr:cNvSpPr txBox="1"/>
      </xdr:nvSpPr>
      <xdr:spPr>
        <a:xfrm>
          <a:off x="4207565" y="1755719"/>
          <a:ext cx="1358348" cy="1219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Misc. is for grades that aren't numerical,</a:t>
          </a:r>
          <a:r>
            <a:rPr lang="en-AU" sz="1200" baseline="0">
              <a:solidFill>
                <a:srgbClr val="FF0000"/>
              </a:solidFill>
            </a:rPr>
            <a:t> you can put anything in here including notes.</a:t>
          </a:r>
          <a:endParaRPr lang="en-AU" sz="1200">
            <a:solidFill>
              <a:srgbClr val="FF0000"/>
            </a:solidFill>
          </a:endParaRPr>
        </a:p>
      </xdr:txBody>
    </xdr:sp>
    <xdr:clientData/>
  </xdr:oneCellAnchor>
  <xdr:twoCellAnchor editAs="oneCell">
    <xdr:from>
      <xdr:col>1</xdr:col>
      <xdr:colOff>95250</xdr:colOff>
      <xdr:row>41</xdr:row>
      <xdr:rowOff>39616</xdr:rowOff>
    </xdr:from>
    <xdr:to>
      <xdr:col>1</xdr:col>
      <xdr:colOff>628650</xdr:colOff>
      <xdr:row>44</xdr:row>
      <xdr:rowOff>171236</xdr:rowOff>
    </xdr:to>
    <xdr:pic>
      <xdr:nvPicPr>
        <xdr:cNvPr id="27" name="Picture 26">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3"/>
        <a:stretch>
          <a:fillRect/>
        </a:stretch>
      </xdr:blipFill>
      <xdr:spPr>
        <a:xfrm>
          <a:off x="790575" y="7859641"/>
          <a:ext cx="533400" cy="703120"/>
        </a:xfrm>
        <a:prstGeom prst="rect">
          <a:avLst/>
        </a:prstGeom>
      </xdr:spPr>
    </xdr:pic>
    <xdr:clientData/>
  </xdr:twoCellAnchor>
  <xdr:twoCellAnchor editAs="oneCell">
    <xdr:from>
      <xdr:col>1</xdr:col>
      <xdr:colOff>679252</xdr:colOff>
      <xdr:row>41</xdr:row>
      <xdr:rowOff>28574</xdr:rowOff>
    </xdr:from>
    <xdr:to>
      <xdr:col>2</xdr:col>
      <xdr:colOff>525866</xdr:colOff>
      <xdr:row>44</xdr:row>
      <xdr:rowOff>171449</xdr:rowOff>
    </xdr:to>
    <xdr:pic>
      <xdr:nvPicPr>
        <xdr:cNvPr id="28" name="Picture 27">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4"/>
        <a:stretch>
          <a:fillRect/>
        </a:stretch>
      </xdr:blipFill>
      <xdr:spPr>
        <a:xfrm>
          <a:off x="1374577" y="7848599"/>
          <a:ext cx="541939" cy="714375"/>
        </a:xfrm>
        <a:prstGeom prst="rect">
          <a:avLst/>
        </a:prstGeom>
      </xdr:spPr>
    </xdr:pic>
    <xdr:clientData/>
  </xdr:twoCellAnchor>
  <xdr:twoCellAnchor>
    <xdr:from>
      <xdr:col>5</xdr:col>
      <xdr:colOff>0</xdr:colOff>
      <xdr:row>41</xdr:row>
      <xdr:rowOff>0</xdr:rowOff>
    </xdr:from>
    <xdr:to>
      <xdr:col>11</xdr:col>
      <xdr:colOff>152399</xdr:colOff>
      <xdr:row>43</xdr:row>
      <xdr:rowOff>96836</xdr:rowOff>
    </xdr:to>
    <xdr:grpSp>
      <xdr:nvGrpSpPr>
        <xdr:cNvPr id="29" name="Group 28">
          <a:extLst>
            <a:ext uri="{FF2B5EF4-FFF2-40B4-BE49-F238E27FC236}">
              <a16:creationId xmlns:a16="http://schemas.microsoft.com/office/drawing/2014/main" id="{00000000-0008-0000-0500-00001D000000}"/>
            </a:ext>
          </a:extLst>
        </xdr:cNvPr>
        <xdr:cNvGrpSpPr/>
      </xdr:nvGrpSpPr>
      <xdr:grpSpPr>
        <a:xfrm>
          <a:off x="3476625" y="7820025"/>
          <a:ext cx="1543049" cy="477836"/>
          <a:chOff x="699989" y="3255968"/>
          <a:chExt cx="1884534" cy="576892"/>
        </a:xfrm>
      </xdr:grpSpPr>
      <xdr:pic>
        <xdr:nvPicPr>
          <xdr:cNvPr id="30" name="Picture 29">
            <a:extLst>
              <a:ext uri="{FF2B5EF4-FFF2-40B4-BE49-F238E27FC236}">
                <a16:creationId xmlns:a16="http://schemas.microsoft.com/office/drawing/2014/main" id="{00000000-0008-0000-0500-00001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837473B0-CC2E-450A-ABE3-18F120FF3D39}">
                <a1611:picAttrSrcUrl xmlns:a1611="http://schemas.microsoft.com/office/drawing/2016/11/main" r:id="rId6"/>
              </a:ext>
            </a:extLst>
          </a:blip>
          <a:stretch>
            <a:fillRect/>
          </a:stretch>
        </xdr:blipFill>
        <xdr:spPr>
          <a:xfrm>
            <a:off x="1391514" y="3303859"/>
            <a:ext cx="501483" cy="481110"/>
          </a:xfrm>
          <a:prstGeom prst="rect">
            <a:avLst/>
          </a:prstGeom>
        </xdr:spPr>
      </xdr:pic>
      <xdr:sp macro="" textlink="">
        <xdr:nvSpPr>
          <xdr:cNvPr id="32" name="Rectangle 31">
            <a:extLst>
              <a:ext uri="{FF2B5EF4-FFF2-40B4-BE49-F238E27FC236}">
                <a16:creationId xmlns:a16="http://schemas.microsoft.com/office/drawing/2014/main" id="{00000000-0008-0000-0500-000020000000}"/>
              </a:ext>
            </a:extLst>
          </xdr:cNvPr>
          <xdr:cNvSpPr/>
        </xdr:nvSpPr>
        <xdr:spPr>
          <a:xfrm>
            <a:off x="699989" y="3255968"/>
            <a:ext cx="1884534" cy="576892"/>
          </a:xfrm>
          <a:prstGeom prst="rect">
            <a:avLst/>
          </a:prstGeom>
          <a:ln w="28575"/>
        </xdr:spPr>
        <xdr:style>
          <a:lnRef idx="1">
            <a:schemeClr val="dk1"/>
          </a:lnRef>
          <a:fillRef idx="0">
            <a:schemeClr val="dk1"/>
          </a:fillRef>
          <a:effectRef idx="0">
            <a:schemeClr val="dk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AU"/>
          </a:p>
        </xdr:txBody>
      </xdr:sp>
    </xdr:grpSp>
    <xdr:clientData/>
  </xdr:twoCellAnchor>
  <xdr:twoCellAnchor editAs="oneCell">
    <xdr:from>
      <xdr:col>10</xdr:col>
      <xdr:colOff>600075</xdr:colOff>
      <xdr:row>42</xdr:row>
      <xdr:rowOff>57150</xdr:rowOff>
    </xdr:from>
    <xdr:to>
      <xdr:col>11</xdr:col>
      <xdr:colOff>136253</xdr:colOff>
      <xdr:row>43</xdr:row>
      <xdr:rowOff>98153</xdr:rowOff>
    </xdr:to>
    <xdr:pic>
      <xdr:nvPicPr>
        <xdr:cNvPr id="33" name="Graphic 13" descr="Line arrow Rotate left">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772025" y="8067675"/>
          <a:ext cx="231503" cy="231503"/>
        </a:xfrm>
        <a:prstGeom prst="rect">
          <a:avLst/>
        </a:prstGeom>
      </xdr:spPr>
    </xdr:pic>
    <xdr:clientData/>
  </xdr:twoCellAnchor>
  <xdr:twoCellAnchor>
    <xdr:from>
      <xdr:col>5</xdr:col>
      <xdr:colOff>47625</xdr:colOff>
      <xdr:row>42</xdr:row>
      <xdr:rowOff>47626</xdr:rowOff>
    </xdr:from>
    <xdr:to>
      <xdr:col>5</xdr:col>
      <xdr:colOff>339124</xdr:colOff>
      <xdr:row>43</xdr:row>
      <xdr:rowOff>47625</xdr:rowOff>
    </xdr:to>
    <xdr:grpSp>
      <xdr:nvGrpSpPr>
        <xdr:cNvPr id="34" name="Group 33">
          <a:extLst>
            <a:ext uri="{FF2B5EF4-FFF2-40B4-BE49-F238E27FC236}">
              <a16:creationId xmlns:a16="http://schemas.microsoft.com/office/drawing/2014/main" id="{00000000-0008-0000-0500-000022000000}"/>
            </a:ext>
          </a:extLst>
        </xdr:cNvPr>
        <xdr:cNvGrpSpPr/>
      </xdr:nvGrpSpPr>
      <xdr:grpSpPr>
        <a:xfrm>
          <a:off x="3524250" y="8058151"/>
          <a:ext cx="291499" cy="190499"/>
          <a:chOff x="6126341" y="2133035"/>
          <a:chExt cx="337782" cy="220745"/>
        </a:xfrm>
      </xdr:grpSpPr>
      <xdr:pic>
        <xdr:nvPicPr>
          <xdr:cNvPr id="36" name="Picture 35" descr="Related image">
            <a:extLst>
              <a:ext uri="{FF2B5EF4-FFF2-40B4-BE49-F238E27FC236}">
                <a16:creationId xmlns:a16="http://schemas.microsoft.com/office/drawing/2014/main" id="{00000000-0008-0000-0500-000024000000}"/>
              </a:ext>
            </a:extLst>
          </xdr:cNvPr>
          <xdr:cNvPicPr>
            <a:picLocks noChangeAspect="1" noChangeArrowheads="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11779" t="27760" r="8666" b="29777"/>
          <a:stretch/>
        </xdr:blipFill>
        <xdr:spPr bwMode="auto">
          <a:xfrm>
            <a:off x="6126341" y="2158224"/>
            <a:ext cx="337782" cy="180292"/>
          </a:xfrm>
          <a:prstGeom prst="rect">
            <a:avLst/>
          </a:prstGeom>
          <a:noFill/>
          <a:extLst>
            <a:ext uri="{909E8E84-426E-40DD-AFC4-6F175D3DCCD1}">
              <a14:hiddenFill xmlns:a14="http://schemas.microsoft.com/office/drawing/2010/main">
                <a:solidFill>
                  <a:srgbClr val="FFFFFF"/>
                </a:solidFill>
              </a14:hiddenFill>
            </a:ext>
          </a:extLst>
        </xdr:spPr>
      </xdr:pic>
      <xdr:cxnSp macro="">
        <xdr:nvCxnSpPr>
          <xdr:cNvPr id="37" name="Straight Connector 36">
            <a:extLst>
              <a:ext uri="{FF2B5EF4-FFF2-40B4-BE49-F238E27FC236}">
                <a16:creationId xmlns:a16="http://schemas.microsoft.com/office/drawing/2014/main" id="{00000000-0008-0000-0500-000025000000}"/>
              </a:ext>
            </a:extLst>
          </xdr:cNvPr>
          <xdr:cNvCxnSpPr>
            <a:cxnSpLocks/>
          </xdr:cNvCxnSpPr>
        </xdr:nvCxnSpPr>
        <xdr:spPr>
          <a:xfrm>
            <a:off x="6176963" y="2133035"/>
            <a:ext cx="234794" cy="220745"/>
          </a:xfrm>
          <a:prstGeom prst="line">
            <a:avLst/>
          </a:prstGeom>
          <a:ln w="28575"/>
        </xdr:spPr>
        <xdr:style>
          <a:lnRef idx="1">
            <a:schemeClr val="dk1"/>
          </a:lnRef>
          <a:fillRef idx="0">
            <a:schemeClr val="dk1"/>
          </a:fillRef>
          <a:effectRef idx="0">
            <a:schemeClr val="dk1"/>
          </a:effectRef>
          <a:fontRef idx="minor">
            <a:schemeClr val="tx1"/>
          </a:fontRef>
        </xdr:style>
      </xdr:cxn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504825</xdr:colOff>
      <xdr:row>18</xdr:row>
      <xdr:rowOff>66676</xdr:rowOff>
    </xdr:from>
    <xdr:to>
      <xdr:col>0</xdr:col>
      <xdr:colOff>504825</xdr:colOff>
      <xdr:row>19</xdr:row>
      <xdr:rowOff>180975</xdr:rowOff>
    </xdr:to>
    <xdr:cxnSp macro="">
      <xdr:nvCxnSpPr>
        <xdr:cNvPr id="3" name="Straight Arrow Connector 2">
          <a:extLst>
            <a:ext uri="{FF2B5EF4-FFF2-40B4-BE49-F238E27FC236}">
              <a16:creationId xmlns:a16="http://schemas.microsoft.com/office/drawing/2014/main" id="{00000000-0008-0000-0600-000003000000}"/>
            </a:ext>
          </a:extLst>
        </xdr:cNvPr>
        <xdr:cNvCxnSpPr/>
      </xdr:nvCxnSpPr>
      <xdr:spPr>
        <a:xfrm flipV="1">
          <a:off x="504825" y="3495676"/>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285750</xdr:colOff>
      <xdr:row>19</xdr:row>
      <xdr:rowOff>142875</xdr:rowOff>
    </xdr:from>
    <xdr:ext cx="1668021" cy="264560"/>
    <xdr:sp macro="" textlink="">
      <xdr:nvSpPr>
        <xdr:cNvPr id="5" name="TextBox 4">
          <a:extLst>
            <a:ext uri="{FF2B5EF4-FFF2-40B4-BE49-F238E27FC236}">
              <a16:creationId xmlns:a16="http://schemas.microsoft.com/office/drawing/2014/main" id="{00000000-0008-0000-0600-000005000000}"/>
            </a:ext>
          </a:extLst>
        </xdr:cNvPr>
        <xdr:cNvSpPr txBox="1"/>
      </xdr:nvSpPr>
      <xdr:spPr>
        <a:xfrm>
          <a:off x="285750" y="3762375"/>
          <a:ext cx="166802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a:solidFill>
                <a:srgbClr val="FF0000"/>
              </a:solidFill>
            </a:rPr>
            <a:t>Can be</a:t>
          </a:r>
          <a:r>
            <a:rPr lang="en-AU" sz="1100" baseline="0">
              <a:solidFill>
                <a:srgbClr val="FF0000"/>
              </a:solidFill>
            </a:rPr>
            <a:t> changed if needed</a:t>
          </a:r>
          <a:endParaRPr lang="en-AU" sz="1100">
            <a:solidFill>
              <a:srgbClr val="FF0000"/>
            </a:solidFill>
          </a:endParaRPr>
        </a:p>
      </xdr:txBody>
    </xdr:sp>
    <xdr:clientData/>
  </xdr:oneCellAnchor>
  <xdr:twoCellAnchor>
    <xdr:from>
      <xdr:col>1</xdr:col>
      <xdr:colOff>381000</xdr:colOff>
      <xdr:row>18</xdr:row>
      <xdr:rowOff>76201</xdr:rowOff>
    </xdr:from>
    <xdr:to>
      <xdr:col>1</xdr:col>
      <xdr:colOff>381000</xdr:colOff>
      <xdr:row>20</xdr:row>
      <xdr:rowOff>0</xdr:rowOff>
    </xdr:to>
    <xdr:cxnSp macro="">
      <xdr:nvCxnSpPr>
        <xdr:cNvPr id="6" name="Straight Arrow Connector 5">
          <a:extLst>
            <a:ext uri="{FF2B5EF4-FFF2-40B4-BE49-F238E27FC236}">
              <a16:creationId xmlns:a16="http://schemas.microsoft.com/office/drawing/2014/main" id="{00000000-0008-0000-0600-000006000000}"/>
            </a:ext>
          </a:extLst>
        </xdr:cNvPr>
        <xdr:cNvCxnSpPr/>
      </xdr:nvCxnSpPr>
      <xdr:spPr>
        <a:xfrm flipV="1">
          <a:off x="1076325" y="3505201"/>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342900</xdr:colOff>
      <xdr:row>18</xdr:row>
      <xdr:rowOff>76201</xdr:rowOff>
    </xdr:from>
    <xdr:to>
      <xdr:col>2</xdr:col>
      <xdr:colOff>342900</xdr:colOff>
      <xdr:row>20</xdr:row>
      <xdr:rowOff>0</xdr:rowOff>
    </xdr:to>
    <xdr:cxnSp macro="">
      <xdr:nvCxnSpPr>
        <xdr:cNvPr id="7" name="Straight Arrow Connector 6">
          <a:extLst>
            <a:ext uri="{FF2B5EF4-FFF2-40B4-BE49-F238E27FC236}">
              <a16:creationId xmlns:a16="http://schemas.microsoft.com/office/drawing/2014/main" id="{00000000-0008-0000-0600-000007000000}"/>
            </a:ext>
          </a:extLst>
        </xdr:cNvPr>
        <xdr:cNvCxnSpPr/>
      </xdr:nvCxnSpPr>
      <xdr:spPr>
        <a:xfrm flipV="1">
          <a:off x="1771650" y="3505201"/>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oneCellAnchor>
    <xdr:from>
      <xdr:col>5</xdr:col>
      <xdr:colOff>333375</xdr:colOff>
      <xdr:row>0</xdr:row>
      <xdr:rowOff>161925</xdr:rowOff>
    </xdr:from>
    <xdr:ext cx="7152154" cy="781240"/>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7605993" y="161925"/>
          <a:ext cx="7152154"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b="1"/>
            <a:t>Revision</a:t>
          </a:r>
          <a:r>
            <a:rPr lang="en-AU" sz="1100" b="1" baseline="0"/>
            <a:t> Number Explanation</a:t>
          </a:r>
        </a:p>
        <a:p>
          <a:r>
            <a:rPr lang="en-AU" sz="1100" baseline="0"/>
            <a:t>X.			X.			X.</a:t>
          </a:r>
        </a:p>
        <a:p>
          <a:r>
            <a:rPr lang="en-AU" sz="1100" baseline="0"/>
            <a:t>Major restructure of markbook		Major changes to templates 		Minor Revision Changes</a:t>
          </a:r>
        </a:p>
        <a:p>
          <a:r>
            <a:rPr lang="en-AU" sz="1100" baseline="0"/>
            <a:t>e.g. New markbook		e.g. addition of new templates		e.g. optimisation changes</a:t>
          </a:r>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3805D0B-7211-4752-ACE8-C9850C109DAF}" name="Table1" displayName="Table1" ref="A1:C18" totalsRowShown="0" tableBorderDxfId="3">
  <autoFilter ref="A1:C18" xr:uid="{498E8186-74A7-4E6E-AE4A-D794E9C8B595}"/>
  <tableColumns count="3">
    <tableColumn id="1" xr3:uid="{5861E389-9F05-4056-B978-22BEA3DA1355}" name="Score" dataDxfId="2" dataCellStyle="Percent"/>
    <tableColumn id="2" xr3:uid="{9526CEDD-EB3F-43D3-A6D9-A4B81BDDC393}" name="Grade" dataDxfId="1"/>
    <tableColumn id="3" xr3:uid="{63910571-226F-4D3A-AE65-3CF97BD66F23}" name="Points" dataDxfId="0"/>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890DF-4E50-40D9-BE2A-31161D6CBED6}">
  <sheetPr codeName="Sheet1">
    <tabColor rgb="FFFACDAC"/>
  </sheetPr>
  <dimension ref="B1:K46"/>
  <sheetViews>
    <sheetView zoomScaleNormal="100" workbookViewId="0">
      <selection activeCell="C18" sqref="C18"/>
    </sheetView>
  </sheetViews>
  <sheetFormatPr defaultColWidth="9.140625" defaultRowHeight="15" x14ac:dyDescent="0.25"/>
  <cols>
    <col min="1" max="1" width="2.5703125" style="21" customWidth="1"/>
    <col min="2" max="2" width="4.7109375" style="21" customWidth="1"/>
    <col min="3" max="5" width="15.7109375" style="21" customWidth="1"/>
    <col min="6" max="6" width="4.7109375" style="21" customWidth="1"/>
    <col min="7" max="7" width="3.7109375" style="21" customWidth="1"/>
    <col min="8" max="12" width="9.140625" style="21"/>
    <col min="13" max="13" width="12.140625" style="21" customWidth="1"/>
    <col min="14" max="14" width="11.140625" style="21" bestFit="1" customWidth="1"/>
    <col min="15" max="16384" width="9.140625" style="21"/>
  </cols>
  <sheetData>
    <row r="1" spans="2:11" ht="15.75" thickBot="1" x14ac:dyDescent="0.3">
      <c r="B1" s="22"/>
      <c r="C1" s="22"/>
      <c r="D1" s="22"/>
      <c r="E1" s="22"/>
      <c r="F1" s="22"/>
      <c r="H1" s="22"/>
      <c r="I1" s="22"/>
      <c r="J1" s="22"/>
      <c r="K1" s="22"/>
    </row>
    <row r="2" spans="2:11" ht="21" x14ac:dyDescent="0.35">
      <c r="B2" s="181" t="str">
        <f>_xlfn.CONCAT("CSC Markbook - V",Changelog!B21)</f>
        <v>CSC Markbook - V1.9.0</v>
      </c>
      <c r="C2" s="182"/>
      <c r="D2" s="182"/>
      <c r="E2" s="182"/>
      <c r="F2" s="183"/>
      <c r="H2" s="186"/>
      <c r="I2" s="186"/>
      <c r="J2" s="186"/>
      <c r="K2" s="186"/>
    </row>
    <row r="3" spans="2:11" ht="20.25" customHeight="1" thickBot="1" x14ac:dyDescent="0.35">
      <c r="B3" s="10"/>
      <c r="C3" s="196" t="s">
        <v>26</v>
      </c>
      <c r="D3" s="196"/>
      <c r="E3" s="196"/>
      <c r="F3" s="11"/>
      <c r="H3" s="26"/>
      <c r="I3" s="26"/>
      <c r="J3" s="26"/>
      <c r="K3" s="26"/>
    </row>
    <row r="4" spans="2:11" ht="15.75" thickTop="1" x14ac:dyDescent="0.25">
      <c r="B4" s="10"/>
      <c r="C4" s="13" t="s">
        <v>30</v>
      </c>
      <c r="D4" s="31">
        <v>7</v>
      </c>
      <c r="E4" s="32" t="s">
        <v>16</v>
      </c>
      <c r="F4" s="11"/>
      <c r="H4" s="26"/>
      <c r="I4" s="26"/>
      <c r="J4" s="26"/>
      <c r="K4" s="26"/>
    </row>
    <row r="5" spans="2:11" x14ac:dyDescent="0.25">
      <c r="B5" s="10"/>
      <c r="C5" s="14" t="s">
        <v>24</v>
      </c>
      <c r="D5" s="190" t="s">
        <v>66</v>
      </c>
      <c r="E5" s="191"/>
      <c r="F5" s="11"/>
      <c r="H5" s="26"/>
      <c r="I5" s="26"/>
      <c r="J5" s="26"/>
      <c r="K5" s="26"/>
    </row>
    <row r="6" spans="2:11" x14ac:dyDescent="0.25">
      <c r="B6" s="10"/>
      <c r="C6" s="14" t="s">
        <v>29</v>
      </c>
      <c r="D6" s="192">
        <v>2020</v>
      </c>
      <c r="E6" s="193"/>
      <c r="F6" s="11"/>
      <c r="H6" s="26"/>
      <c r="I6" s="26"/>
      <c r="J6" s="26"/>
      <c r="K6" s="26"/>
    </row>
    <row r="7" spans="2:11" x14ac:dyDescent="0.25">
      <c r="B7" s="10"/>
      <c r="C7" s="14" t="s">
        <v>25</v>
      </c>
      <c r="D7" s="194" t="s">
        <v>67</v>
      </c>
      <c r="E7" s="195"/>
      <c r="F7" s="11"/>
      <c r="H7" s="26"/>
      <c r="I7" s="26"/>
      <c r="J7" s="26"/>
      <c r="K7" s="26"/>
    </row>
    <row r="8" spans="2:11" x14ac:dyDescent="0.25">
      <c r="B8" s="10"/>
      <c r="C8" s="187" t="s">
        <v>22</v>
      </c>
      <c r="D8" s="188"/>
      <c r="E8" s="189"/>
      <c r="F8" s="11"/>
      <c r="H8" s="26"/>
      <c r="I8" s="26"/>
      <c r="J8" s="26"/>
      <c r="K8" s="26"/>
    </row>
    <row r="9" spans="2:11" x14ac:dyDescent="0.25">
      <c r="B9" s="10"/>
      <c r="C9" s="15" t="s">
        <v>19</v>
      </c>
      <c r="D9" s="15" t="s">
        <v>20</v>
      </c>
      <c r="E9" s="12" t="s">
        <v>23</v>
      </c>
      <c r="F9" s="11"/>
      <c r="H9" s="26"/>
      <c r="I9" s="26"/>
      <c r="J9" s="26"/>
      <c r="K9" s="26"/>
    </row>
    <row r="10" spans="2:11" x14ac:dyDescent="0.25">
      <c r="B10" s="10"/>
      <c r="C10" s="67"/>
      <c r="D10" s="68"/>
      <c r="E10" s="67"/>
      <c r="F10" s="11"/>
      <c r="H10" s="26"/>
      <c r="I10" s="26"/>
      <c r="J10" s="26"/>
      <c r="K10" s="26"/>
    </row>
    <row r="11" spans="2:11" x14ac:dyDescent="0.25">
      <c r="B11" s="10"/>
      <c r="C11" s="67"/>
      <c r="D11" s="68"/>
      <c r="E11" s="67"/>
      <c r="F11" s="11"/>
      <c r="H11" s="26"/>
      <c r="I11" s="26"/>
      <c r="J11" s="26"/>
      <c r="K11" s="26"/>
    </row>
    <row r="12" spans="2:11" x14ac:dyDescent="0.25">
      <c r="B12" s="10"/>
      <c r="C12" s="67"/>
      <c r="D12" s="68"/>
      <c r="E12" s="67"/>
      <c r="F12" s="11"/>
      <c r="H12" s="26"/>
      <c r="I12" s="26"/>
      <c r="J12" s="26"/>
      <c r="K12" s="26"/>
    </row>
    <row r="13" spans="2:11" x14ac:dyDescent="0.25">
      <c r="B13" s="10"/>
      <c r="C13" s="67"/>
      <c r="D13" s="68"/>
      <c r="E13" s="67"/>
      <c r="F13" s="11"/>
      <c r="H13" s="26"/>
      <c r="I13" s="26"/>
      <c r="J13" s="26"/>
      <c r="K13" s="26"/>
    </row>
    <row r="14" spans="2:11" x14ac:dyDescent="0.25">
      <c r="B14" s="10"/>
      <c r="C14" s="67"/>
      <c r="D14" s="68"/>
      <c r="E14" s="67"/>
      <c r="F14" s="11"/>
      <c r="H14" s="26"/>
      <c r="I14" s="26"/>
      <c r="J14" s="26"/>
      <c r="K14" s="26"/>
    </row>
    <row r="15" spans="2:11" x14ac:dyDescent="0.25">
      <c r="B15" s="10"/>
      <c r="C15" s="67"/>
      <c r="D15" s="68"/>
      <c r="E15" s="67"/>
      <c r="F15" s="11"/>
      <c r="H15" s="26"/>
      <c r="I15" s="26"/>
      <c r="J15" s="26"/>
      <c r="K15" s="26"/>
    </row>
    <row r="16" spans="2:11" x14ac:dyDescent="0.25">
      <c r="B16" s="10"/>
      <c r="C16" s="67"/>
      <c r="D16" s="68"/>
      <c r="E16" s="67"/>
      <c r="F16" s="11"/>
      <c r="H16" s="26"/>
      <c r="I16" s="26"/>
      <c r="J16" s="26"/>
      <c r="K16" s="26"/>
    </row>
    <row r="17" spans="2:11" x14ac:dyDescent="0.25">
      <c r="B17" s="10"/>
      <c r="C17" s="67"/>
      <c r="D17" s="68"/>
      <c r="E17" s="67"/>
      <c r="F17" s="11"/>
      <c r="H17" s="26"/>
      <c r="I17" s="26"/>
      <c r="J17" s="26"/>
      <c r="K17" s="26"/>
    </row>
    <row r="18" spans="2:11" x14ac:dyDescent="0.25">
      <c r="B18" s="10"/>
      <c r="C18" s="67"/>
      <c r="D18" s="68"/>
      <c r="E18" s="67"/>
      <c r="F18" s="11"/>
      <c r="H18" s="26"/>
      <c r="I18" s="26"/>
      <c r="J18" s="26"/>
      <c r="K18" s="26"/>
    </row>
    <row r="19" spans="2:11" x14ac:dyDescent="0.25">
      <c r="B19" s="10"/>
      <c r="C19" s="67"/>
      <c r="D19" s="68"/>
      <c r="E19" s="67"/>
      <c r="F19" s="11"/>
      <c r="H19" s="26"/>
      <c r="I19" s="26"/>
      <c r="J19" s="26"/>
      <c r="K19" s="26"/>
    </row>
    <row r="20" spans="2:11" x14ac:dyDescent="0.25">
      <c r="B20" s="10"/>
      <c r="C20" s="67"/>
      <c r="D20" s="68"/>
      <c r="E20" s="67"/>
      <c r="F20" s="11"/>
      <c r="H20" s="26"/>
      <c r="I20" s="26"/>
      <c r="J20" s="26"/>
      <c r="K20" s="26"/>
    </row>
    <row r="21" spans="2:11" x14ac:dyDescent="0.25">
      <c r="B21" s="10"/>
      <c r="C21" s="67"/>
      <c r="D21" s="68"/>
      <c r="E21" s="67"/>
      <c r="F21" s="11"/>
      <c r="H21" s="26"/>
      <c r="I21" s="26"/>
      <c r="J21" s="26"/>
      <c r="K21" s="26"/>
    </row>
    <row r="22" spans="2:11" x14ac:dyDescent="0.25">
      <c r="B22" s="10"/>
      <c r="C22" s="67"/>
      <c r="D22" s="68"/>
      <c r="E22" s="67"/>
      <c r="F22" s="11"/>
      <c r="H22" s="26"/>
      <c r="I22" s="26"/>
      <c r="J22" s="26"/>
      <c r="K22" s="26"/>
    </row>
    <row r="23" spans="2:11" x14ac:dyDescent="0.25">
      <c r="B23" s="10"/>
      <c r="C23" s="67"/>
      <c r="D23" s="68"/>
      <c r="E23" s="67"/>
      <c r="F23" s="11"/>
      <c r="H23" s="26"/>
      <c r="I23" s="26"/>
      <c r="J23" s="26"/>
      <c r="K23" s="26"/>
    </row>
    <row r="24" spans="2:11" x14ac:dyDescent="0.25">
      <c r="B24" s="10"/>
      <c r="C24" s="67"/>
      <c r="D24" s="68"/>
      <c r="E24" s="67"/>
      <c r="F24" s="11"/>
      <c r="H24" s="26"/>
      <c r="I24" s="26"/>
      <c r="J24" s="26"/>
      <c r="K24" s="26"/>
    </row>
    <row r="25" spans="2:11" x14ac:dyDescent="0.25">
      <c r="B25" s="10"/>
      <c r="C25" s="67"/>
      <c r="D25" s="68"/>
      <c r="E25" s="67"/>
      <c r="F25" s="11"/>
      <c r="H25" s="49"/>
      <c r="I25" s="185"/>
      <c r="J25" s="185"/>
      <c r="K25" s="185"/>
    </row>
    <row r="26" spans="2:11" x14ac:dyDescent="0.25">
      <c r="B26" s="10"/>
      <c r="C26" s="67"/>
      <c r="D26" s="68"/>
      <c r="E26" s="67"/>
      <c r="F26" s="11"/>
      <c r="H26" s="50"/>
      <c r="I26" s="186"/>
      <c r="J26" s="186"/>
      <c r="K26" s="186"/>
    </row>
    <row r="27" spans="2:11" ht="15" customHeight="1" x14ac:dyDescent="0.25">
      <c r="B27" s="10"/>
      <c r="C27" s="67"/>
      <c r="D27" s="68"/>
      <c r="E27" s="67"/>
      <c r="F27" s="11"/>
      <c r="H27" s="184"/>
      <c r="I27" s="48"/>
      <c r="J27" s="48"/>
      <c r="K27" s="48"/>
    </row>
    <row r="28" spans="2:11" x14ac:dyDescent="0.25">
      <c r="B28" s="10"/>
      <c r="C28" s="67"/>
      <c r="D28" s="68"/>
      <c r="E28" s="67"/>
      <c r="F28" s="11"/>
      <c r="H28" s="184"/>
      <c r="I28" s="48"/>
      <c r="J28" s="48"/>
      <c r="K28" s="48"/>
    </row>
    <row r="29" spans="2:11" x14ac:dyDescent="0.25">
      <c r="B29" s="10"/>
      <c r="C29" s="67"/>
      <c r="D29" s="68"/>
      <c r="E29" s="67"/>
      <c r="F29" s="11"/>
      <c r="H29" s="184"/>
      <c r="I29" s="48"/>
      <c r="J29" s="48"/>
      <c r="K29" s="48"/>
    </row>
    <row r="30" spans="2:11" x14ac:dyDescent="0.25">
      <c r="B30" s="10"/>
      <c r="C30" s="67"/>
      <c r="D30" s="68"/>
      <c r="E30" s="67"/>
      <c r="F30" s="11"/>
      <c r="H30" s="26"/>
      <c r="I30" s="26"/>
      <c r="J30" s="26"/>
      <c r="K30" s="26"/>
    </row>
    <row r="31" spans="2:11" x14ac:dyDescent="0.25">
      <c r="B31" s="10"/>
      <c r="C31" s="67"/>
      <c r="D31" s="68"/>
      <c r="E31" s="67"/>
      <c r="F31" s="11"/>
      <c r="H31" s="26"/>
      <c r="I31" s="26"/>
      <c r="J31" s="26"/>
      <c r="K31" s="26"/>
    </row>
    <row r="32" spans="2:11" x14ac:dyDescent="0.25">
      <c r="B32" s="10"/>
      <c r="C32" s="67"/>
      <c r="D32" s="68"/>
      <c r="E32" s="67"/>
      <c r="F32" s="11"/>
    </row>
    <row r="33" spans="2:11" x14ac:dyDescent="0.25">
      <c r="B33" s="10"/>
      <c r="C33" s="67"/>
      <c r="D33" s="68"/>
      <c r="E33" s="67"/>
      <c r="F33" s="11"/>
      <c r="H33" s="51" t="s">
        <v>27</v>
      </c>
      <c r="I33" s="197" t="s">
        <v>35</v>
      </c>
      <c r="J33" s="198"/>
      <c r="K33" s="199"/>
    </row>
    <row r="34" spans="2:11" ht="15.75" customHeight="1" x14ac:dyDescent="0.25">
      <c r="B34" s="10"/>
      <c r="C34" s="67"/>
      <c r="D34" s="68"/>
      <c r="E34" s="67"/>
      <c r="F34" s="11"/>
      <c r="H34" s="20" t="s">
        <v>28</v>
      </c>
      <c r="I34" s="200" t="s">
        <v>37</v>
      </c>
      <c r="J34" s="201"/>
      <c r="K34" s="202"/>
    </row>
    <row r="35" spans="2:11" x14ac:dyDescent="0.25">
      <c r="B35" s="10"/>
      <c r="C35" s="67"/>
      <c r="D35" s="52"/>
      <c r="E35" s="29"/>
      <c r="F35" s="11"/>
      <c r="H35" s="169" t="s">
        <v>36</v>
      </c>
      <c r="I35" s="172" t="s">
        <v>38</v>
      </c>
      <c r="J35" s="173"/>
      <c r="K35" s="174"/>
    </row>
    <row r="36" spans="2:11" x14ac:dyDescent="0.25">
      <c r="B36" s="10"/>
      <c r="C36" s="67"/>
      <c r="D36" s="30"/>
      <c r="E36" s="29"/>
      <c r="F36" s="11"/>
      <c r="H36" s="170"/>
      <c r="I36" s="175"/>
      <c r="J36" s="176"/>
      <c r="K36" s="177"/>
    </row>
    <row r="37" spans="2:11" x14ac:dyDescent="0.25">
      <c r="B37" s="10"/>
      <c r="C37" s="67"/>
      <c r="D37" s="53"/>
      <c r="E37" s="29"/>
      <c r="F37" s="11"/>
      <c r="H37" s="171"/>
      <c r="I37" s="178"/>
      <c r="J37" s="179"/>
      <c r="K37" s="180"/>
    </row>
    <row r="38" spans="2:11" x14ac:dyDescent="0.25">
      <c r="B38" s="10"/>
      <c r="C38" s="67"/>
      <c r="D38" s="53"/>
      <c r="E38" s="29"/>
      <c r="F38" s="11"/>
      <c r="H38" s="26"/>
      <c r="I38" s="26"/>
      <c r="J38" s="26"/>
      <c r="K38" s="26"/>
    </row>
    <row r="39" spans="2:11" x14ac:dyDescent="0.25">
      <c r="B39" s="10"/>
      <c r="C39" s="67"/>
      <c r="D39" s="53"/>
      <c r="E39" s="29"/>
      <c r="F39" s="11"/>
      <c r="H39" s="26"/>
      <c r="I39" s="26"/>
      <c r="J39" s="26"/>
      <c r="K39" s="26"/>
    </row>
    <row r="40" spans="2:11" x14ac:dyDescent="0.25">
      <c r="B40" s="10"/>
      <c r="C40" s="67"/>
      <c r="D40" s="53"/>
      <c r="E40" s="67"/>
      <c r="F40" s="11"/>
      <c r="H40" s="26"/>
      <c r="I40" s="26"/>
      <c r="J40" s="26"/>
      <c r="K40" s="26"/>
    </row>
    <row r="41" spans="2:11" x14ac:dyDescent="0.25">
      <c r="B41" s="10"/>
      <c r="C41" s="67"/>
      <c r="D41" s="53"/>
      <c r="E41" s="67"/>
      <c r="F41" s="11"/>
      <c r="H41" s="26"/>
      <c r="I41" s="26"/>
      <c r="J41" s="26"/>
      <c r="K41" s="26"/>
    </row>
    <row r="42" spans="2:11" x14ac:dyDescent="0.25">
      <c r="B42" s="10"/>
      <c r="C42" s="67"/>
      <c r="D42" s="53"/>
      <c r="E42" s="67"/>
      <c r="F42" s="11"/>
    </row>
    <row r="43" spans="2:11" x14ac:dyDescent="0.25">
      <c r="B43" s="10"/>
      <c r="C43" s="67"/>
      <c r="D43" s="53"/>
      <c r="E43" s="67"/>
      <c r="F43" s="11"/>
    </row>
    <row r="44" spans="2:11" x14ac:dyDescent="0.25">
      <c r="B44" s="10"/>
      <c r="C44" s="67"/>
      <c r="D44" s="53"/>
      <c r="E44" s="67"/>
      <c r="F44" s="11"/>
    </row>
    <row r="45" spans="2:11" x14ac:dyDescent="0.25">
      <c r="B45" s="10"/>
      <c r="C45" s="67"/>
      <c r="D45" s="53"/>
      <c r="E45" s="67"/>
      <c r="F45" s="11"/>
    </row>
    <row r="46" spans="2:11" ht="15.75" thickBot="1" x14ac:dyDescent="0.3">
      <c r="B46" s="54"/>
      <c r="C46" s="55"/>
      <c r="D46" s="55"/>
      <c r="E46" s="55"/>
      <c r="F46" s="56"/>
    </row>
  </sheetData>
  <mergeCells count="14">
    <mergeCell ref="H35:H37"/>
    <mergeCell ref="I35:K37"/>
    <mergeCell ref="B2:F2"/>
    <mergeCell ref="H27:H29"/>
    <mergeCell ref="I25:K25"/>
    <mergeCell ref="I26:K26"/>
    <mergeCell ref="H2:K2"/>
    <mergeCell ref="C8:E8"/>
    <mergeCell ref="D5:E5"/>
    <mergeCell ref="D6:E6"/>
    <mergeCell ref="D7:E7"/>
    <mergeCell ref="C3:E3"/>
    <mergeCell ref="I33:K33"/>
    <mergeCell ref="I34:K34"/>
  </mergeCells>
  <dataValidations count="4">
    <dataValidation type="date" allowBlank="1" showInputMessage="1" showErrorMessage="1" sqref="D6:E6" xr:uid="{41B5F7FE-C2FB-404C-AA48-800A7F904ACF}">
      <formula1>2010</formula1>
      <formula2>2099</formula2>
    </dataValidation>
    <dataValidation type="list" allowBlank="1" showInputMessage="1" showErrorMessage="1" sqref="D4" xr:uid="{8502FCB0-5093-4D47-87DC-A59E0AC39C48}">
      <formula1>"7,8,9,10,11,12,13"</formula1>
    </dataValidation>
    <dataValidation type="list" allowBlank="1" showInputMessage="1" showErrorMessage="1" sqref="E4" xr:uid="{9F049A33-2CD7-4147-9704-2309533F167D}">
      <formula1>"A,B,C,D,E,F,G,H,I,J,K,L,M,N,O,P,Q,R,S,T,U,V,W,X,Y,Z"</formula1>
    </dataValidation>
    <dataValidation type="list" showInputMessage="1" showErrorMessage="1" sqref="E10:E45" xr:uid="{89C21192-E7FA-4300-85B6-4A59573A3AA0}">
      <formula1>"Y, N"</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5873D-FC30-4C44-AF45-ED1C6BDD858F}">
  <sheetPr codeName="Sheet2">
    <tabColor theme="8" tint="0.59999389629810485"/>
  </sheetPr>
  <dimension ref="A1:WKS81"/>
  <sheetViews>
    <sheetView zoomScale="85" zoomScaleNormal="85" workbookViewId="0">
      <pane xSplit="2" ySplit="4" topLeftCell="C5" activePane="bottomRight" state="frozenSplit"/>
      <selection pane="topRight" activeCell="AE1" sqref="AE1"/>
      <selection pane="bottomLeft" activeCell="A23" sqref="A23"/>
      <selection pane="bottomRight" activeCell="AB1" sqref="AB1:AG40"/>
    </sheetView>
  </sheetViews>
  <sheetFormatPr defaultColWidth="0" defaultRowHeight="15" x14ac:dyDescent="0.25"/>
  <cols>
    <col min="1" max="2" width="15.7109375" style="61" customWidth="1"/>
    <col min="3" max="15809" width="0" style="62" hidden="1"/>
    <col min="15810" max="16384" width="9.140625" style="62" hidden="1"/>
  </cols>
  <sheetData>
    <row r="1" spans="1:2 15853:15853" s="60" customFormat="1" x14ac:dyDescent="0.25">
      <c r="A1" s="203" t="str">
        <f>_xlfn.CONCAT("Year ",ClassInformation!D4,ClassInformation!E4," ",ClassInformation!D5," - ","Semester 1 ",ClassInformation!D6)</f>
        <v>Year 7A [Subject] - Semester 1 2020</v>
      </c>
      <c r="B1" s="204"/>
    </row>
    <row r="2" spans="1:2 15853:15853" s="60" customFormat="1" x14ac:dyDescent="0.25">
      <c r="A2" s="203"/>
      <c r="B2" s="204"/>
    </row>
    <row r="3" spans="1:2 15853:15853" s="60" customFormat="1" x14ac:dyDescent="0.25">
      <c r="A3" s="205" t="s">
        <v>21</v>
      </c>
      <c r="B3" s="206"/>
    </row>
    <row r="4" spans="1:2 15853:15853" s="60" customFormat="1" ht="15.75" thickBot="1" x14ac:dyDescent="0.3">
      <c r="A4" s="105" t="str">
        <f>ClassInformation!C9</f>
        <v>Last Name</v>
      </c>
      <c r="B4" s="57" t="str">
        <f>ClassInformation!D9</f>
        <v>First Name</v>
      </c>
    </row>
    <row r="5" spans="1:2 15853:15853" s="28" customFormat="1" x14ac:dyDescent="0.25">
      <c r="A5" s="110" t="str">
        <f>IF(ISBLANK(ClassInformation!C10),"ZZZZZ",ClassInformation!C10)</f>
        <v>ZZZZZ</v>
      </c>
      <c r="B5" s="59" t="str">
        <f>IF(ISBLANK(ClassInformation!D10),"ZZZZZ",ClassInformation!D10)</f>
        <v>ZZZZZ</v>
      </c>
      <c r="WKS5" s="28">
        <f>ClassInformation!E10</f>
        <v>0</v>
      </c>
    </row>
    <row r="6" spans="1:2 15853:15853" s="28" customFormat="1" x14ac:dyDescent="0.25">
      <c r="A6" s="58" t="str">
        <f>IF(ISBLANK(ClassInformation!C11),"ZZZZZ",ClassInformation!C11)</f>
        <v>ZZZZZ</v>
      </c>
      <c r="B6" s="59" t="str">
        <f>IF(ISBLANK(ClassInformation!D11),"ZZZZZ",ClassInformation!D11)</f>
        <v>ZZZZZ</v>
      </c>
      <c r="WKS6" s="28">
        <f>ClassInformation!E11</f>
        <v>0</v>
      </c>
    </row>
    <row r="7" spans="1:2 15853:15853" s="28" customFormat="1" x14ac:dyDescent="0.25">
      <c r="A7" s="58" t="str">
        <f>IF(ISBLANK(ClassInformation!C12),"ZZZZZ",ClassInformation!C12)</f>
        <v>ZZZZZ</v>
      </c>
      <c r="B7" s="59" t="str">
        <f>IF(ISBLANK(ClassInformation!D12),"ZZZZZ",ClassInformation!D12)</f>
        <v>ZZZZZ</v>
      </c>
      <c r="WKS7" s="28">
        <f>ClassInformation!E12</f>
        <v>0</v>
      </c>
    </row>
    <row r="8" spans="1:2 15853:15853" s="28" customFormat="1" x14ac:dyDescent="0.25">
      <c r="A8" s="58" t="str">
        <f>IF(ISBLANK(ClassInformation!C13),"ZZZZZ",ClassInformation!C13)</f>
        <v>ZZZZZ</v>
      </c>
      <c r="B8" s="59" t="str">
        <f>IF(ISBLANK(ClassInformation!D13),"ZZZZZ",ClassInformation!D13)</f>
        <v>ZZZZZ</v>
      </c>
      <c r="WKS8" s="28">
        <f>ClassInformation!E13</f>
        <v>0</v>
      </c>
    </row>
    <row r="9" spans="1:2 15853:15853" s="28" customFormat="1" x14ac:dyDescent="0.25">
      <c r="A9" s="58" t="str">
        <f>IF(ISBLANK(ClassInformation!C14),"ZZZZZ",ClassInformation!C14)</f>
        <v>ZZZZZ</v>
      </c>
      <c r="B9" s="59" t="str">
        <f>IF(ISBLANK(ClassInformation!D14),"ZZZZZ",ClassInformation!D14)</f>
        <v>ZZZZZ</v>
      </c>
      <c r="WKS9" s="28">
        <f>ClassInformation!E14</f>
        <v>0</v>
      </c>
    </row>
    <row r="10" spans="1:2 15853:15853" s="28" customFormat="1" x14ac:dyDescent="0.25">
      <c r="A10" s="58" t="str">
        <f>IF(ISBLANK(ClassInformation!C15),"ZZZZZ",ClassInformation!C15)</f>
        <v>ZZZZZ</v>
      </c>
      <c r="B10" s="59" t="str">
        <f>IF(ISBLANK(ClassInformation!D15),"ZZZZZ",ClassInformation!D15)</f>
        <v>ZZZZZ</v>
      </c>
      <c r="WKS10" s="28">
        <f>ClassInformation!E15</f>
        <v>0</v>
      </c>
    </row>
    <row r="11" spans="1:2 15853:15853" s="28" customFormat="1" x14ac:dyDescent="0.25">
      <c r="A11" s="58" t="str">
        <f>IF(ISBLANK(ClassInformation!C16),"ZZZZZ",ClassInformation!C16)</f>
        <v>ZZZZZ</v>
      </c>
      <c r="B11" s="59" t="str">
        <f>IF(ISBLANK(ClassInformation!D16),"ZZZZZ",ClassInformation!D16)</f>
        <v>ZZZZZ</v>
      </c>
      <c r="WKS11" s="28">
        <f>ClassInformation!E16</f>
        <v>0</v>
      </c>
    </row>
    <row r="12" spans="1:2 15853:15853" s="28" customFormat="1" x14ac:dyDescent="0.25">
      <c r="A12" s="58" t="str">
        <f>IF(ISBLANK(ClassInformation!C17),"ZZZZZ",ClassInformation!C17)</f>
        <v>ZZZZZ</v>
      </c>
      <c r="B12" s="59" t="str">
        <f>IF(ISBLANK(ClassInformation!D17),"ZZZZZ",ClassInformation!D17)</f>
        <v>ZZZZZ</v>
      </c>
      <c r="WKS12" s="28">
        <f>ClassInformation!E17</f>
        <v>0</v>
      </c>
    </row>
    <row r="13" spans="1:2 15853:15853" s="28" customFormat="1" x14ac:dyDescent="0.25">
      <c r="A13" s="58" t="str">
        <f>IF(ISBLANK(ClassInformation!C18),"ZZZZZ",ClassInformation!C18)</f>
        <v>ZZZZZ</v>
      </c>
      <c r="B13" s="59" t="str">
        <f>IF(ISBLANK(ClassInformation!D18),"ZZZZZ",ClassInformation!D18)</f>
        <v>ZZZZZ</v>
      </c>
      <c r="WKS13" s="28">
        <f>ClassInformation!E18</f>
        <v>0</v>
      </c>
    </row>
    <row r="14" spans="1:2 15853:15853" s="28" customFormat="1" x14ac:dyDescent="0.25">
      <c r="A14" s="58" t="str">
        <f>IF(ISBLANK(ClassInformation!C19),"ZZZZZ",ClassInformation!C19)</f>
        <v>ZZZZZ</v>
      </c>
      <c r="B14" s="59" t="str">
        <f>IF(ISBLANK(ClassInformation!D19),"ZZZZZ",ClassInformation!D19)</f>
        <v>ZZZZZ</v>
      </c>
      <c r="WKS14" s="28">
        <f>ClassInformation!E19</f>
        <v>0</v>
      </c>
    </row>
    <row r="15" spans="1:2 15853:15853" s="28" customFormat="1" x14ac:dyDescent="0.25">
      <c r="A15" s="58" t="str">
        <f>IF(ISBLANK(ClassInformation!C20),"ZZZZZ",ClassInformation!C20)</f>
        <v>ZZZZZ</v>
      </c>
      <c r="B15" s="59" t="str">
        <f>IF(ISBLANK(ClassInformation!D20),"ZZZZZ",ClassInformation!D20)</f>
        <v>ZZZZZ</v>
      </c>
      <c r="WKS15" s="28">
        <f>ClassInformation!E20</f>
        <v>0</v>
      </c>
    </row>
    <row r="16" spans="1:2 15853:15853" s="28" customFormat="1" x14ac:dyDescent="0.25">
      <c r="A16" s="58" t="str">
        <f>IF(ISBLANK(ClassInformation!C21),"ZZZZZ",ClassInformation!C21)</f>
        <v>ZZZZZ</v>
      </c>
      <c r="B16" s="59" t="str">
        <f>IF(ISBLANK(ClassInformation!D21),"ZZZZZ",ClassInformation!D21)</f>
        <v>ZZZZZ</v>
      </c>
      <c r="WKS16" s="28">
        <f>ClassInformation!E21</f>
        <v>0</v>
      </c>
    </row>
    <row r="17" spans="1:2 15853:15853" s="28" customFormat="1" x14ac:dyDescent="0.25">
      <c r="A17" s="58" t="str">
        <f>IF(ISBLANK(ClassInformation!C22),"ZZZZZ",ClassInformation!C22)</f>
        <v>ZZZZZ</v>
      </c>
      <c r="B17" s="59" t="str">
        <f>IF(ISBLANK(ClassInformation!D22),"ZZZZZ",ClassInformation!D22)</f>
        <v>ZZZZZ</v>
      </c>
      <c r="WKS17" s="28">
        <f>ClassInformation!E22</f>
        <v>0</v>
      </c>
    </row>
    <row r="18" spans="1:2 15853:15853" s="28" customFormat="1" x14ac:dyDescent="0.25">
      <c r="A18" s="58" t="str">
        <f>IF(ISBLANK(ClassInformation!C23),"ZZZZZ",ClassInformation!C23)</f>
        <v>ZZZZZ</v>
      </c>
      <c r="B18" s="59" t="str">
        <f>IF(ISBLANK(ClassInformation!D23),"ZZZZZ",ClassInformation!D23)</f>
        <v>ZZZZZ</v>
      </c>
      <c r="WKS18" s="28">
        <f>ClassInformation!E23</f>
        <v>0</v>
      </c>
    </row>
    <row r="19" spans="1:2 15853:15853" s="28" customFormat="1" x14ac:dyDescent="0.25">
      <c r="A19" s="58" t="str">
        <f>IF(ISBLANK(ClassInformation!C24),"ZZZZZ",ClassInformation!C24)</f>
        <v>ZZZZZ</v>
      </c>
      <c r="B19" s="59" t="str">
        <f>IF(ISBLANK(ClassInformation!D24),"ZZZZZ",ClassInformation!D24)</f>
        <v>ZZZZZ</v>
      </c>
      <c r="WKS19" s="28">
        <f>ClassInformation!E24</f>
        <v>0</v>
      </c>
    </row>
    <row r="20" spans="1:2 15853:15853" s="28" customFormat="1" x14ac:dyDescent="0.25">
      <c r="A20" s="58" t="str">
        <f>IF(ISBLANK(ClassInformation!C25),"ZZZZZ",ClassInformation!C25)</f>
        <v>ZZZZZ</v>
      </c>
      <c r="B20" s="59" t="str">
        <f>IF(ISBLANK(ClassInformation!D25),"ZZZZZ",ClassInformation!D25)</f>
        <v>ZZZZZ</v>
      </c>
      <c r="WKS20" s="28">
        <f>ClassInformation!E25</f>
        <v>0</v>
      </c>
    </row>
    <row r="21" spans="1:2 15853:15853" s="28" customFormat="1" x14ac:dyDescent="0.25">
      <c r="A21" s="58" t="str">
        <f>IF(ISBLANK(ClassInformation!C26),"ZZZZZ",ClassInformation!C26)</f>
        <v>ZZZZZ</v>
      </c>
      <c r="B21" s="59" t="str">
        <f>IF(ISBLANK(ClassInformation!D26),"ZZZZZ",ClassInformation!D26)</f>
        <v>ZZZZZ</v>
      </c>
      <c r="WKS21" s="28">
        <f>ClassInformation!E26</f>
        <v>0</v>
      </c>
    </row>
    <row r="22" spans="1:2 15853:15853" s="28" customFormat="1" x14ac:dyDescent="0.25">
      <c r="A22" s="58" t="str">
        <f>IF(ISBLANK(ClassInformation!C27),"ZZZZZ",ClassInformation!C27)</f>
        <v>ZZZZZ</v>
      </c>
      <c r="B22" s="59" t="str">
        <f>IF(ISBLANK(ClassInformation!D27),"ZZZZZ",ClassInformation!D27)</f>
        <v>ZZZZZ</v>
      </c>
      <c r="WKS22" s="28">
        <f>ClassInformation!E27</f>
        <v>0</v>
      </c>
    </row>
    <row r="23" spans="1:2 15853:15853" s="28" customFormat="1" x14ac:dyDescent="0.25">
      <c r="A23" s="58" t="str">
        <f>IF(ISBLANK(ClassInformation!C28),"ZZZZZ",ClassInformation!C28)</f>
        <v>ZZZZZ</v>
      </c>
      <c r="B23" s="59" t="str">
        <f>IF(ISBLANK(ClassInformation!D28),"ZZZZZ",ClassInformation!D28)</f>
        <v>ZZZZZ</v>
      </c>
      <c r="WKS23" s="28">
        <f>ClassInformation!E28</f>
        <v>0</v>
      </c>
    </row>
    <row r="24" spans="1:2 15853:15853" s="28" customFormat="1" x14ac:dyDescent="0.25">
      <c r="A24" s="58" t="str">
        <f>IF(ISBLANK(ClassInformation!C29),"ZZZZZ",ClassInformation!C29)</f>
        <v>ZZZZZ</v>
      </c>
      <c r="B24" s="59" t="str">
        <f>IF(ISBLANK(ClassInformation!D29),"ZZZZZ",ClassInformation!D29)</f>
        <v>ZZZZZ</v>
      </c>
      <c r="WKS24" s="28">
        <f>ClassInformation!E29</f>
        <v>0</v>
      </c>
    </row>
    <row r="25" spans="1:2 15853:15853" s="28" customFormat="1" x14ac:dyDescent="0.25">
      <c r="A25" s="58" t="str">
        <f>IF(ISBLANK(ClassInformation!C30),"ZZZZZ",ClassInformation!C30)</f>
        <v>ZZZZZ</v>
      </c>
      <c r="B25" s="59" t="str">
        <f>IF(ISBLANK(ClassInformation!D30),"ZZZZZ",ClassInformation!D30)</f>
        <v>ZZZZZ</v>
      </c>
      <c r="WKS25" s="28">
        <f>ClassInformation!E30</f>
        <v>0</v>
      </c>
    </row>
    <row r="26" spans="1:2 15853:15853" s="28" customFormat="1" x14ac:dyDescent="0.25">
      <c r="A26" s="58" t="str">
        <f>IF(ISBLANK(ClassInformation!C31),"ZZZZZ",ClassInformation!C31)</f>
        <v>ZZZZZ</v>
      </c>
      <c r="B26" s="59" t="str">
        <f>IF(ISBLANK(ClassInformation!D31),"ZZZZZ",ClassInformation!D31)</f>
        <v>ZZZZZ</v>
      </c>
      <c r="WKS26" s="28">
        <f>ClassInformation!E31</f>
        <v>0</v>
      </c>
    </row>
    <row r="27" spans="1:2 15853:15853" s="28" customFormat="1" x14ac:dyDescent="0.25">
      <c r="A27" s="58" t="str">
        <f>IF(ISBLANK(ClassInformation!C32),"ZZZZZ",ClassInformation!C32)</f>
        <v>ZZZZZ</v>
      </c>
      <c r="B27" s="59" t="str">
        <f>IF(ISBLANK(ClassInformation!D32),"ZZZZZ",ClassInformation!D32)</f>
        <v>ZZZZZ</v>
      </c>
      <c r="WKS27" s="28">
        <f>ClassInformation!E32</f>
        <v>0</v>
      </c>
    </row>
    <row r="28" spans="1:2 15853:15853" s="28" customFormat="1" x14ac:dyDescent="0.25">
      <c r="A28" s="58" t="str">
        <f>IF(ISBLANK(ClassInformation!C33),"ZZZZZ",ClassInformation!C33)</f>
        <v>ZZZZZ</v>
      </c>
      <c r="B28" s="59" t="str">
        <f>IF(ISBLANK(ClassInformation!D33),"ZZZZZ",ClassInformation!D33)</f>
        <v>ZZZZZ</v>
      </c>
      <c r="WKS28" s="28">
        <f>ClassInformation!E33</f>
        <v>0</v>
      </c>
    </row>
    <row r="29" spans="1:2 15853:15853" s="28" customFormat="1" x14ac:dyDescent="0.25">
      <c r="A29" s="58" t="str">
        <f>IF(ISBLANK(ClassInformation!C34),"ZZZZZ",ClassInformation!C34)</f>
        <v>ZZZZZ</v>
      </c>
      <c r="B29" s="59" t="str">
        <f>IF(ISBLANK(ClassInformation!D34),"ZZZZZ",ClassInformation!D34)</f>
        <v>ZZZZZ</v>
      </c>
      <c r="WKS29" s="28">
        <f>ClassInformation!E34</f>
        <v>0</v>
      </c>
    </row>
    <row r="30" spans="1:2 15853:15853" s="28" customFormat="1" x14ac:dyDescent="0.25">
      <c r="A30" s="58" t="str">
        <f>IF(ISBLANK(ClassInformation!C35),"ZZZZZ",ClassInformation!C35)</f>
        <v>ZZZZZ</v>
      </c>
      <c r="B30" s="59" t="str">
        <f>IF(ISBLANK(ClassInformation!D35),"ZZZZZ",ClassInformation!D35)</f>
        <v>ZZZZZ</v>
      </c>
      <c r="WKS30" s="28">
        <f>ClassInformation!E35</f>
        <v>0</v>
      </c>
    </row>
    <row r="31" spans="1:2 15853:15853" s="28" customFormat="1" x14ac:dyDescent="0.25">
      <c r="A31" s="58" t="str">
        <f>IF(ISBLANK(ClassInformation!C36),"ZZZZZ",ClassInformation!C36)</f>
        <v>ZZZZZ</v>
      </c>
      <c r="B31" s="59" t="str">
        <f>IF(ISBLANK(ClassInformation!D36),"ZZZZZ",ClassInformation!D36)</f>
        <v>ZZZZZ</v>
      </c>
      <c r="WKS31" s="28">
        <f>ClassInformation!E36</f>
        <v>0</v>
      </c>
    </row>
    <row r="32" spans="1:2 15853:15853" s="28" customFormat="1" x14ac:dyDescent="0.25">
      <c r="A32" s="58" t="str">
        <f>IF(ISBLANK(ClassInformation!C37),"ZZZZZ",ClassInformation!C37)</f>
        <v>ZZZZZ</v>
      </c>
      <c r="B32" s="59" t="str">
        <f>IF(ISBLANK(ClassInformation!D37),"ZZZZZ",ClassInformation!D37)</f>
        <v>ZZZZZ</v>
      </c>
      <c r="WKS32" s="28">
        <f>ClassInformation!E37</f>
        <v>0</v>
      </c>
    </row>
    <row r="33" spans="1:2 15655:15853" s="28" customFormat="1" x14ac:dyDescent="0.25">
      <c r="A33" s="58" t="str">
        <f>IF(ISBLANK(ClassInformation!C38),"ZZZZZ",ClassInformation!C38)</f>
        <v>ZZZZZ</v>
      </c>
      <c r="B33" s="59" t="str">
        <f>IF(ISBLANK(ClassInformation!D38),"ZZZZZ",ClassInformation!D38)</f>
        <v>ZZZZZ</v>
      </c>
      <c r="WKS33" s="28">
        <f>ClassInformation!E38</f>
        <v>0</v>
      </c>
    </row>
    <row r="34" spans="1:2 15655:15853" s="28" customFormat="1" x14ac:dyDescent="0.25">
      <c r="A34" s="58" t="str">
        <f>IF(ISBLANK(ClassInformation!C39),"ZZZZZ",ClassInformation!C39)</f>
        <v>ZZZZZ</v>
      </c>
      <c r="B34" s="59" t="str">
        <f>IF(ISBLANK(ClassInformation!D39),"ZZZZZ",ClassInformation!D39)</f>
        <v>ZZZZZ</v>
      </c>
      <c r="WKS34" s="28">
        <f>ClassInformation!E39</f>
        <v>0</v>
      </c>
    </row>
    <row r="35" spans="1:2 15655:15853" s="28" customFormat="1" x14ac:dyDescent="0.25">
      <c r="A35" s="58" t="str">
        <f>IF(ISBLANK(ClassInformation!C40),"ZZZZZ",ClassInformation!C40)</f>
        <v>ZZZZZ</v>
      </c>
      <c r="B35" s="59" t="str">
        <f>IF(ISBLANK(ClassInformation!D40),"ZZZZZ",ClassInformation!D40)</f>
        <v>ZZZZZ</v>
      </c>
      <c r="WKS35" s="28">
        <f>ClassInformation!E40</f>
        <v>0</v>
      </c>
    </row>
    <row r="36" spans="1:2 15655:15853" s="28" customFormat="1" x14ac:dyDescent="0.25">
      <c r="A36" s="58" t="str">
        <f>IF(ISBLANK(ClassInformation!C41),"ZZZZZ",ClassInformation!C41)</f>
        <v>ZZZZZ</v>
      </c>
      <c r="B36" s="59" t="str">
        <f>IF(ISBLANK(ClassInformation!D41),"ZZZZZ",ClassInformation!D41)</f>
        <v>ZZZZZ</v>
      </c>
      <c r="WKS36" s="28">
        <f>ClassInformation!E41</f>
        <v>0</v>
      </c>
    </row>
    <row r="37" spans="1:2 15655:15853" s="28" customFormat="1" x14ac:dyDescent="0.25">
      <c r="A37" s="58" t="str">
        <f>IF(ISBLANK(ClassInformation!C42),"ZZZZZ",ClassInformation!C42)</f>
        <v>ZZZZZ</v>
      </c>
      <c r="B37" s="59" t="str">
        <f>IF(ISBLANK(ClassInformation!D42),"ZZZZZ",ClassInformation!D42)</f>
        <v>ZZZZZ</v>
      </c>
      <c r="WKS37" s="28">
        <f>ClassInformation!E42</f>
        <v>0</v>
      </c>
    </row>
    <row r="38" spans="1:2 15655:15853" s="28" customFormat="1" x14ac:dyDescent="0.25">
      <c r="A38" s="58" t="str">
        <f>IF(ISBLANK(ClassInformation!C43),"ZZZZZ",ClassInformation!C43)</f>
        <v>ZZZZZ</v>
      </c>
      <c r="B38" s="59" t="str">
        <f>IF(ISBLANK(ClassInformation!D43),"ZZZZZ",ClassInformation!D43)</f>
        <v>ZZZZZ</v>
      </c>
      <c r="WKS38" s="28">
        <f>ClassInformation!E43</f>
        <v>0</v>
      </c>
    </row>
    <row r="39" spans="1:2 15655:15853" s="28" customFormat="1" x14ac:dyDescent="0.25">
      <c r="A39" s="58" t="str">
        <f>IF(ISBLANK(ClassInformation!C44),"ZZZZZ",ClassInformation!C44)</f>
        <v>ZZZZZ</v>
      </c>
      <c r="B39" s="59" t="str">
        <f>IF(ISBLANK(ClassInformation!D44),"ZZZZZ",ClassInformation!D44)</f>
        <v>ZZZZZ</v>
      </c>
      <c r="WKS39" s="28">
        <f>ClassInformation!E44</f>
        <v>0</v>
      </c>
    </row>
    <row r="40" spans="1:2 15655:15853" s="28" customFormat="1" ht="15.75" thickBot="1" x14ac:dyDescent="0.3">
      <c r="A40" s="103" t="str">
        <f>IF(ISBLANK(ClassInformation!C45),"ZZZZZ",ClassInformation!C45)</f>
        <v>ZZZZZ</v>
      </c>
      <c r="B40" s="104" t="str">
        <f>IF(ISBLANK(ClassInformation!D45),"ZZZZZ",ClassInformation!D45)</f>
        <v>ZZZZZ</v>
      </c>
      <c r="WKS40" s="28">
        <f>ClassInformation!E45</f>
        <v>0</v>
      </c>
    </row>
    <row r="41" spans="1:2 15655:15853" x14ac:dyDescent="0.25">
      <c r="WDC41" s="28"/>
    </row>
    <row r="46" spans="1:2 15655:15853" x14ac:dyDescent="0.25">
      <c r="A46" s="28"/>
    </row>
    <row r="47" spans="1:2 15655:15853" x14ac:dyDescent="0.25">
      <c r="A47" s="28"/>
    </row>
    <row r="48" spans="1:2 15655:15853" x14ac:dyDescent="0.25">
      <c r="A48" s="28"/>
    </row>
    <row r="49" spans="1:1" x14ac:dyDescent="0.25">
      <c r="A49" s="28"/>
    </row>
    <row r="50" spans="1:1" x14ac:dyDescent="0.25">
      <c r="A50" s="28"/>
    </row>
    <row r="51" spans="1:1" x14ac:dyDescent="0.25">
      <c r="A51" s="28"/>
    </row>
    <row r="52" spans="1:1" x14ac:dyDescent="0.25">
      <c r="A52" s="28"/>
    </row>
    <row r="53" spans="1:1" x14ac:dyDescent="0.25">
      <c r="A53" s="28"/>
    </row>
    <row r="54" spans="1:1" x14ac:dyDescent="0.25">
      <c r="A54" s="28"/>
    </row>
    <row r="55" spans="1:1" x14ac:dyDescent="0.25">
      <c r="A55" s="28"/>
    </row>
    <row r="56" spans="1:1" x14ac:dyDescent="0.25">
      <c r="A56" s="28"/>
    </row>
    <row r="57" spans="1:1" x14ac:dyDescent="0.25">
      <c r="A57" s="28"/>
    </row>
    <row r="58" spans="1:1" x14ac:dyDescent="0.25">
      <c r="A58" s="28"/>
    </row>
    <row r="59" spans="1:1" x14ac:dyDescent="0.25">
      <c r="A59" s="28"/>
    </row>
    <row r="60" spans="1:1" x14ac:dyDescent="0.25">
      <c r="A60" s="28"/>
    </row>
    <row r="61" spans="1:1" x14ac:dyDescent="0.25">
      <c r="A61" s="28"/>
    </row>
    <row r="62" spans="1:1" x14ac:dyDescent="0.25">
      <c r="A62" s="28"/>
    </row>
    <row r="63" spans="1:1" x14ac:dyDescent="0.25">
      <c r="A63" s="28"/>
    </row>
    <row r="64" spans="1:1" x14ac:dyDescent="0.25">
      <c r="A64" s="28"/>
    </row>
    <row r="65" spans="1:1" x14ac:dyDescent="0.25">
      <c r="A65" s="28"/>
    </row>
    <row r="66" spans="1:1" x14ac:dyDescent="0.25">
      <c r="A66" s="28"/>
    </row>
    <row r="67" spans="1:1" x14ac:dyDescent="0.25">
      <c r="A67" s="28"/>
    </row>
    <row r="68" spans="1:1" x14ac:dyDescent="0.25">
      <c r="A68" s="28"/>
    </row>
    <row r="69" spans="1:1" x14ac:dyDescent="0.25">
      <c r="A69" s="28"/>
    </row>
    <row r="70" spans="1:1" x14ac:dyDescent="0.25">
      <c r="A70" s="28"/>
    </row>
    <row r="71" spans="1:1" x14ac:dyDescent="0.25">
      <c r="A71" s="28"/>
    </row>
    <row r="72" spans="1:1" x14ac:dyDescent="0.25">
      <c r="A72" s="28"/>
    </row>
    <row r="73" spans="1:1" x14ac:dyDescent="0.25">
      <c r="A73" s="28"/>
    </row>
    <row r="74" spans="1:1" x14ac:dyDescent="0.25">
      <c r="A74" s="28"/>
    </row>
    <row r="75" spans="1:1" x14ac:dyDescent="0.25">
      <c r="A75" s="28"/>
    </row>
    <row r="76" spans="1:1" x14ac:dyDescent="0.25">
      <c r="A76" s="28"/>
    </row>
    <row r="77" spans="1:1" x14ac:dyDescent="0.25">
      <c r="A77" s="28"/>
    </row>
    <row r="78" spans="1:1" x14ac:dyDescent="0.25">
      <c r="A78" s="28"/>
    </row>
    <row r="79" spans="1:1" x14ac:dyDescent="0.25">
      <c r="A79" s="28"/>
    </row>
    <row r="80" spans="1:1" x14ac:dyDescent="0.25">
      <c r="A80" s="28"/>
    </row>
    <row r="81" spans="1:1" x14ac:dyDescent="0.25">
      <c r="A81" s="28"/>
    </row>
  </sheetData>
  <sheetProtection sheet="1" formatCells="0" formatColumns="0" formatRows="0" insertColumns="0" deleteColumns="0"/>
  <sortState ref="A5:WKS40">
    <sortCondition ref="A5"/>
  </sortState>
  <mergeCells count="2">
    <mergeCell ref="A1:B2"/>
    <mergeCell ref="A3:B3"/>
  </mergeCells>
  <conditionalFormatting sqref="A5:B40">
    <cfRule type="expression" dxfId="14" priority="1027">
      <formula>$WKS5="N"</formula>
    </cfRule>
    <cfRule type="expression" dxfId="13" priority="1028">
      <formula>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72" r:id="rId4" name="Group Box 28">
              <controlPr defaultSize="0" autoFill="0" autoPict="0">
                <anchor moveWithCells="1">
                  <from>
                    <xdr:col>0</xdr:col>
                    <xdr:colOff>28575</xdr:colOff>
                    <xdr:row>40</xdr:row>
                    <xdr:rowOff>28575</xdr:rowOff>
                  </from>
                  <to>
                    <xdr:col>1</xdr:col>
                    <xdr:colOff>1019175</xdr:colOff>
                    <xdr:row>43</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9A741-C593-4C7F-9023-55362A596BEC}">
  <sheetPr codeName="Sheet5">
    <tabColor theme="9" tint="0.59999389629810485"/>
  </sheetPr>
  <dimension ref="A1:XCW81"/>
  <sheetViews>
    <sheetView zoomScale="85" zoomScaleNormal="85" workbookViewId="0">
      <pane xSplit="2" ySplit="4" topLeftCell="C5" activePane="bottomRight" state="frozenSplit"/>
      <selection pane="topRight" activeCell="AE1" sqref="AE1"/>
      <selection pane="bottomLeft" activeCell="A23" sqref="A23"/>
      <selection pane="bottomRight" activeCell="A23" sqref="A23"/>
    </sheetView>
  </sheetViews>
  <sheetFormatPr defaultColWidth="0" defaultRowHeight="15" customHeight="1" x14ac:dyDescent="0.25"/>
  <cols>
    <col min="1" max="2" width="15.7109375" style="61" customWidth="1"/>
    <col min="3" max="16281" width="0" style="62" hidden="1"/>
    <col min="16282" max="16384" width="9.140625" style="62" hidden="1"/>
  </cols>
  <sheetData>
    <row r="1" spans="1:2 16325:16325" s="60" customFormat="1" x14ac:dyDescent="0.25">
      <c r="A1" s="203" t="str">
        <f>_xlfn.CONCAT("Year ",ClassInformation!D4,ClassInformation!E4," ",ClassInformation!D5," - ","Semester 2 ",ClassInformation!D6)</f>
        <v>Year 7A [Subject] - Semester 2 2020</v>
      </c>
      <c r="B1" s="204"/>
    </row>
    <row r="2" spans="1:2 16325:16325" s="60" customFormat="1" x14ac:dyDescent="0.25">
      <c r="A2" s="203"/>
      <c r="B2" s="204"/>
    </row>
    <row r="3" spans="1:2 16325:16325" s="60" customFormat="1" x14ac:dyDescent="0.25">
      <c r="A3" s="205" t="s">
        <v>21</v>
      </c>
      <c r="B3" s="206"/>
    </row>
    <row r="4" spans="1:2 16325:16325" s="60" customFormat="1" ht="15.75" thickBot="1" x14ac:dyDescent="0.3">
      <c r="A4" s="105" t="str">
        <f>ClassInformation!C9</f>
        <v>Last Name</v>
      </c>
      <c r="B4" s="57" t="str">
        <f>ClassInformation!D9</f>
        <v>First Name</v>
      </c>
    </row>
    <row r="5" spans="1:2 16325:16325" s="28" customFormat="1" x14ac:dyDescent="0.25">
      <c r="A5" s="110" t="str">
        <f>IF(ISBLANK(ClassInformation!C10),"ZZZZZ",ClassInformation!C10)</f>
        <v>ZZZZZ</v>
      </c>
      <c r="B5" s="59" t="str">
        <f>IF(ISBLANK(ClassInformation!D10),"ZZZZZ",ClassInformation!D10)</f>
        <v>ZZZZZ</v>
      </c>
      <c r="XCW5" s="28">
        <f>ClassInformation!E10</f>
        <v>0</v>
      </c>
    </row>
    <row r="6" spans="1:2 16325:16325" s="28" customFormat="1" x14ac:dyDescent="0.25">
      <c r="A6" s="58" t="str">
        <f>IF(ISBLANK(ClassInformation!C11),"ZZZZZ",ClassInformation!C11)</f>
        <v>ZZZZZ</v>
      </c>
      <c r="B6" s="59" t="str">
        <f>IF(ISBLANK(ClassInformation!D11),"ZZZZZ",ClassInformation!D11)</f>
        <v>ZZZZZ</v>
      </c>
      <c r="XCW6" s="28">
        <f>ClassInformation!E11</f>
        <v>0</v>
      </c>
    </row>
    <row r="7" spans="1:2 16325:16325" s="28" customFormat="1" x14ac:dyDescent="0.25">
      <c r="A7" s="58" t="str">
        <f>IF(ISBLANK(ClassInformation!C12),"ZZZZZ",ClassInformation!C12)</f>
        <v>ZZZZZ</v>
      </c>
      <c r="B7" s="59" t="str">
        <f>IF(ISBLANK(ClassInformation!D12),"ZZZZZ",ClassInformation!D12)</f>
        <v>ZZZZZ</v>
      </c>
      <c r="XCW7" s="28">
        <f>ClassInformation!E12</f>
        <v>0</v>
      </c>
    </row>
    <row r="8" spans="1:2 16325:16325" s="28" customFormat="1" x14ac:dyDescent="0.25">
      <c r="A8" s="58" t="str">
        <f>IF(ISBLANK(ClassInformation!C13),"ZZZZZ",ClassInformation!C13)</f>
        <v>ZZZZZ</v>
      </c>
      <c r="B8" s="59" t="str">
        <f>IF(ISBLANK(ClassInformation!D13),"ZZZZZ",ClassInformation!D13)</f>
        <v>ZZZZZ</v>
      </c>
      <c r="XCW8" s="28">
        <f>ClassInformation!E13</f>
        <v>0</v>
      </c>
    </row>
    <row r="9" spans="1:2 16325:16325" s="28" customFormat="1" x14ac:dyDescent="0.25">
      <c r="A9" s="58" t="str">
        <f>IF(ISBLANK(ClassInformation!C14),"ZZZZZ",ClassInformation!C14)</f>
        <v>ZZZZZ</v>
      </c>
      <c r="B9" s="59" t="str">
        <f>IF(ISBLANK(ClassInformation!D14),"ZZZZZ",ClassInformation!D14)</f>
        <v>ZZZZZ</v>
      </c>
      <c r="XCW9" s="28">
        <f>ClassInformation!E14</f>
        <v>0</v>
      </c>
    </row>
    <row r="10" spans="1:2 16325:16325" s="28" customFormat="1" x14ac:dyDescent="0.25">
      <c r="A10" s="58" t="str">
        <f>IF(ISBLANK(ClassInformation!C15),"ZZZZZ",ClassInformation!C15)</f>
        <v>ZZZZZ</v>
      </c>
      <c r="B10" s="59" t="str">
        <f>IF(ISBLANK(ClassInformation!D15),"ZZZZZ",ClassInformation!D15)</f>
        <v>ZZZZZ</v>
      </c>
      <c r="XCW10" s="28">
        <f>ClassInformation!E15</f>
        <v>0</v>
      </c>
    </row>
    <row r="11" spans="1:2 16325:16325" s="28" customFormat="1" x14ac:dyDescent="0.25">
      <c r="A11" s="58" t="str">
        <f>IF(ISBLANK(ClassInformation!C16),"ZZZZZ",ClassInformation!C16)</f>
        <v>ZZZZZ</v>
      </c>
      <c r="B11" s="59" t="str">
        <f>IF(ISBLANK(ClassInformation!D16),"ZZZZZ",ClassInformation!D16)</f>
        <v>ZZZZZ</v>
      </c>
      <c r="XCW11" s="28">
        <f>ClassInformation!E16</f>
        <v>0</v>
      </c>
    </row>
    <row r="12" spans="1:2 16325:16325" s="28" customFormat="1" x14ac:dyDescent="0.25">
      <c r="A12" s="58" t="str">
        <f>IF(ISBLANK(ClassInformation!C17),"ZZZZZ",ClassInformation!C17)</f>
        <v>ZZZZZ</v>
      </c>
      <c r="B12" s="59" t="str">
        <f>IF(ISBLANK(ClassInformation!D17),"ZZZZZ",ClassInformation!D17)</f>
        <v>ZZZZZ</v>
      </c>
      <c r="XCW12" s="28">
        <f>ClassInformation!E17</f>
        <v>0</v>
      </c>
    </row>
    <row r="13" spans="1:2 16325:16325" s="28" customFormat="1" x14ac:dyDescent="0.25">
      <c r="A13" s="58" t="str">
        <f>IF(ISBLANK(ClassInformation!C18),"ZZZZZ",ClassInformation!C18)</f>
        <v>ZZZZZ</v>
      </c>
      <c r="B13" s="59" t="str">
        <f>IF(ISBLANK(ClassInformation!D18),"ZZZZZ",ClassInformation!D18)</f>
        <v>ZZZZZ</v>
      </c>
      <c r="XCW13" s="28">
        <f>ClassInformation!E18</f>
        <v>0</v>
      </c>
    </row>
    <row r="14" spans="1:2 16325:16325" s="28" customFormat="1" x14ac:dyDescent="0.25">
      <c r="A14" s="58" t="str">
        <f>IF(ISBLANK(ClassInformation!C19),"ZZZZZ",ClassInformation!C19)</f>
        <v>ZZZZZ</v>
      </c>
      <c r="B14" s="59" t="str">
        <f>IF(ISBLANK(ClassInformation!D19),"ZZZZZ",ClassInformation!D19)</f>
        <v>ZZZZZ</v>
      </c>
      <c r="XCW14" s="28">
        <f>ClassInformation!E19</f>
        <v>0</v>
      </c>
    </row>
    <row r="15" spans="1:2 16325:16325" s="28" customFormat="1" x14ac:dyDescent="0.25">
      <c r="A15" s="58" t="str">
        <f>IF(ISBLANK(ClassInformation!C20),"ZZZZZ",ClassInformation!C20)</f>
        <v>ZZZZZ</v>
      </c>
      <c r="B15" s="59" t="str">
        <f>IF(ISBLANK(ClassInformation!D20),"ZZZZZ",ClassInformation!D20)</f>
        <v>ZZZZZ</v>
      </c>
      <c r="XCW15" s="28">
        <f>ClassInformation!E20</f>
        <v>0</v>
      </c>
    </row>
    <row r="16" spans="1:2 16325:16325" s="28" customFormat="1" x14ac:dyDescent="0.25">
      <c r="A16" s="58" t="str">
        <f>IF(ISBLANK(ClassInformation!C21),"ZZZZZ",ClassInformation!C21)</f>
        <v>ZZZZZ</v>
      </c>
      <c r="B16" s="59" t="str">
        <f>IF(ISBLANK(ClassInformation!D21),"ZZZZZ",ClassInformation!D21)</f>
        <v>ZZZZZ</v>
      </c>
      <c r="XCW16" s="28">
        <f>ClassInformation!E21</f>
        <v>0</v>
      </c>
    </row>
    <row r="17" spans="1:2 16325:16325" s="28" customFormat="1" x14ac:dyDescent="0.25">
      <c r="A17" s="58" t="str">
        <f>IF(ISBLANK(ClassInformation!C22),"ZZZZZ",ClassInformation!C22)</f>
        <v>ZZZZZ</v>
      </c>
      <c r="B17" s="59" t="str">
        <f>IF(ISBLANK(ClassInformation!D22),"ZZZZZ",ClassInformation!D22)</f>
        <v>ZZZZZ</v>
      </c>
      <c r="XCW17" s="28">
        <f>ClassInformation!E22</f>
        <v>0</v>
      </c>
    </row>
    <row r="18" spans="1:2 16325:16325" s="28" customFormat="1" x14ac:dyDescent="0.25">
      <c r="A18" s="58" t="str">
        <f>IF(ISBLANK(ClassInformation!C23),"ZZZZZ",ClassInformation!C23)</f>
        <v>ZZZZZ</v>
      </c>
      <c r="B18" s="59" t="str">
        <f>IF(ISBLANK(ClassInformation!D23),"ZZZZZ",ClassInformation!D23)</f>
        <v>ZZZZZ</v>
      </c>
      <c r="XCW18" s="28">
        <f>ClassInformation!E23</f>
        <v>0</v>
      </c>
    </row>
    <row r="19" spans="1:2 16325:16325" s="28" customFormat="1" x14ac:dyDescent="0.25">
      <c r="A19" s="58" t="str">
        <f>IF(ISBLANK(ClassInformation!C24),"ZZZZZ",ClassInformation!C24)</f>
        <v>ZZZZZ</v>
      </c>
      <c r="B19" s="59" t="str">
        <f>IF(ISBLANK(ClassInformation!D24),"ZZZZZ",ClassInformation!D24)</f>
        <v>ZZZZZ</v>
      </c>
      <c r="XCW19" s="28">
        <f>ClassInformation!E24</f>
        <v>0</v>
      </c>
    </row>
    <row r="20" spans="1:2 16325:16325" s="28" customFormat="1" x14ac:dyDescent="0.25">
      <c r="A20" s="58" t="str">
        <f>IF(ISBLANK(ClassInformation!C25),"ZZZZZ",ClassInformation!C25)</f>
        <v>ZZZZZ</v>
      </c>
      <c r="B20" s="59" t="str">
        <f>IF(ISBLANK(ClassInformation!D25),"ZZZZZ",ClassInformation!D25)</f>
        <v>ZZZZZ</v>
      </c>
      <c r="XCW20" s="28">
        <f>ClassInformation!E25</f>
        <v>0</v>
      </c>
    </row>
    <row r="21" spans="1:2 16325:16325" s="28" customFormat="1" x14ac:dyDescent="0.25">
      <c r="A21" s="58" t="str">
        <f>IF(ISBLANK(ClassInformation!C26),"ZZZZZ",ClassInformation!C26)</f>
        <v>ZZZZZ</v>
      </c>
      <c r="B21" s="59" t="str">
        <f>IF(ISBLANK(ClassInformation!D26),"ZZZZZ",ClassInformation!D26)</f>
        <v>ZZZZZ</v>
      </c>
      <c r="XCW21" s="28">
        <f>ClassInformation!E26</f>
        <v>0</v>
      </c>
    </row>
    <row r="22" spans="1:2 16325:16325" s="28" customFormat="1" x14ac:dyDescent="0.25">
      <c r="A22" s="58" t="str">
        <f>IF(ISBLANK(ClassInformation!C27),"ZZZZZ",ClassInformation!C27)</f>
        <v>ZZZZZ</v>
      </c>
      <c r="B22" s="59" t="str">
        <f>IF(ISBLANK(ClassInformation!D27),"ZZZZZ",ClassInformation!D27)</f>
        <v>ZZZZZ</v>
      </c>
      <c r="XCW22" s="28">
        <f>ClassInformation!E27</f>
        <v>0</v>
      </c>
    </row>
    <row r="23" spans="1:2 16325:16325" s="28" customFormat="1" x14ac:dyDescent="0.25">
      <c r="A23" s="58" t="str">
        <f>IF(ISBLANK(ClassInformation!C28),"ZZZZZ",ClassInformation!C28)</f>
        <v>ZZZZZ</v>
      </c>
      <c r="B23" s="59" t="str">
        <f>IF(ISBLANK(ClassInformation!D28),"ZZZZZ",ClassInformation!D28)</f>
        <v>ZZZZZ</v>
      </c>
      <c r="XCW23" s="28">
        <f>ClassInformation!E28</f>
        <v>0</v>
      </c>
    </row>
    <row r="24" spans="1:2 16325:16325" s="28" customFormat="1" x14ac:dyDescent="0.25">
      <c r="A24" s="58" t="str">
        <f>IF(ISBLANK(ClassInformation!C29),"ZZZZZ",ClassInformation!C29)</f>
        <v>ZZZZZ</v>
      </c>
      <c r="B24" s="59" t="str">
        <f>IF(ISBLANK(ClassInformation!D29),"ZZZZZ",ClassInformation!D29)</f>
        <v>ZZZZZ</v>
      </c>
      <c r="XCW24" s="28">
        <f>ClassInformation!E29</f>
        <v>0</v>
      </c>
    </row>
    <row r="25" spans="1:2 16325:16325" s="28" customFormat="1" x14ac:dyDescent="0.25">
      <c r="A25" s="58" t="str">
        <f>IF(ISBLANK(ClassInformation!C30),"ZZZZZ",ClassInformation!C30)</f>
        <v>ZZZZZ</v>
      </c>
      <c r="B25" s="59" t="str">
        <f>IF(ISBLANK(ClassInformation!D30),"ZZZZZ",ClassInformation!D30)</f>
        <v>ZZZZZ</v>
      </c>
      <c r="XCW25" s="28">
        <f>ClassInformation!E30</f>
        <v>0</v>
      </c>
    </row>
    <row r="26" spans="1:2 16325:16325" s="28" customFormat="1" x14ac:dyDescent="0.25">
      <c r="A26" s="58" t="str">
        <f>IF(ISBLANK(ClassInformation!C31),"ZZZZZ",ClassInformation!C31)</f>
        <v>ZZZZZ</v>
      </c>
      <c r="B26" s="59" t="str">
        <f>IF(ISBLANK(ClassInformation!D31),"ZZZZZ",ClassInformation!D31)</f>
        <v>ZZZZZ</v>
      </c>
      <c r="XCW26" s="28">
        <f>ClassInformation!E31</f>
        <v>0</v>
      </c>
    </row>
    <row r="27" spans="1:2 16325:16325" s="28" customFormat="1" x14ac:dyDescent="0.25">
      <c r="A27" s="58" t="str">
        <f>IF(ISBLANK(ClassInformation!C32),"ZZZZZ",ClassInformation!C32)</f>
        <v>ZZZZZ</v>
      </c>
      <c r="B27" s="59" t="str">
        <f>IF(ISBLANK(ClassInformation!D32),"ZZZZZ",ClassInformation!D32)</f>
        <v>ZZZZZ</v>
      </c>
      <c r="XCW27" s="28">
        <f>ClassInformation!E32</f>
        <v>0</v>
      </c>
    </row>
    <row r="28" spans="1:2 16325:16325" s="28" customFormat="1" x14ac:dyDescent="0.25">
      <c r="A28" s="58" t="str">
        <f>IF(ISBLANK(ClassInformation!C33),"ZZZZZ",ClassInformation!C33)</f>
        <v>ZZZZZ</v>
      </c>
      <c r="B28" s="59" t="str">
        <f>IF(ISBLANK(ClassInformation!D33),"ZZZZZ",ClassInformation!D33)</f>
        <v>ZZZZZ</v>
      </c>
      <c r="XCW28" s="28">
        <f>ClassInformation!E33</f>
        <v>0</v>
      </c>
    </row>
    <row r="29" spans="1:2 16325:16325" s="28" customFormat="1" x14ac:dyDescent="0.25">
      <c r="A29" s="58" t="str">
        <f>IF(ISBLANK(ClassInformation!C34),"ZZZZZ",ClassInformation!C34)</f>
        <v>ZZZZZ</v>
      </c>
      <c r="B29" s="59" t="str">
        <f>IF(ISBLANK(ClassInformation!D34),"ZZZZZ",ClassInformation!D34)</f>
        <v>ZZZZZ</v>
      </c>
      <c r="XCW29" s="28">
        <f>ClassInformation!E34</f>
        <v>0</v>
      </c>
    </row>
    <row r="30" spans="1:2 16325:16325" s="28" customFormat="1" x14ac:dyDescent="0.25">
      <c r="A30" s="58" t="str">
        <f>IF(ISBLANK(ClassInformation!C35),"ZZZZZ",ClassInformation!C35)</f>
        <v>ZZZZZ</v>
      </c>
      <c r="B30" s="59" t="str">
        <f>IF(ISBLANK(ClassInformation!D35),"ZZZZZ",ClassInformation!D35)</f>
        <v>ZZZZZ</v>
      </c>
      <c r="XCW30" s="28">
        <f>ClassInformation!E35</f>
        <v>0</v>
      </c>
    </row>
    <row r="31" spans="1:2 16325:16325" s="28" customFormat="1" x14ac:dyDescent="0.25">
      <c r="A31" s="58" t="str">
        <f>IF(ISBLANK(ClassInformation!C36),"ZZZZZ",ClassInformation!C36)</f>
        <v>ZZZZZ</v>
      </c>
      <c r="B31" s="59" t="str">
        <f>IF(ISBLANK(ClassInformation!D36),"ZZZZZ",ClassInformation!D36)</f>
        <v>ZZZZZ</v>
      </c>
      <c r="XCW31" s="28">
        <f>ClassInformation!E36</f>
        <v>0</v>
      </c>
    </row>
    <row r="32" spans="1:2 16325:16325" s="28" customFormat="1" x14ac:dyDescent="0.25">
      <c r="A32" s="58" t="str">
        <f>IF(ISBLANK(ClassInformation!C37),"ZZZZZ",ClassInformation!C37)</f>
        <v>ZZZZZ</v>
      </c>
      <c r="B32" s="59" t="str">
        <f>IF(ISBLANK(ClassInformation!D37),"ZZZZZ",ClassInformation!D37)</f>
        <v>ZZZZZ</v>
      </c>
      <c r="XCW32" s="28">
        <f>ClassInformation!E37</f>
        <v>0</v>
      </c>
    </row>
    <row r="33" spans="1:2 16127:16325" s="28" customFormat="1" x14ac:dyDescent="0.25">
      <c r="A33" s="58" t="str">
        <f>IF(ISBLANK(ClassInformation!C38),"ZZZZZ",ClassInformation!C38)</f>
        <v>ZZZZZ</v>
      </c>
      <c r="B33" s="59" t="str">
        <f>IF(ISBLANK(ClassInformation!D38),"ZZZZZ",ClassInformation!D38)</f>
        <v>ZZZZZ</v>
      </c>
      <c r="XCW33" s="28">
        <f>ClassInformation!E38</f>
        <v>0</v>
      </c>
    </row>
    <row r="34" spans="1:2 16127:16325" s="28" customFormat="1" x14ac:dyDescent="0.25">
      <c r="A34" s="58" t="str">
        <f>IF(ISBLANK(ClassInformation!C39),"ZZZZZ",ClassInformation!C39)</f>
        <v>ZZZZZ</v>
      </c>
      <c r="B34" s="59" t="str">
        <f>IF(ISBLANK(ClassInformation!D39),"ZZZZZ",ClassInformation!D39)</f>
        <v>ZZZZZ</v>
      </c>
      <c r="XCW34" s="28">
        <f>ClassInformation!E39</f>
        <v>0</v>
      </c>
    </row>
    <row r="35" spans="1:2 16127:16325" s="28" customFormat="1" x14ac:dyDescent="0.25">
      <c r="A35" s="58" t="str">
        <f>IF(ISBLANK(ClassInformation!C40),"ZZZZZ",ClassInformation!C40)</f>
        <v>ZZZZZ</v>
      </c>
      <c r="B35" s="59" t="str">
        <f>IF(ISBLANK(ClassInformation!D40),"ZZZZZ",ClassInformation!D40)</f>
        <v>ZZZZZ</v>
      </c>
      <c r="XCW35" s="28">
        <f>ClassInformation!E40</f>
        <v>0</v>
      </c>
    </row>
    <row r="36" spans="1:2 16127:16325" s="28" customFormat="1" x14ac:dyDescent="0.25">
      <c r="A36" s="58" t="str">
        <f>IF(ISBLANK(ClassInformation!C41),"ZZZZZ",ClassInformation!C41)</f>
        <v>ZZZZZ</v>
      </c>
      <c r="B36" s="59" t="str">
        <f>IF(ISBLANK(ClassInformation!D41),"ZZZZZ",ClassInformation!D41)</f>
        <v>ZZZZZ</v>
      </c>
      <c r="XCW36" s="28">
        <f>ClassInformation!E41</f>
        <v>0</v>
      </c>
    </row>
    <row r="37" spans="1:2 16127:16325" s="28" customFormat="1" x14ac:dyDescent="0.25">
      <c r="A37" s="58" t="str">
        <f>IF(ISBLANK(ClassInformation!C42),"ZZZZZ",ClassInformation!C42)</f>
        <v>ZZZZZ</v>
      </c>
      <c r="B37" s="59" t="str">
        <f>IF(ISBLANK(ClassInformation!D42),"ZZZZZ",ClassInformation!D42)</f>
        <v>ZZZZZ</v>
      </c>
      <c r="XCW37" s="28">
        <f>ClassInformation!E42</f>
        <v>0</v>
      </c>
    </row>
    <row r="38" spans="1:2 16127:16325" s="28" customFormat="1" x14ac:dyDescent="0.25">
      <c r="A38" s="58" t="str">
        <f>IF(ISBLANK(ClassInformation!C43),"ZZZZZ",ClassInformation!C43)</f>
        <v>ZZZZZ</v>
      </c>
      <c r="B38" s="59" t="str">
        <f>IF(ISBLANK(ClassInformation!D43),"ZZZZZ",ClassInformation!D43)</f>
        <v>ZZZZZ</v>
      </c>
      <c r="XCW38" s="28">
        <f>ClassInformation!E43</f>
        <v>0</v>
      </c>
    </row>
    <row r="39" spans="1:2 16127:16325" s="28" customFormat="1" x14ac:dyDescent="0.25">
      <c r="A39" s="58" t="str">
        <f>IF(ISBLANK(ClassInformation!C44),"ZZZZZ",ClassInformation!C44)</f>
        <v>ZZZZZ</v>
      </c>
      <c r="B39" s="59" t="str">
        <f>IF(ISBLANK(ClassInformation!D44),"ZZZZZ",ClassInformation!D44)</f>
        <v>ZZZZZ</v>
      </c>
      <c r="XCW39" s="28">
        <f>ClassInformation!E44</f>
        <v>0</v>
      </c>
    </row>
    <row r="40" spans="1:2 16127:16325" s="28" customFormat="1" ht="15.75" thickBot="1" x14ac:dyDescent="0.3">
      <c r="A40" s="103" t="str">
        <f>IF(ISBLANK(ClassInformation!C45),"ZZZZZ",ClassInformation!C45)</f>
        <v>ZZZZZ</v>
      </c>
      <c r="B40" s="104" t="str">
        <f>IF(ISBLANK(ClassInformation!D45),"ZZZZZ",ClassInformation!D45)</f>
        <v>ZZZZZ</v>
      </c>
      <c r="XCW40" s="28">
        <f>ClassInformation!E45</f>
        <v>0</v>
      </c>
    </row>
    <row r="41" spans="1:2 16127:16325" x14ac:dyDescent="0.25">
      <c r="WVG41" s="28"/>
    </row>
    <row r="46" spans="1:2 16127:16325" x14ac:dyDescent="0.25">
      <c r="A46" s="28"/>
    </row>
    <row r="47" spans="1:2 16127:16325" x14ac:dyDescent="0.25">
      <c r="A47" s="28"/>
    </row>
    <row r="48" spans="1:2 16127:16325" x14ac:dyDescent="0.25">
      <c r="A48" s="28"/>
    </row>
    <row r="49" spans="1:1" x14ac:dyDescent="0.25">
      <c r="A49" s="28"/>
    </row>
    <row r="50" spans="1:1" x14ac:dyDescent="0.25">
      <c r="A50" s="28"/>
    </row>
    <row r="51" spans="1:1" x14ac:dyDescent="0.25">
      <c r="A51" s="28"/>
    </row>
    <row r="52" spans="1:1" x14ac:dyDescent="0.25">
      <c r="A52" s="28"/>
    </row>
    <row r="53" spans="1:1" x14ac:dyDescent="0.25">
      <c r="A53" s="28"/>
    </row>
    <row r="54" spans="1:1" x14ac:dyDescent="0.25">
      <c r="A54" s="28"/>
    </row>
    <row r="55" spans="1:1" x14ac:dyDescent="0.25">
      <c r="A55" s="28"/>
    </row>
    <row r="56" spans="1:1" x14ac:dyDescent="0.25">
      <c r="A56" s="28"/>
    </row>
    <row r="57" spans="1:1" x14ac:dyDescent="0.25">
      <c r="A57" s="28"/>
    </row>
    <row r="58" spans="1:1" x14ac:dyDescent="0.25">
      <c r="A58" s="28"/>
    </row>
    <row r="59" spans="1:1" x14ac:dyDescent="0.25">
      <c r="A59" s="28"/>
    </row>
    <row r="60" spans="1:1" x14ac:dyDescent="0.25">
      <c r="A60" s="28"/>
    </row>
    <row r="61" spans="1:1" x14ac:dyDescent="0.25">
      <c r="A61" s="28"/>
    </row>
    <row r="62" spans="1:1" x14ac:dyDescent="0.25">
      <c r="A62" s="28"/>
    </row>
    <row r="63" spans="1:1" x14ac:dyDescent="0.25">
      <c r="A63" s="28"/>
    </row>
    <row r="64" spans="1:1" x14ac:dyDescent="0.25">
      <c r="A64" s="28"/>
    </row>
    <row r="65" spans="1:1" x14ac:dyDescent="0.25">
      <c r="A65" s="28"/>
    </row>
    <row r="66" spans="1:1" x14ac:dyDescent="0.25">
      <c r="A66" s="28"/>
    </row>
    <row r="67" spans="1:1" x14ac:dyDescent="0.25">
      <c r="A67" s="28"/>
    </row>
    <row r="68" spans="1:1" x14ac:dyDescent="0.25">
      <c r="A68" s="28"/>
    </row>
    <row r="69" spans="1:1" x14ac:dyDescent="0.25">
      <c r="A69" s="28"/>
    </row>
    <row r="70" spans="1:1" x14ac:dyDescent="0.25">
      <c r="A70" s="28"/>
    </row>
    <row r="71" spans="1:1" x14ac:dyDescent="0.25">
      <c r="A71" s="28"/>
    </row>
    <row r="72" spans="1:1" x14ac:dyDescent="0.25">
      <c r="A72" s="28"/>
    </row>
    <row r="73" spans="1:1" x14ac:dyDescent="0.25">
      <c r="A73" s="28"/>
    </row>
    <row r="74" spans="1:1" x14ac:dyDescent="0.25">
      <c r="A74" s="28"/>
    </row>
    <row r="75" spans="1:1" x14ac:dyDescent="0.25">
      <c r="A75" s="28"/>
    </row>
    <row r="76" spans="1:1" x14ac:dyDescent="0.25">
      <c r="A76" s="28"/>
    </row>
    <row r="77" spans="1:1" x14ac:dyDescent="0.25">
      <c r="A77" s="28"/>
    </row>
    <row r="78" spans="1:1" x14ac:dyDescent="0.25">
      <c r="A78" s="28"/>
    </row>
    <row r="79" spans="1:1" x14ac:dyDescent="0.25">
      <c r="A79" s="28"/>
    </row>
    <row r="80" spans="1:1" x14ac:dyDescent="0.25">
      <c r="A80" s="28"/>
    </row>
    <row r="81" spans="1:1" x14ac:dyDescent="0.25">
      <c r="A81" s="28"/>
    </row>
  </sheetData>
  <sheetProtection sheet="1" formatCells="0" formatColumns="0" formatRows="0" insertColumns="0" deleteColumns="0"/>
  <mergeCells count="2">
    <mergeCell ref="A1:B2"/>
    <mergeCell ref="A3:B3"/>
  </mergeCells>
  <conditionalFormatting sqref="A5:B40">
    <cfRule type="expression" dxfId="12" priority="964">
      <formula>$XCW5="N"</formula>
    </cfRule>
    <cfRule type="expression" dxfId="11" priority="965">
      <formula>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Group Box 1">
              <controlPr defaultSize="0" autoFill="0" autoPict="0">
                <anchor moveWithCells="1">
                  <from>
                    <xdr:col>0</xdr:col>
                    <xdr:colOff>28575</xdr:colOff>
                    <xdr:row>40</xdr:row>
                    <xdr:rowOff>28575</xdr:rowOff>
                  </from>
                  <to>
                    <xdr:col>1</xdr:col>
                    <xdr:colOff>1019175</xdr:colOff>
                    <xdr:row>43</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82D687-FE32-4710-9878-5DEFE99497C3}">
  <sheetPr codeName="Sheet8">
    <tabColor theme="7" tint="0.59999389629810485"/>
  </sheetPr>
  <dimension ref="A1:AD40"/>
  <sheetViews>
    <sheetView zoomScale="85" zoomScaleNormal="85" workbookViewId="0">
      <selection activeCell="X4" sqref="X4"/>
    </sheetView>
  </sheetViews>
  <sheetFormatPr defaultColWidth="9.140625" defaultRowHeight="15" x14ac:dyDescent="0.25"/>
  <cols>
    <col min="1" max="1" width="17" style="64" bestFit="1" customWidth="1"/>
    <col min="2" max="5" width="17" style="65" bestFit="1" customWidth="1"/>
    <col min="6" max="9" width="17" style="63" bestFit="1" customWidth="1"/>
    <col min="10" max="10" width="17" style="65" bestFit="1" customWidth="1"/>
    <col min="11" max="11" width="17" style="65" customWidth="1"/>
    <col min="12" max="14" width="17" style="113" customWidth="1"/>
    <col min="15" max="15" width="17" style="65" customWidth="1"/>
    <col min="16" max="16" width="13.28515625" style="65" bestFit="1" customWidth="1"/>
    <col min="17" max="17" width="6.7109375" style="63" customWidth="1"/>
    <col min="18" max="18" width="6.7109375" style="65" customWidth="1"/>
    <col min="19" max="19" width="12.85546875" style="65" bestFit="1" customWidth="1"/>
    <col min="20" max="20" width="6.7109375" style="63" customWidth="1"/>
    <col min="21" max="21" width="6.5703125" style="65" customWidth="1"/>
    <col min="22" max="22" width="11" style="65" bestFit="1" customWidth="1"/>
    <col min="23" max="23" width="10.42578125" style="65" bestFit="1" customWidth="1"/>
    <col min="24" max="24" width="13.42578125" style="61" bestFit="1" customWidth="1"/>
    <col min="25" max="25" width="2.85546875" style="61" customWidth="1"/>
    <col min="26" max="16384" width="9.140625" style="61"/>
  </cols>
  <sheetData>
    <row r="1" spans="1:30" s="60" customFormat="1" x14ac:dyDescent="0.25">
      <c r="A1" s="114" t="s">
        <v>65</v>
      </c>
      <c r="B1" s="214"/>
      <c r="C1" s="214"/>
      <c r="D1" s="214"/>
      <c r="E1" s="214"/>
      <c r="F1" s="214"/>
      <c r="G1" s="214"/>
      <c r="H1" s="214"/>
      <c r="I1" s="214"/>
      <c r="J1" s="214"/>
      <c r="K1" s="214"/>
      <c r="L1" s="214"/>
      <c r="M1" s="214"/>
      <c r="N1" s="214"/>
      <c r="O1" s="214"/>
      <c r="P1" s="214"/>
      <c r="Q1" s="214"/>
      <c r="R1" s="214"/>
      <c r="S1" s="214"/>
      <c r="T1" s="214"/>
      <c r="U1" s="214"/>
      <c r="V1" s="214"/>
      <c r="W1" s="214"/>
      <c r="X1" s="214"/>
      <c r="Y1" s="215"/>
      <c r="Z1" s="154"/>
      <c r="AA1" s="154"/>
      <c r="AB1" s="154"/>
      <c r="AC1" s="154"/>
      <c r="AD1" s="154"/>
    </row>
    <row r="2" spans="1:30" s="60" customFormat="1" x14ac:dyDescent="0.25">
      <c r="A2" s="216" t="s">
        <v>31</v>
      </c>
      <c r="B2" s="212"/>
      <c r="C2" s="212"/>
      <c r="D2" s="212"/>
      <c r="E2" s="212"/>
      <c r="F2" s="211" t="s">
        <v>33</v>
      </c>
      <c r="G2" s="212"/>
      <c r="H2" s="212"/>
      <c r="I2" s="212"/>
      <c r="J2" s="212"/>
      <c r="K2" s="211" t="s">
        <v>77</v>
      </c>
      <c r="L2" s="212"/>
      <c r="M2" s="212"/>
      <c r="N2" s="212"/>
      <c r="O2" s="213"/>
      <c r="P2" s="211" t="s">
        <v>96</v>
      </c>
      <c r="Q2" s="212"/>
      <c r="R2" s="212"/>
      <c r="S2" s="212"/>
      <c r="T2" s="212"/>
      <c r="U2" s="212"/>
      <c r="V2" s="212"/>
      <c r="W2" s="212"/>
      <c r="X2" s="217"/>
      <c r="Y2" s="115" t="s">
        <v>18</v>
      </c>
      <c r="AA2" s="155"/>
      <c r="AB2" s="155"/>
      <c r="AC2" s="155"/>
      <c r="AD2" s="155"/>
    </row>
    <row r="3" spans="1:30" s="60" customFormat="1" x14ac:dyDescent="0.25">
      <c r="A3" s="116" t="s">
        <v>74</v>
      </c>
      <c r="B3" s="116" t="s">
        <v>73</v>
      </c>
      <c r="C3" s="116" t="s">
        <v>73</v>
      </c>
      <c r="D3" s="116" t="s">
        <v>73</v>
      </c>
      <c r="E3" s="116" t="s">
        <v>73</v>
      </c>
      <c r="F3" s="116" t="s">
        <v>73</v>
      </c>
      <c r="G3" s="116" t="s">
        <v>73</v>
      </c>
      <c r="H3" s="116" t="s">
        <v>73</v>
      </c>
      <c r="I3" s="116" t="s">
        <v>73</v>
      </c>
      <c r="J3" s="116" t="s">
        <v>73</v>
      </c>
      <c r="K3" s="116" t="s">
        <v>73</v>
      </c>
      <c r="L3" s="116" t="s">
        <v>73</v>
      </c>
      <c r="M3" s="116" t="s">
        <v>73</v>
      </c>
      <c r="N3" s="116" t="s">
        <v>73</v>
      </c>
      <c r="O3" s="116" t="s">
        <v>73</v>
      </c>
      <c r="P3" s="117" t="str">
        <f>_xlfn.TEXTJOIN(" ",TRUE,"Max",A2,":")</f>
        <v>Max UD :</v>
      </c>
      <c r="Q3" s="207">
        <f>IF(OR(A4="-",B4="-",C4="-",D4="-",E4="-"),"-",SUM(A4,B4,C4,D4,E4))</f>
        <v>0</v>
      </c>
      <c r="R3" s="208"/>
      <c r="S3" s="117" t="str">
        <f>_xlfn.TEXTJOIN(" ",TRUE,"Max",F2,":")</f>
        <v>Max SD :</v>
      </c>
      <c r="T3" s="209">
        <f>IF(OR(F4="-",G4="-",H4="-",I4="-",J4="-"),"-",SUM(F4,G4,H4,I4,J4))</f>
        <v>0</v>
      </c>
      <c r="U3" s="210"/>
      <c r="V3" s="118"/>
      <c r="W3" s="118"/>
      <c r="X3" s="118"/>
      <c r="Y3" s="115" t="s">
        <v>18</v>
      </c>
    </row>
    <row r="4" spans="1:30" s="60" customFormat="1" x14ac:dyDescent="0.25">
      <c r="A4" s="119"/>
      <c r="B4" s="120"/>
      <c r="C4" s="120"/>
      <c r="D4" s="120"/>
      <c r="E4" s="120"/>
      <c r="F4" s="120"/>
      <c r="G4" s="120"/>
      <c r="H4" s="120"/>
      <c r="I4" s="120"/>
      <c r="J4" s="120"/>
      <c r="K4" s="120"/>
      <c r="L4" s="120"/>
      <c r="M4" s="120"/>
      <c r="N4" s="120"/>
      <c r="O4" s="120"/>
      <c r="P4" s="121" t="str">
        <f>_xlfn.TEXTJOIN(" ",TRUE,P2,A2)</f>
        <v>Overall Assessment  UD</v>
      </c>
      <c r="Q4" s="122" t="s">
        <v>87</v>
      </c>
      <c r="R4" s="123" t="s">
        <v>1</v>
      </c>
      <c r="S4" s="124" t="str">
        <f>_xlfn.TEXTJOIN(" ",TRUE,P2,F2)</f>
        <v>Overall Assessment  SD</v>
      </c>
      <c r="T4" s="125" t="s">
        <v>87</v>
      </c>
      <c r="U4" s="126" t="s">
        <v>1</v>
      </c>
      <c r="V4" s="127" t="s">
        <v>49</v>
      </c>
      <c r="W4" s="127" t="s">
        <v>50</v>
      </c>
      <c r="X4" s="127" t="s">
        <v>72</v>
      </c>
      <c r="Y4" s="115" t="s">
        <v>18</v>
      </c>
    </row>
    <row r="5" spans="1:30" s="60" customFormat="1" x14ac:dyDescent="0.25">
      <c r="A5" s="128"/>
      <c r="B5" s="128"/>
      <c r="C5" s="128"/>
      <c r="D5" s="128"/>
      <c r="E5" s="128"/>
      <c r="F5" s="129"/>
      <c r="G5" s="128"/>
      <c r="H5" s="128"/>
      <c r="I5" s="128"/>
      <c r="J5" s="128"/>
      <c r="K5" s="129"/>
      <c r="L5" s="152"/>
      <c r="M5" s="152"/>
      <c r="N5" s="152"/>
      <c r="O5" s="128"/>
      <c r="P5" s="130" t="str">
        <f t="shared" ref="P5:P40" si="0">_xlfn.IFS(COUNTIF(A5:E5,"*-*")&gt;0,"-",COUNTBLANK(A5:E5)=5,"",Q$3="-","-",TRUE,SUM(A5:E5))</f>
        <v/>
      </c>
      <c r="Q5" s="131" t="str">
        <f t="shared" ref="Q5:Q40" si="1">_xlfn.IFS(P5="","",P5="-","-",TRUE,P5/Q$3)</f>
        <v/>
      </c>
      <c r="R5" s="132" t="str">
        <f>IF(Q5="","",VLOOKUP(Q5,Table1[],2,TRUE))</f>
        <v/>
      </c>
      <c r="S5" s="133" t="str">
        <f>_xlfn.IFS(COUNTIF(F5:J5,"*-*")&gt;0,"-",COUNTBLANK(F5:J5)=5,"",T$3="-","-",TRUE,SUM(F5:J5))</f>
        <v/>
      </c>
      <c r="T5" s="134" t="str">
        <f t="shared" ref="T5:T40" si="2">_xlfn.IFS(S5="","",S5="-","-",TRUE,S5/T$3)</f>
        <v/>
      </c>
      <c r="U5" s="135" t="str">
        <f>IF(T5="","",VLOOKUP(T5,Table1[],2,TRUE))</f>
        <v/>
      </c>
      <c r="V5" s="136" t="str">
        <f>_xlfn.IFS(AND(Q5="",T5=""),"",OR(Q5="-",T5="-"),"-",AND(Q$3&lt;&gt;0,T$3&lt;&gt;0),VLOOKUP(AVERAGE(Q5,T5),Table1[],2,TRUE),AND(Q$3&lt;&gt;0,T$3=0),R5,TRUE,U5)</f>
        <v/>
      </c>
      <c r="W5" s="137"/>
      <c r="X5" s="137" t="str">
        <f>IF(ISBLANK(W5),V5,W5)</f>
        <v/>
      </c>
      <c r="Y5" s="115" t="s">
        <v>18</v>
      </c>
    </row>
    <row r="6" spans="1:30" s="60" customFormat="1" x14ac:dyDescent="0.25">
      <c r="A6" s="128"/>
      <c r="B6" s="128"/>
      <c r="C6" s="128"/>
      <c r="D6" s="128"/>
      <c r="E6" s="128"/>
      <c r="F6" s="129"/>
      <c r="G6" s="128"/>
      <c r="H6" s="128"/>
      <c r="I6" s="128"/>
      <c r="J6" s="128"/>
      <c r="K6" s="129"/>
      <c r="L6" s="152"/>
      <c r="M6" s="152"/>
      <c r="N6" s="152"/>
      <c r="O6" s="128"/>
      <c r="P6" s="130" t="str">
        <f t="shared" si="0"/>
        <v/>
      </c>
      <c r="Q6" s="131" t="str">
        <f t="shared" si="1"/>
        <v/>
      </c>
      <c r="R6" s="132" t="str">
        <f>IF(P6="","",VLOOKUP(Q6,Table1[],2,TRUE))</f>
        <v/>
      </c>
      <c r="S6" s="138" t="str">
        <f t="shared" ref="S6:S40" si="3">_xlfn.IFS(COUNTIF(F6:J6,"*-*")&gt;0,"-",COUNTBLANK(F6:J6)=5,"",T$3="-","-",TRUE,SUM(F6:J6))</f>
        <v/>
      </c>
      <c r="T6" s="134" t="str">
        <f t="shared" si="2"/>
        <v/>
      </c>
      <c r="U6" s="135" t="str">
        <f>IF(S6="","",VLOOKUP(T6,Table1[],2,TRUE))</f>
        <v/>
      </c>
      <c r="V6" s="136" t="str">
        <f>_xlfn.IFS(AND(Q6="",T6=""),"",OR(Q6="-",T6="-"),"-",AND(Q$3&lt;&gt;0,T$3&lt;&gt;0),VLOOKUP(AVERAGE(Q6,T6),Table1[],2,TRUE),AND(Q$3&lt;&gt;0,T$3=0),R6,TRUE,U6)</f>
        <v/>
      </c>
      <c r="W6" s="137"/>
      <c r="X6" s="137" t="str">
        <f t="shared" ref="X6:X40" si="4">IF(ISBLANK(W6),V6,W6)</f>
        <v/>
      </c>
      <c r="Y6" s="115" t="s">
        <v>18</v>
      </c>
    </row>
    <row r="7" spans="1:30" s="60" customFormat="1" x14ac:dyDescent="0.25">
      <c r="A7" s="128"/>
      <c r="B7" s="128"/>
      <c r="C7" s="128"/>
      <c r="D7" s="128"/>
      <c r="E7" s="128"/>
      <c r="F7" s="129"/>
      <c r="G7" s="128"/>
      <c r="H7" s="128"/>
      <c r="I7" s="128"/>
      <c r="J7" s="128"/>
      <c r="K7" s="129"/>
      <c r="L7" s="152"/>
      <c r="M7" s="152"/>
      <c r="N7" s="152"/>
      <c r="O7" s="128"/>
      <c r="P7" s="130" t="str">
        <f t="shared" si="0"/>
        <v/>
      </c>
      <c r="Q7" s="131" t="str">
        <f t="shared" si="1"/>
        <v/>
      </c>
      <c r="R7" s="132" t="str">
        <f>IF(P7="","",VLOOKUP(Q7,Table1[],2,TRUE))</f>
        <v/>
      </c>
      <c r="S7" s="138" t="str">
        <f t="shared" si="3"/>
        <v/>
      </c>
      <c r="T7" s="134" t="str">
        <f t="shared" si="2"/>
        <v/>
      </c>
      <c r="U7" s="135" t="str">
        <f>IF(S7="","",VLOOKUP(T7,Table1[],2,TRUE))</f>
        <v/>
      </c>
      <c r="V7" s="136" t="str">
        <f>_xlfn.IFS(AND(Q7="",T7=""),"",OR(Q7="-",T7="-"),"-",AND(Q$3&lt;&gt;0,T$3&lt;&gt;0),VLOOKUP(AVERAGE(Q7,T7),Table1[],2,TRUE),AND(Q$3&lt;&gt;0,T$3=0),R7,TRUE,U7)</f>
        <v/>
      </c>
      <c r="W7" s="137"/>
      <c r="X7" s="137" t="str">
        <f t="shared" si="4"/>
        <v/>
      </c>
      <c r="Y7" s="115" t="s">
        <v>18</v>
      </c>
    </row>
    <row r="8" spans="1:30" s="60" customFormat="1" x14ac:dyDescent="0.25">
      <c r="A8" s="128"/>
      <c r="B8" s="128"/>
      <c r="C8" s="128"/>
      <c r="D8" s="128"/>
      <c r="E8" s="128"/>
      <c r="F8" s="129"/>
      <c r="G8" s="128"/>
      <c r="H8" s="128"/>
      <c r="I8" s="128"/>
      <c r="J8" s="128"/>
      <c r="K8" s="129"/>
      <c r="L8" s="152"/>
      <c r="M8" s="152"/>
      <c r="N8" s="152"/>
      <c r="O8" s="128"/>
      <c r="P8" s="130" t="str">
        <f t="shared" si="0"/>
        <v/>
      </c>
      <c r="Q8" s="131" t="str">
        <f t="shared" si="1"/>
        <v/>
      </c>
      <c r="R8" s="132" t="str">
        <f>IF(P8="","",VLOOKUP(Q8,Table1[],2,TRUE))</f>
        <v/>
      </c>
      <c r="S8" s="138" t="str">
        <f t="shared" si="3"/>
        <v/>
      </c>
      <c r="T8" s="134" t="str">
        <f t="shared" si="2"/>
        <v/>
      </c>
      <c r="U8" s="135" t="str">
        <f>IF(S8="","",VLOOKUP(T8,Table1[],2,TRUE))</f>
        <v/>
      </c>
      <c r="V8" s="136" t="str">
        <f>_xlfn.IFS(AND(Q8="",T8=""),"",OR(Q8="-",T8="-"),"-",AND(Q$3&lt;&gt;0,T$3&lt;&gt;0),VLOOKUP(AVERAGE(Q8,T8),Table1[],2,TRUE),AND(Q$3&lt;&gt;0,T$3=0),R8,TRUE,U8)</f>
        <v/>
      </c>
      <c r="W8" s="137"/>
      <c r="X8" s="137" t="str">
        <f t="shared" si="4"/>
        <v/>
      </c>
      <c r="Y8" s="115" t="s">
        <v>18</v>
      </c>
    </row>
    <row r="9" spans="1:30" s="60" customFormat="1" x14ac:dyDescent="0.25">
      <c r="A9" s="128"/>
      <c r="B9" s="128"/>
      <c r="C9" s="128"/>
      <c r="D9" s="128"/>
      <c r="E9" s="128"/>
      <c r="F9" s="129"/>
      <c r="G9" s="128"/>
      <c r="H9" s="128"/>
      <c r="I9" s="128"/>
      <c r="J9" s="128"/>
      <c r="K9" s="129"/>
      <c r="L9" s="152"/>
      <c r="M9" s="152"/>
      <c r="N9" s="152"/>
      <c r="O9" s="128"/>
      <c r="P9" s="130" t="str">
        <f t="shared" si="0"/>
        <v/>
      </c>
      <c r="Q9" s="131" t="str">
        <f t="shared" si="1"/>
        <v/>
      </c>
      <c r="R9" s="132" t="str">
        <f>IF(P9="","",VLOOKUP(Q9,Table1[],2,TRUE))</f>
        <v/>
      </c>
      <c r="S9" s="138" t="str">
        <f t="shared" si="3"/>
        <v/>
      </c>
      <c r="T9" s="134" t="str">
        <f t="shared" si="2"/>
        <v/>
      </c>
      <c r="U9" s="135" t="str">
        <f>IF(S9="","",VLOOKUP(T9,Table1[],2,TRUE))</f>
        <v/>
      </c>
      <c r="V9" s="136" t="str">
        <f>_xlfn.IFS(AND(Q9="",T9=""),"",OR(Q9="-",T9="-"),"-",AND(Q$3&lt;&gt;0,T$3&lt;&gt;0),VLOOKUP(AVERAGE(Q9,T9),Table1[],2,TRUE),AND(Q$3&lt;&gt;0,T$3=0),R9,TRUE,U9)</f>
        <v/>
      </c>
      <c r="W9" s="137"/>
      <c r="X9" s="137" t="str">
        <f t="shared" si="4"/>
        <v/>
      </c>
      <c r="Y9" s="115" t="s">
        <v>18</v>
      </c>
    </row>
    <row r="10" spans="1:30" s="60" customFormat="1" x14ac:dyDescent="0.25">
      <c r="A10" s="128"/>
      <c r="B10" s="128"/>
      <c r="C10" s="128"/>
      <c r="D10" s="128"/>
      <c r="E10" s="128"/>
      <c r="F10" s="129"/>
      <c r="G10" s="128"/>
      <c r="H10" s="128"/>
      <c r="I10" s="128"/>
      <c r="J10" s="128"/>
      <c r="K10" s="129"/>
      <c r="L10" s="152"/>
      <c r="M10" s="152"/>
      <c r="N10" s="152"/>
      <c r="O10" s="128"/>
      <c r="P10" s="130" t="str">
        <f t="shared" si="0"/>
        <v/>
      </c>
      <c r="Q10" s="131" t="str">
        <f t="shared" si="1"/>
        <v/>
      </c>
      <c r="R10" s="132" t="str">
        <f>IF(P10="","",VLOOKUP(Q10,Table1[],2,TRUE))</f>
        <v/>
      </c>
      <c r="S10" s="138" t="str">
        <f t="shared" si="3"/>
        <v/>
      </c>
      <c r="T10" s="134" t="str">
        <f t="shared" si="2"/>
        <v/>
      </c>
      <c r="U10" s="135" t="str">
        <f>IF(S10="","",VLOOKUP(T10,Table1[],2,TRUE))</f>
        <v/>
      </c>
      <c r="V10" s="136" t="str">
        <f>_xlfn.IFS(AND(Q10="",T10=""),"",OR(Q10="-",T10="-"),"-",AND(Q$3&lt;&gt;0,T$3&lt;&gt;0),VLOOKUP(AVERAGE(Q10,T10),Table1[],2,TRUE),AND(Q$3&lt;&gt;0,T$3=0),R10,TRUE,U10)</f>
        <v/>
      </c>
      <c r="W10" s="137"/>
      <c r="X10" s="137" t="str">
        <f t="shared" si="4"/>
        <v/>
      </c>
      <c r="Y10" s="115" t="s">
        <v>18</v>
      </c>
    </row>
    <row r="11" spans="1:30" s="60" customFormat="1" x14ac:dyDescent="0.25">
      <c r="A11" s="128"/>
      <c r="B11" s="128"/>
      <c r="C11" s="128"/>
      <c r="D11" s="128"/>
      <c r="E11" s="128"/>
      <c r="F11" s="129"/>
      <c r="G11" s="128"/>
      <c r="H11" s="128"/>
      <c r="I11" s="128"/>
      <c r="J11" s="128"/>
      <c r="K11" s="129"/>
      <c r="L11" s="152"/>
      <c r="M11" s="152"/>
      <c r="N11" s="152"/>
      <c r="O11" s="128"/>
      <c r="P11" s="130" t="str">
        <f t="shared" si="0"/>
        <v/>
      </c>
      <c r="Q11" s="131" t="str">
        <f t="shared" si="1"/>
        <v/>
      </c>
      <c r="R11" s="132" t="str">
        <f>IF(P11="","",VLOOKUP(Q11,Table1[],2,TRUE))</f>
        <v/>
      </c>
      <c r="S11" s="138" t="str">
        <f t="shared" si="3"/>
        <v/>
      </c>
      <c r="T11" s="134" t="str">
        <f t="shared" si="2"/>
        <v/>
      </c>
      <c r="U11" s="135" t="str">
        <f>IF(S11="","",VLOOKUP(T11,Table1[],2,TRUE))</f>
        <v/>
      </c>
      <c r="V11" s="136" t="str">
        <f>_xlfn.IFS(AND(Q11="",T11=""),"",OR(Q11="-",T11="-"),"-",AND(Q$3&lt;&gt;0,T$3&lt;&gt;0),VLOOKUP(AVERAGE(Q11,T11),Table1[],2,TRUE),AND(Q$3&lt;&gt;0,T$3=0),R11,TRUE,U11)</f>
        <v/>
      </c>
      <c r="W11" s="137"/>
      <c r="X11" s="137" t="str">
        <f t="shared" si="4"/>
        <v/>
      </c>
      <c r="Y11" s="115" t="s">
        <v>18</v>
      </c>
    </row>
    <row r="12" spans="1:30" s="60" customFormat="1" x14ac:dyDescent="0.25">
      <c r="A12" s="128"/>
      <c r="B12" s="128"/>
      <c r="C12" s="128"/>
      <c r="D12" s="128"/>
      <c r="E12" s="128"/>
      <c r="F12" s="129"/>
      <c r="G12" s="128"/>
      <c r="H12" s="128"/>
      <c r="I12" s="128"/>
      <c r="J12" s="128"/>
      <c r="K12" s="129"/>
      <c r="L12" s="152"/>
      <c r="M12" s="152"/>
      <c r="N12" s="152"/>
      <c r="O12" s="128"/>
      <c r="P12" s="130" t="str">
        <f t="shared" si="0"/>
        <v/>
      </c>
      <c r="Q12" s="131" t="str">
        <f t="shared" si="1"/>
        <v/>
      </c>
      <c r="R12" s="132" t="str">
        <f>IF(P12="","",VLOOKUP(Q12,Table1[],2,TRUE))</f>
        <v/>
      </c>
      <c r="S12" s="138" t="str">
        <f t="shared" si="3"/>
        <v/>
      </c>
      <c r="T12" s="134" t="str">
        <f t="shared" si="2"/>
        <v/>
      </c>
      <c r="U12" s="135" t="str">
        <f>IF(S12="","",VLOOKUP(T12,Table1[],2,TRUE))</f>
        <v/>
      </c>
      <c r="V12" s="136" t="str">
        <f>_xlfn.IFS(AND(Q12="",T12=""),"",OR(Q12="-",T12="-"),"-",AND(Q$3&lt;&gt;0,T$3&lt;&gt;0),VLOOKUP(AVERAGE(Q12,T12),Table1[],2,TRUE),AND(Q$3&lt;&gt;0,T$3=0),R12,TRUE,U12)</f>
        <v/>
      </c>
      <c r="W12" s="137"/>
      <c r="X12" s="137" t="str">
        <f t="shared" si="4"/>
        <v/>
      </c>
      <c r="Y12" s="115" t="s">
        <v>18</v>
      </c>
    </row>
    <row r="13" spans="1:30" s="60" customFormat="1" x14ac:dyDescent="0.25">
      <c r="A13" s="128"/>
      <c r="B13" s="128"/>
      <c r="C13" s="128"/>
      <c r="D13" s="128"/>
      <c r="E13" s="128"/>
      <c r="F13" s="129"/>
      <c r="G13" s="128"/>
      <c r="H13" s="128"/>
      <c r="I13" s="128"/>
      <c r="J13" s="128"/>
      <c r="K13" s="129"/>
      <c r="L13" s="152"/>
      <c r="M13" s="152"/>
      <c r="N13" s="152"/>
      <c r="O13" s="128"/>
      <c r="P13" s="130" t="str">
        <f t="shared" si="0"/>
        <v/>
      </c>
      <c r="Q13" s="131" t="str">
        <f t="shared" si="1"/>
        <v/>
      </c>
      <c r="R13" s="132" t="str">
        <f>IF(P13="","",VLOOKUP(Q13,Table1[],2,TRUE))</f>
        <v/>
      </c>
      <c r="S13" s="138" t="str">
        <f t="shared" si="3"/>
        <v/>
      </c>
      <c r="T13" s="134" t="str">
        <f t="shared" si="2"/>
        <v/>
      </c>
      <c r="U13" s="135" t="str">
        <f>IF(S13="","",VLOOKUP(T13,Table1[],2,TRUE))</f>
        <v/>
      </c>
      <c r="V13" s="136" t="str">
        <f>_xlfn.IFS(AND(Q13="",T13=""),"",OR(Q13="-",T13="-"),"-",AND(Q$3&lt;&gt;0,T$3&lt;&gt;0),VLOOKUP(AVERAGE(Q13,T13),Table1[],2,TRUE),AND(Q$3&lt;&gt;0,T$3=0),R13,TRUE,U13)</f>
        <v/>
      </c>
      <c r="W13" s="137"/>
      <c r="X13" s="137" t="str">
        <f t="shared" si="4"/>
        <v/>
      </c>
      <c r="Y13" s="115" t="s">
        <v>18</v>
      </c>
    </row>
    <row r="14" spans="1:30" s="60" customFormat="1" x14ac:dyDescent="0.25">
      <c r="A14" s="128"/>
      <c r="B14" s="128"/>
      <c r="C14" s="128"/>
      <c r="D14" s="128"/>
      <c r="E14" s="128"/>
      <c r="F14" s="129"/>
      <c r="G14" s="128"/>
      <c r="H14" s="128"/>
      <c r="I14" s="128"/>
      <c r="J14" s="128"/>
      <c r="K14" s="129"/>
      <c r="L14" s="152"/>
      <c r="M14" s="152"/>
      <c r="N14" s="152"/>
      <c r="O14" s="128"/>
      <c r="P14" s="130" t="str">
        <f t="shared" si="0"/>
        <v/>
      </c>
      <c r="Q14" s="131" t="str">
        <f t="shared" si="1"/>
        <v/>
      </c>
      <c r="R14" s="132" t="str">
        <f>IF(P14="","",VLOOKUP(Q14,Table1[],2,TRUE))</f>
        <v/>
      </c>
      <c r="S14" s="138" t="str">
        <f t="shared" si="3"/>
        <v/>
      </c>
      <c r="T14" s="134" t="str">
        <f t="shared" si="2"/>
        <v/>
      </c>
      <c r="U14" s="135" t="str">
        <f>IF(S14="","",VLOOKUP(T14,Table1[],2,TRUE))</f>
        <v/>
      </c>
      <c r="V14" s="136" t="str">
        <f>_xlfn.IFS(AND(Q14="",T14=""),"",OR(Q14="-",T14="-"),"-",AND(Q$3&lt;&gt;0,T$3&lt;&gt;0),VLOOKUP(AVERAGE(Q14,T14),Table1[],2,TRUE),AND(Q$3&lt;&gt;0,T$3=0),R14,TRUE,U14)</f>
        <v/>
      </c>
      <c r="W14" s="137"/>
      <c r="X14" s="137" t="str">
        <f t="shared" si="4"/>
        <v/>
      </c>
      <c r="Y14" s="115" t="s">
        <v>18</v>
      </c>
    </row>
    <row r="15" spans="1:30" s="60" customFormat="1" x14ac:dyDescent="0.25">
      <c r="A15" s="128"/>
      <c r="B15" s="128"/>
      <c r="C15" s="128"/>
      <c r="D15" s="128"/>
      <c r="E15" s="128"/>
      <c r="F15" s="129"/>
      <c r="G15" s="128"/>
      <c r="H15" s="128"/>
      <c r="I15" s="128"/>
      <c r="J15" s="128"/>
      <c r="K15" s="129"/>
      <c r="L15" s="152"/>
      <c r="M15" s="152"/>
      <c r="N15" s="152"/>
      <c r="O15" s="128"/>
      <c r="P15" s="130" t="str">
        <f t="shared" si="0"/>
        <v/>
      </c>
      <c r="Q15" s="131" t="str">
        <f t="shared" si="1"/>
        <v/>
      </c>
      <c r="R15" s="132" t="str">
        <f>IF(P15="","",VLOOKUP(Q15,Table1[],2,TRUE))</f>
        <v/>
      </c>
      <c r="S15" s="138" t="str">
        <f t="shared" si="3"/>
        <v/>
      </c>
      <c r="T15" s="134" t="str">
        <f t="shared" si="2"/>
        <v/>
      </c>
      <c r="U15" s="135" t="str">
        <f>IF(S15="","",VLOOKUP(T15,Table1[],2,TRUE))</f>
        <v/>
      </c>
      <c r="V15" s="136" t="str">
        <f>_xlfn.IFS(AND(Q15="",T15=""),"",OR(Q15="-",T15="-"),"-",AND(Q$3&lt;&gt;0,T$3&lt;&gt;0),VLOOKUP(AVERAGE(Q15,T15),Table1[],2,TRUE),AND(Q$3&lt;&gt;0,T$3=0),R15,TRUE,U15)</f>
        <v/>
      </c>
      <c r="W15" s="137"/>
      <c r="X15" s="137" t="str">
        <f t="shared" si="4"/>
        <v/>
      </c>
      <c r="Y15" s="115" t="s">
        <v>18</v>
      </c>
    </row>
    <row r="16" spans="1:30" s="60" customFormat="1" x14ac:dyDescent="0.25">
      <c r="A16" s="128"/>
      <c r="B16" s="128"/>
      <c r="C16" s="128"/>
      <c r="D16" s="128"/>
      <c r="E16" s="128"/>
      <c r="F16" s="129"/>
      <c r="G16" s="128"/>
      <c r="H16" s="128"/>
      <c r="I16" s="128"/>
      <c r="J16" s="128"/>
      <c r="K16" s="129"/>
      <c r="L16" s="152"/>
      <c r="M16" s="152"/>
      <c r="N16" s="152"/>
      <c r="O16" s="128"/>
      <c r="P16" s="130" t="str">
        <f t="shared" si="0"/>
        <v/>
      </c>
      <c r="Q16" s="131" t="str">
        <f t="shared" si="1"/>
        <v/>
      </c>
      <c r="R16" s="132" t="str">
        <f>IF(P16="","",VLOOKUP(Q16,Table1[],2,TRUE))</f>
        <v/>
      </c>
      <c r="S16" s="138" t="str">
        <f t="shared" si="3"/>
        <v/>
      </c>
      <c r="T16" s="134" t="str">
        <f t="shared" si="2"/>
        <v/>
      </c>
      <c r="U16" s="135" t="str">
        <f>IF(S16="","",VLOOKUP(T16,Table1[],2,TRUE))</f>
        <v/>
      </c>
      <c r="V16" s="136" t="str">
        <f>_xlfn.IFS(AND(Q16="",T16=""),"",OR(Q16="-",T16="-"),"-",AND(Q$3&lt;&gt;0,T$3&lt;&gt;0),VLOOKUP(AVERAGE(Q16,T16),Table1[],2,TRUE),AND(Q$3&lt;&gt;0,T$3=0),R16,TRUE,U16)</f>
        <v/>
      </c>
      <c r="W16" s="137"/>
      <c r="X16" s="137" t="str">
        <f t="shared" si="4"/>
        <v/>
      </c>
      <c r="Y16" s="115" t="s">
        <v>18</v>
      </c>
    </row>
    <row r="17" spans="1:25" s="60" customFormat="1" x14ac:dyDescent="0.25">
      <c r="A17" s="128"/>
      <c r="B17" s="128"/>
      <c r="C17" s="128"/>
      <c r="D17" s="128"/>
      <c r="E17" s="128"/>
      <c r="F17" s="129"/>
      <c r="G17" s="128"/>
      <c r="H17" s="128"/>
      <c r="I17" s="128"/>
      <c r="J17" s="128"/>
      <c r="K17" s="129"/>
      <c r="L17" s="152"/>
      <c r="M17" s="152"/>
      <c r="N17" s="152"/>
      <c r="O17" s="128"/>
      <c r="P17" s="130" t="str">
        <f t="shared" si="0"/>
        <v/>
      </c>
      <c r="Q17" s="131" t="str">
        <f t="shared" si="1"/>
        <v/>
      </c>
      <c r="R17" s="132" t="str">
        <f>IF(P17="","",VLOOKUP(Q17,Table1[],2,TRUE))</f>
        <v/>
      </c>
      <c r="S17" s="138" t="str">
        <f t="shared" si="3"/>
        <v/>
      </c>
      <c r="T17" s="134" t="str">
        <f t="shared" si="2"/>
        <v/>
      </c>
      <c r="U17" s="135" t="str">
        <f>IF(S17="","",VLOOKUP(T17,Table1[],2,TRUE))</f>
        <v/>
      </c>
      <c r="V17" s="136" t="str">
        <f>_xlfn.IFS(AND(Q17="",T17=""),"",OR(Q17="-",T17="-"),"-",AND(Q$3&lt;&gt;0,T$3&lt;&gt;0),VLOOKUP(AVERAGE(Q17,T17),Table1[],2,TRUE),AND(Q$3&lt;&gt;0,T$3=0),R17,TRUE,U17)</f>
        <v/>
      </c>
      <c r="W17" s="137"/>
      <c r="X17" s="137" t="str">
        <f t="shared" si="4"/>
        <v/>
      </c>
      <c r="Y17" s="115" t="s">
        <v>18</v>
      </c>
    </row>
    <row r="18" spans="1:25" s="60" customFormat="1" x14ac:dyDescent="0.25">
      <c r="A18" s="128"/>
      <c r="B18" s="128"/>
      <c r="C18" s="128"/>
      <c r="D18" s="128"/>
      <c r="E18" s="128"/>
      <c r="F18" s="129"/>
      <c r="G18" s="128"/>
      <c r="H18" s="128"/>
      <c r="I18" s="128"/>
      <c r="J18" s="128"/>
      <c r="K18" s="129"/>
      <c r="L18" s="152"/>
      <c r="M18" s="152"/>
      <c r="N18" s="152"/>
      <c r="O18" s="128"/>
      <c r="P18" s="130" t="str">
        <f t="shared" si="0"/>
        <v/>
      </c>
      <c r="Q18" s="131" t="str">
        <f t="shared" si="1"/>
        <v/>
      </c>
      <c r="R18" s="132" t="str">
        <f>IF(P18="","",VLOOKUP(Q18,Table1[],2,TRUE))</f>
        <v/>
      </c>
      <c r="S18" s="138" t="str">
        <f t="shared" si="3"/>
        <v/>
      </c>
      <c r="T18" s="134" t="str">
        <f t="shared" si="2"/>
        <v/>
      </c>
      <c r="U18" s="135" t="str">
        <f>IF(S18="","",VLOOKUP(T18,Table1[],2,TRUE))</f>
        <v/>
      </c>
      <c r="V18" s="136" t="str">
        <f>_xlfn.IFS(AND(Q18="",T18=""),"",OR(Q18="-",T18="-"),"-",AND(Q$3&lt;&gt;0,T$3&lt;&gt;0),VLOOKUP(AVERAGE(Q18,T18),Table1[],2,TRUE),AND(Q$3&lt;&gt;0,T$3=0),R18,TRUE,U18)</f>
        <v/>
      </c>
      <c r="W18" s="137"/>
      <c r="X18" s="137" t="str">
        <f t="shared" si="4"/>
        <v/>
      </c>
      <c r="Y18" s="115" t="s">
        <v>18</v>
      </c>
    </row>
    <row r="19" spans="1:25" s="60" customFormat="1" x14ac:dyDescent="0.25">
      <c r="A19" s="128"/>
      <c r="B19" s="128"/>
      <c r="C19" s="128"/>
      <c r="D19" s="128"/>
      <c r="E19" s="128"/>
      <c r="F19" s="129"/>
      <c r="G19" s="128"/>
      <c r="H19" s="128"/>
      <c r="I19" s="128"/>
      <c r="J19" s="128"/>
      <c r="K19" s="129"/>
      <c r="L19" s="152"/>
      <c r="M19" s="152"/>
      <c r="N19" s="152"/>
      <c r="O19" s="128"/>
      <c r="P19" s="130" t="str">
        <f t="shared" si="0"/>
        <v/>
      </c>
      <c r="Q19" s="131" t="str">
        <f t="shared" si="1"/>
        <v/>
      </c>
      <c r="R19" s="132" t="str">
        <f>IF(P19="","",VLOOKUP(Q19,Table1[],2,TRUE))</f>
        <v/>
      </c>
      <c r="S19" s="138" t="str">
        <f t="shared" si="3"/>
        <v/>
      </c>
      <c r="T19" s="134" t="str">
        <f t="shared" si="2"/>
        <v/>
      </c>
      <c r="U19" s="135" t="str">
        <f>IF(S19="","",VLOOKUP(T19,Table1[],2,TRUE))</f>
        <v/>
      </c>
      <c r="V19" s="136" t="str">
        <f>_xlfn.IFS(AND(Q19="",T19=""),"",OR(Q19="-",T19="-"),"-",AND(Q$3&lt;&gt;0,T$3&lt;&gt;0),VLOOKUP(AVERAGE(Q19,T19),Table1[],2,TRUE),AND(Q$3&lt;&gt;0,T$3=0),R19,TRUE,U19)</f>
        <v/>
      </c>
      <c r="W19" s="137"/>
      <c r="X19" s="137" t="str">
        <f t="shared" si="4"/>
        <v/>
      </c>
      <c r="Y19" s="115" t="s">
        <v>18</v>
      </c>
    </row>
    <row r="20" spans="1:25" s="60" customFormat="1" x14ac:dyDescent="0.25">
      <c r="A20" s="128"/>
      <c r="B20" s="128"/>
      <c r="C20" s="128"/>
      <c r="D20" s="128"/>
      <c r="E20" s="128"/>
      <c r="F20" s="129"/>
      <c r="G20" s="128"/>
      <c r="H20" s="128"/>
      <c r="I20" s="128"/>
      <c r="J20" s="128"/>
      <c r="K20" s="129"/>
      <c r="L20" s="152"/>
      <c r="M20" s="152"/>
      <c r="N20" s="152"/>
      <c r="O20" s="128"/>
      <c r="P20" s="130" t="str">
        <f t="shared" si="0"/>
        <v/>
      </c>
      <c r="Q20" s="131" t="str">
        <f t="shared" si="1"/>
        <v/>
      </c>
      <c r="R20" s="132" t="str">
        <f>IF(P20="","",VLOOKUP(Q20,Table1[],2,TRUE))</f>
        <v/>
      </c>
      <c r="S20" s="138" t="str">
        <f t="shared" si="3"/>
        <v/>
      </c>
      <c r="T20" s="134" t="str">
        <f t="shared" si="2"/>
        <v/>
      </c>
      <c r="U20" s="135" t="str">
        <f>IF(S20="","",VLOOKUP(T20,Table1[],2,TRUE))</f>
        <v/>
      </c>
      <c r="V20" s="136" t="str">
        <f>_xlfn.IFS(AND(Q20="",T20=""),"",OR(Q20="-",T20="-"),"-",AND(Q$3&lt;&gt;0,T$3&lt;&gt;0),VLOOKUP(AVERAGE(Q20,T20),Table1[],2,TRUE),AND(Q$3&lt;&gt;0,T$3=0),R20,TRUE,U20)</f>
        <v/>
      </c>
      <c r="W20" s="137"/>
      <c r="X20" s="137" t="str">
        <f t="shared" si="4"/>
        <v/>
      </c>
      <c r="Y20" s="115" t="s">
        <v>18</v>
      </c>
    </row>
    <row r="21" spans="1:25" s="60" customFormat="1" x14ac:dyDescent="0.25">
      <c r="A21" s="128"/>
      <c r="B21" s="128"/>
      <c r="C21" s="128"/>
      <c r="D21" s="128"/>
      <c r="E21" s="128"/>
      <c r="F21" s="129"/>
      <c r="G21" s="128"/>
      <c r="H21" s="128"/>
      <c r="I21" s="128"/>
      <c r="J21" s="128"/>
      <c r="K21" s="129"/>
      <c r="L21" s="152"/>
      <c r="M21" s="152"/>
      <c r="N21" s="152"/>
      <c r="O21" s="128"/>
      <c r="P21" s="130" t="str">
        <f t="shared" si="0"/>
        <v/>
      </c>
      <c r="Q21" s="131" t="str">
        <f t="shared" si="1"/>
        <v/>
      </c>
      <c r="R21" s="132" t="str">
        <f>IF(P21="","",VLOOKUP(Q21,Table1[],2,TRUE))</f>
        <v/>
      </c>
      <c r="S21" s="138" t="str">
        <f t="shared" si="3"/>
        <v/>
      </c>
      <c r="T21" s="134" t="str">
        <f t="shared" si="2"/>
        <v/>
      </c>
      <c r="U21" s="135" t="str">
        <f>IF(S21="","",VLOOKUP(T21,Table1[],2,TRUE))</f>
        <v/>
      </c>
      <c r="V21" s="136" t="str">
        <f>_xlfn.IFS(AND(Q21="",T21=""),"",OR(Q21="-",T21="-"),"-",AND(Q$3&lt;&gt;0,T$3&lt;&gt;0),VLOOKUP(AVERAGE(Q21,T21),Table1[],2,TRUE),AND(Q$3&lt;&gt;0,T$3=0),R21,TRUE,U21)</f>
        <v/>
      </c>
      <c r="W21" s="137"/>
      <c r="X21" s="137" t="str">
        <f t="shared" si="4"/>
        <v/>
      </c>
      <c r="Y21" s="115" t="s">
        <v>18</v>
      </c>
    </row>
    <row r="22" spans="1:25" s="60" customFormat="1" x14ac:dyDescent="0.25">
      <c r="A22" s="128"/>
      <c r="B22" s="128"/>
      <c r="C22" s="128"/>
      <c r="D22" s="128"/>
      <c r="E22" s="128"/>
      <c r="F22" s="129"/>
      <c r="G22" s="128"/>
      <c r="H22" s="128"/>
      <c r="I22" s="128"/>
      <c r="J22" s="128"/>
      <c r="K22" s="129"/>
      <c r="L22" s="152"/>
      <c r="M22" s="152"/>
      <c r="N22" s="152"/>
      <c r="O22" s="128"/>
      <c r="P22" s="130" t="str">
        <f t="shared" si="0"/>
        <v/>
      </c>
      <c r="Q22" s="131" t="str">
        <f t="shared" si="1"/>
        <v/>
      </c>
      <c r="R22" s="132" t="str">
        <f>IF(P22="","",VLOOKUP(Q22,Table1[],2,TRUE))</f>
        <v/>
      </c>
      <c r="S22" s="138" t="str">
        <f t="shared" si="3"/>
        <v/>
      </c>
      <c r="T22" s="134" t="str">
        <f t="shared" si="2"/>
        <v/>
      </c>
      <c r="U22" s="135" t="str">
        <f>IF(S22="","",VLOOKUP(T22,Table1[],2,TRUE))</f>
        <v/>
      </c>
      <c r="V22" s="136" t="str">
        <f>_xlfn.IFS(AND(Q22="",T22=""),"",OR(Q22="-",T22="-"),"-",AND(Q$3&lt;&gt;0,T$3&lt;&gt;0),VLOOKUP(AVERAGE(Q22,T22),Table1[],2,TRUE),AND(Q$3&lt;&gt;0,T$3=0),R22,TRUE,U22)</f>
        <v/>
      </c>
      <c r="W22" s="137"/>
      <c r="X22" s="137" t="str">
        <f t="shared" si="4"/>
        <v/>
      </c>
      <c r="Y22" s="115" t="s">
        <v>18</v>
      </c>
    </row>
    <row r="23" spans="1:25" s="60" customFormat="1" x14ac:dyDescent="0.25">
      <c r="A23" s="128"/>
      <c r="B23" s="128"/>
      <c r="C23" s="128"/>
      <c r="D23" s="128"/>
      <c r="E23" s="128"/>
      <c r="F23" s="129"/>
      <c r="G23" s="128"/>
      <c r="H23" s="128"/>
      <c r="I23" s="128"/>
      <c r="J23" s="128"/>
      <c r="K23" s="129"/>
      <c r="L23" s="152"/>
      <c r="M23" s="152"/>
      <c r="N23" s="152"/>
      <c r="O23" s="128"/>
      <c r="P23" s="130" t="str">
        <f t="shared" si="0"/>
        <v/>
      </c>
      <c r="Q23" s="131" t="str">
        <f t="shared" si="1"/>
        <v/>
      </c>
      <c r="R23" s="132" t="str">
        <f>IF(P23="","",VLOOKUP(Q23,Table1[],2,TRUE))</f>
        <v/>
      </c>
      <c r="S23" s="138" t="str">
        <f t="shared" si="3"/>
        <v/>
      </c>
      <c r="T23" s="134" t="str">
        <f t="shared" si="2"/>
        <v/>
      </c>
      <c r="U23" s="135" t="str">
        <f>IF(S23="","",VLOOKUP(T23,Table1[],2,TRUE))</f>
        <v/>
      </c>
      <c r="V23" s="136" t="str">
        <f>_xlfn.IFS(AND(Q23="",T23=""),"",OR(Q23="-",T23="-"),"-",AND(Q$3&lt;&gt;0,T$3&lt;&gt;0),VLOOKUP(AVERAGE(Q23,T23),Table1[],2,TRUE),AND(Q$3&lt;&gt;0,T$3=0),R23,TRUE,U23)</f>
        <v/>
      </c>
      <c r="W23" s="137"/>
      <c r="X23" s="137" t="str">
        <f t="shared" si="4"/>
        <v/>
      </c>
      <c r="Y23" s="115" t="s">
        <v>18</v>
      </c>
    </row>
    <row r="24" spans="1:25" s="60" customFormat="1" x14ac:dyDescent="0.25">
      <c r="A24" s="128"/>
      <c r="B24" s="128"/>
      <c r="C24" s="128"/>
      <c r="D24" s="128"/>
      <c r="E24" s="128"/>
      <c r="F24" s="129"/>
      <c r="G24" s="128"/>
      <c r="H24" s="128"/>
      <c r="I24" s="128"/>
      <c r="J24" s="128"/>
      <c r="K24" s="129"/>
      <c r="L24" s="152"/>
      <c r="M24" s="152"/>
      <c r="N24" s="152"/>
      <c r="O24" s="128"/>
      <c r="P24" s="130" t="str">
        <f t="shared" si="0"/>
        <v/>
      </c>
      <c r="Q24" s="131" t="str">
        <f t="shared" si="1"/>
        <v/>
      </c>
      <c r="R24" s="132" t="str">
        <f>IF(P24="","",VLOOKUP(Q24,Table1[],2,TRUE))</f>
        <v/>
      </c>
      <c r="S24" s="138" t="str">
        <f t="shared" si="3"/>
        <v/>
      </c>
      <c r="T24" s="134" t="str">
        <f t="shared" si="2"/>
        <v/>
      </c>
      <c r="U24" s="135" t="str">
        <f>IF(S24="","",VLOOKUP(T24,Table1[],2,TRUE))</f>
        <v/>
      </c>
      <c r="V24" s="136" t="str">
        <f>_xlfn.IFS(AND(Q24="",T24=""),"",OR(Q24="-",T24="-"),"-",AND(Q$3&lt;&gt;0,T$3&lt;&gt;0),VLOOKUP(AVERAGE(Q24,T24),Table1[],2,TRUE),AND(Q$3&lt;&gt;0,T$3=0),R24,TRUE,U24)</f>
        <v/>
      </c>
      <c r="W24" s="137"/>
      <c r="X24" s="137" t="str">
        <f t="shared" si="4"/>
        <v/>
      </c>
      <c r="Y24" s="115" t="s">
        <v>18</v>
      </c>
    </row>
    <row r="25" spans="1:25" s="60" customFormat="1" x14ac:dyDescent="0.25">
      <c r="A25" s="128"/>
      <c r="B25" s="128"/>
      <c r="C25" s="128"/>
      <c r="D25" s="128"/>
      <c r="E25" s="128"/>
      <c r="F25" s="129"/>
      <c r="G25" s="128"/>
      <c r="H25" s="128"/>
      <c r="I25" s="128"/>
      <c r="J25" s="128"/>
      <c r="K25" s="129"/>
      <c r="L25" s="152"/>
      <c r="M25" s="152"/>
      <c r="N25" s="152"/>
      <c r="O25" s="128"/>
      <c r="P25" s="130" t="str">
        <f t="shared" si="0"/>
        <v/>
      </c>
      <c r="Q25" s="131" t="str">
        <f t="shared" si="1"/>
        <v/>
      </c>
      <c r="R25" s="132" t="str">
        <f>IF(P25="","",VLOOKUP(Q25,Table1[],2,TRUE))</f>
        <v/>
      </c>
      <c r="S25" s="138" t="str">
        <f t="shared" si="3"/>
        <v/>
      </c>
      <c r="T25" s="134" t="str">
        <f t="shared" si="2"/>
        <v/>
      </c>
      <c r="U25" s="135" t="str">
        <f>IF(S25="","",VLOOKUP(T25,Table1[],2,TRUE))</f>
        <v/>
      </c>
      <c r="V25" s="136" t="str">
        <f>_xlfn.IFS(AND(Q25="",T25=""),"",OR(Q25="-",T25="-"),"-",AND(Q$3&lt;&gt;0,T$3&lt;&gt;0),VLOOKUP(AVERAGE(Q25,T25),Table1[],2,TRUE),AND(Q$3&lt;&gt;0,T$3=0),R25,TRUE,U25)</f>
        <v/>
      </c>
      <c r="W25" s="137"/>
      <c r="X25" s="137" t="str">
        <f t="shared" si="4"/>
        <v/>
      </c>
      <c r="Y25" s="115" t="s">
        <v>18</v>
      </c>
    </row>
    <row r="26" spans="1:25" s="60" customFormat="1" x14ac:dyDescent="0.25">
      <c r="A26" s="128"/>
      <c r="B26" s="128"/>
      <c r="C26" s="128"/>
      <c r="D26" s="128"/>
      <c r="E26" s="128"/>
      <c r="F26" s="129"/>
      <c r="G26" s="128"/>
      <c r="H26" s="128"/>
      <c r="I26" s="128"/>
      <c r="J26" s="128"/>
      <c r="K26" s="129"/>
      <c r="L26" s="152"/>
      <c r="M26" s="152"/>
      <c r="N26" s="152"/>
      <c r="O26" s="128"/>
      <c r="P26" s="130" t="str">
        <f t="shared" si="0"/>
        <v/>
      </c>
      <c r="Q26" s="131" t="str">
        <f t="shared" si="1"/>
        <v/>
      </c>
      <c r="R26" s="132" t="str">
        <f>IF(P26="","",VLOOKUP(Q26,Table1[],2,TRUE))</f>
        <v/>
      </c>
      <c r="S26" s="138" t="str">
        <f t="shared" si="3"/>
        <v/>
      </c>
      <c r="T26" s="134" t="str">
        <f t="shared" si="2"/>
        <v/>
      </c>
      <c r="U26" s="135" t="str">
        <f>IF(S26="","",VLOOKUP(T26,Table1[],2,TRUE))</f>
        <v/>
      </c>
      <c r="V26" s="136" t="str">
        <f>_xlfn.IFS(AND(Q26="",T26=""),"",OR(Q26="-",T26="-"),"-",AND(Q$3&lt;&gt;0,T$3&lt;&gt;0),VLOOKUP(AVERAGE(Q26,T26),Table1[],2,TRUE),AND(Q$3&lt;&gt;0,T$3=0),R26,TRUE,U26)</f>
        <v/>
      </c>
      <c r="W26" s="137"/>
      <c r="X26" s="137" t="str">
        <f t="shared" si="4"/>
        <v/>
      </c>
      <c r="Y26" s="115" t="s">
        <v>18</v>
      </c>
    </row>
    <row r="27" spans="1:25" s="60" customFormat="1" x14ac:dyDescent="0.25">
      <c r="A27" s="128"/>
      <c r="B27" s="128"/>
      <c r="C27" s="128"/>
      <c r="D27" s="128"/>
      <c r="E27" s="128"/>
      <c r="F27" s="129"/>
      <c r="G27" s="128"/>
      <c r="H27" s="128"/>
      <c r="I27" s="128"/>
      <c r="J27" s="128"/>
      <c r="K27" s="129"/>
      <c r="L27" s="152"/>
      <c r="M27" s="152"/>
      <c r="N27" s="152"/>
      <c r="O27" s="128"/>
      <c r="P27" s="130" t="str">
        <f t="shared" si="0"/>
        <v/>
      </c>
      <c r="Q27" s="131" t="str">
        <f t="shared" si="1"/>
        <v/>
      </c>
      <c r="R27" s="132" t="str">
        <f>IF(P27="","",VLOOKUP(Q27,Table1[],2,TRUE))</f>
        <v/>
      </c>
      <c r="S27" s="138" t="str">
        <f t="shared" si="3"/>
        <v/>
      </c>
      <c r="T27" s="134" t="str">
        <f t="shared" si="2"/>
        <v/>
      </c>
      <c r="U27" s="135" t="str">
        <f>IF(S27="","",VLOOKUP(T27,Table1[],2,TRUE))</f>
        <v/>
      </c>
      <c r="V27" s="136" t="str">
        <f>_xlfn.IFS(AND(Q27="",T27=""),"",OR(Q27="-",T27="-"),"-",AND(Q$3&lt;&gt;0,T$3&lt;&gt;0),VLOOKUP(AVERAGE(Q27,T27),Table1[],2,TRUE),AND(Q$3&lt;&gt;0,T$3=0),R27,TRUE,U27)</f>
        <v/>
      </c>
      <c r="W27" s="137"/>
      <c r="X27" s="137" t="str">
        <f t="shared" si="4"/>
        <v/>
      </c>
      <c r="Y27" s="115" t="s">
        <v>18</v>
      </c>
    </row>
    <row r="28" spans="1:25" s="60" customFormat="1" x14ac:dyDescent="0.25">
      <c r="A28" s="128"/>
      <c r="B28" s="128"/>
      <c r="C28" s="128"/>
      <c r="D28" s="128"/>
      <c r="E28" s="128"/>
      <c r="F28" s="129"/>
      <c r="G28" s="128"/>
      <c r="H28" s="128"/>
      <c r="I28" s="128"/>
      <c r="J28" s="128"/>
      <c r="K28" s="129"/>
      <c r="L28" s="152"/>
      <c r="M28" s="152"/>
      <c r="N28" s="152"/>
      <c r="O28" s="128"/>
      <c r="P28" s="130" t="str">
        <f t="shared" si="0"/>
        <v/>
      </c>
      <c r="Q28" s="131" t="str">
        <f t="shared" si="1"/>
        <v/>
      </c>
      <c r="R28" s="132" t="str">
        <f>IF(P28="","",VLOOKUP(Q28,Table1[],2,TRUE))</f>
        <v/>
      </c>
      <c r="S28" s="138" t="str">
        <f t="shared" si="3"/>
        <v/>
      </c>
      <c r="T28" s="134" t="str">
        <f t="shared" si="2"/>
        <v/>
      </c>
      <c r="U28" s="135" t="str">
        <f>IF(S28="","",VLOOKUP(T28,Table1[],2,TRUE))</f>
        <v/>
      </c>
      <c r="V28" s="136" t="str">
        <f>_xlfn.IFS(AND(Q28="",T28=""),"",OR(Q28="-",T28="-"),"-",AND(Q$3&lt;&gt;0,T$3&lt;&gt;0),VLOOKUP(AVERAGE(Q28,T28),Table1[],2,TRUE),AND(Q$3&lt;&gt;0,T$3=0),R28,TRUE,U28)</f>
        <v/>
      </c>
      <c r="W28" s="137"/>
      <c r="X28" s="137" t="str">
        <f t="shared" si="4"/>
        <v/>
      </c>
      <c r="Y28" s="115" t="s">
        <v>18</v>
      </c>
    </row>
    <row r="29" spans="1:25" s="60" customFormat="1" x14ac:dyDescent="0.25">
      <c r="A29" s="128"/>
      <c r="B29" s="128"/>
      <c r="C29" s="128"/>
      <c r="D29" s="128"/>
      <c r="E29" s="128"/>
      <c r="F29" s="129"/>
      <c r="G29" s="128"/>
      <c r="H29" s="128"/>
      <c r="I29" s="128"/>
      <c r="J29" s="128"/>
      <c r="K29" s="129"/>
      <c r="L29" s="152"/>
      <c r="M29" s="152"/>
      <c r="N29" s="152"/>
      <c r="O29" s="128"/>
      <c r="P29" s="130" t="str">
        <f t="shared" si="0"/>
        <v/>
      </c>
      <c r="Q29" s="131" t="str">
        <f t="shared" si="1"/>
        <v/>
      </c>
      <c r="R29" s="132" t="str">
        <f>IF(P29="","",VLOOKUP(Q29,Table1[],2,TRUE))</f>
        <v/>
      </c>
      <c r="S29" s="138" t="str">
        <f t="shared" si="3"/>
        <v/>
      </c>
      <c r="T29" s="134" t="str">
        <f t="shared" si="2"/>
        <v/>
      </c>
      <c r="U29" s="135" t="str">
        <f>IF(S29="","",VLOOKUP(T29,Table1[],2,TRUE))</f>
        <v/>
      </c>
      <c r="V29" s="136" t="str">
        <f>_xlfn.IFS(AND(Q29="",T29=""),"",OR(Q29="-",T29="-"),"-",AND(Q$3&lt;&gt;0,T$3&lt;&gt;0),VLOOKUP(AVERAGE(Q29,T29),Table1[],2,TRUE),AND(Q$3&lt;&gt;0,T$3=0),R29,TRUE,U29)</f>
        <v/>
      </c>
      <c r="W29" s="137"/>
      <c r="X29" s="137" t="str">
        <f t="shared" si="4"/>
        <v/>
      </c>
      <c r="Y29" s="115" t="s">
        <v>18</v>
      </c>
    </row>
    <row r="30" spans="1:25" s="60" customFormat="1" x14ac:dyDescent="0.25">
      <c r="A30" s="128"/>
      <c r="B30" s="128"/>
      <c r="C30" s="128"/>
      <c r="D30" s="128"/>
      <c r="E30" s="128"/>
      <c r="F30" s="129"/>
      <c r="G30" s="128"/>
      <c r="H30" s="128"/>
      <c r="I30" s="128"/>
      <c r="J30" s="128"/>
      <c r="K30" s="129"/>
      <c r="L30" s="152"/>
      <c r="M30" s="152"/>
      <c r="N30" s="152"/>
      <c r="O30" s="128"/>
      <c r="P30" s="130" t="str">
        <f t="shared" si="0"/>
        <v/>
      </c>
      <c r="Q30" s="131" t="str">
        <f t="shared" si="1"/>
        <v/>
      </c>
      <c r="R30" s="132" t="str">
        <f>IF(P30="","",VLOOKUP(Q30,Table1[],2,TRUE))</f>
        <v/>
      </c>
      <c r="S30" s="138" t="str">
        <f t="shared" si="3"/>
        <v/>
      </c>
      <c r="T30" s="134" t="str">
        <f t="shared" si="2"/>
        <v/>
      </c>
      <c r="U30" s="135" t="str">
        <f>IF(S30="","",VLOOKUP(T30,Table1[],2,TRUE))</f>
        <v/>
      </c>
      <c r="V30" s="136" t="str">
        <f>_xlfn.IFS(AND(Q30="",T30=""),"",OR(Q30="-",T30="-"),"-",AND(Q$3&lt;&gt;0,T$3&lt;&gt;0),VLOOKUP(AVERAGE(Q30,T30),Table1[],2,TRUE),AND(Q$3&lt;&gt;0,T$3=0),R30,TRUE,U30)</f>
        <v/>
      </c>
      <c r="W30" s="137"/>
      <c r="X30" s="137" t="str">
        <f t="shared" si="4"/>
        <v/>
      </c>
      <c r="Y30" s="115" t="s">
        <v>18</v>
      </c>
    </row>
    <row r="31" spans="1:25" s="60" customFormat="1" x14ac:dyDescent="0.25">
      <c r="A31" s="128"/>
      <c r="B31" s="128"/>
      <c r="C31" s="128"/>
      <c r="D31" s="128"/>
      <c r="E31" s="128"/>
      <c r="F31" s="129"/>
      <c r="G31" s="128"/>
      <c r="H31" s="128"/>
      <c r="I31" s="128"/>
      <c r="J31" s="128"/>
      <c r="K31" s="129"/>
      <c r="L31" s="152"/>
      <c r="M31" s="152"/>
      <c r="N31" s="152"/>
      <c r="O31" s="128"/>
      <c r="P31" s="130" t="str">
        <f t="shared" si="0"/>
        <v/>
      </c>
      <c r="Q31" s="131" t="str">
        <f t="shared" si="1"/>
        <v/>
      </c>
      <c r="R31" s="132" t="str">
        <f>IF(P31="","",VLOOKUP(Q31,Table1[],2,TRUE))</f>
        <v/>
      </c>
      <c r="S31" s="138" t="str">
        <f t="shared" si="3"/>
        <v/>
      </c>
      <c r="T31" s="134" t="str">
        <f t="shared" si="2"/>
        <v/>
      </c>
      <c r="U31" s="135" t="str">
        <f>IF(S31="","",VLOOKUP(T31,Table1[],2,TRUE))</f>
        <v/>
      </c>
      <c r="V31" s="136" t="str">
        <f>_xlfn.IFS(AND(Q31="",T31=""),"",OR(Q31="-",T31="-"),"-",AND(Q$3&lt;&gt;0,T$3&lt;&gt;0),VLOOKUP(AVERAGE(Q31,T31),Table1[],2,TRUE),AND(Q$3&lt;&gt;0,T$3=0),R31,TRUE,U31)</f>
        <v/>
      </c>
      <c r="W31" s="137"/>
      <c r="X31" s="137" t="str">
        <f t="shared" si="4"/>
        <v/>
      </c>
      <c r="Y31" s="115" t="s">
        <v>18</v>
      </c>
    </row>
    <row r="32" spans="1:25" s="60" customFormat="1" x14ac:dyDescent="0.25">
      <c r="A32" s="128"/>
      <c r="B32" s="128"/>
      <c r="C32" s="128"/>
      <c r="D32" s="128"/>
      <c r="E32" s="128"/>
      <c r="F32" s="129"/>
      <c r="G32" s="128"/>
      <c r="H32" s="128"/>
      <c r="I32" s="128"/>
      <c r="J32" s="128"/>
      <c r="K32" s="129"/>
      <c r="L32" s="152"/>
      <c r="M32" s="152"/>
      <c r="N32" s="152"/>
      <c r="O32" s="128"/>
      <c r="P32" s="130" t="str">
        <f t="shared" si="0"/>
        <v/>
      </c>
      <c r="Q32" s="131" t="str">
        <f t="shared" si="1"/>
        <v/>
      </c>
      <c r="R32" s="132" t="str">
        <f>IF(P32="","",VLOOKUP(Q32,Table1[],2,TRUE))</f>
        <v/>
      </c>
      <c r="S32" s="138" t="str">
        <f t="shared" si="3"/>
        <v/>
      </c>
      <c r="T32" s="134" t="str">
        <f t="shared" si="2"/>
        <v/>
      </c>
      <c r="U32" s="135" t="str">
        <f>IF(S32="","",VLOOKUP(T32,Table1[],2,TRUE))</f>
        <v/>
      </c>
      <c r="V32" s="136" t="str">
        <f>_xlfn.IFS(AND(Q32="",T32=""),"",OR(Q32="-",T32="-"),"-",AND(Q$3&lt;&gt;0,T$3&lt;&gt;0),VLOOKUP(AVERAGE(Q32,T32),Table1[],2,TRUE),AND(Q$3&lt;&gt;0,T$3=0),R32,TRUE,U32)</f>
        <v/>
      </c>
      <c r="W32" s="137"/>
      <c r="X32" s="137" t="str">
        <f t="shared" si="4"/>
        <v/>
      </c>
      <c r="Y32" s="115" t="s">
        <v>18</v>
      </c>
    </row>
    <row r="33" spans="1:25" s="60" customFormat="1" x14ac:dyDescent="0.25">
      <c r="A33" s="128"/>
      <c r="B33" s="128"/>
      <c r="C33" s="128"/>
      <c r="D33" s="128"/>
      <c r="E33" s="128"/>
      <c r="F33" s="129"/>
      <c r="G33" s="128"/>
      <c r="H33" s="128"/>
      <c r="I33" s="128"/>
      <c r="J33" s="128"/>
      <c r="K33" s="129"/>
      <c r="L33" s="152"/>
      <c r="M33" s="152"/>
      <c r="N33" s="152"/>
      <c r="O33" s="128"/>
      <c r="P33" s="130" t="str">
        <f t="shared" si="0"/>
        <v/>
      </c>
      <c r="Q33" s="131" t="str">
        <f t="shared" si="1"/>
        <v/>
      </c>
      <c r="R33" s="132" t="str">
        <f>IF(P33="","",VLOOKUP(Q33,Table1[],2,TRUE))</f>
        <v/>
      </c>
      <c r="S33" s="138" t="str">
        <f t="shared" si="3"/>
        <v/>
      </c>
      <c r="T33" s="134" t="str">
        <f t="shared" si="2"/>
        <v/>
      </c>
      <c r="U33" s="135" t="str">
        <f>IF(S33="","",VLOOKUP(T33,Table1[],2,TRUE))</f>
        <v/>
      </c>
      <c r="V33" s="136" t="str">
        <f>_xlfn.IFS(AND(Q33="",T33=""),"",OR(Q33="-",T33="-"),"-",AND(Q$3&lt;&gt;0,T$3&lt;&gt;0),VLOOKUP(AVERAGE(Q33,T33),Table1[],2,TRUE),AND(Q$3&lt;&gt;0,T$3=0),R33,TRUE,U33)</f>
        <v/>
      </c>
      <c r="W33" s="137"/>
      <c r="X33" s="137" t="str">
        <f t="shared" si="4"/>
        <v/>
      </c>
      <c r="Y33" s="115" t="s">
        <v>18</v>
      </c>
    </row>
    <row r="34" spans="1:25" s="60" customFormat="1" x14ac:dyDescent="0.25">
      <c r="A34" s="128"/>
      <c r="B34" s="128"/>
      <c r="C34" s="128"/>
      <c r="D34" s="128"/>
      <c r="E34" s="128"/>
      <c r="F34" s="129"/>
      <c r="G34" s="128"/>
      <c r="H34" s="128"/>
      <c r="I34" s="128"/>
      <c r="J34" s="128"/>
      <c r="K34" s="129"/>
      <c r="L34" s="152"/>
      <c r="M34" s="152"/>
      <c r="N34" s="152"/>
      <c r="O34" s="128"/>
      <c r="P34" s="130" t="str">
        <f t="shared" si="0"/>
        <v/>
      </c>
      <c r="Q34" s="131" t="str">
        <f t="shared" si="1"/>
        <v/>
      </c>
      <c r="R34" s="132" t="str">
        <f>IF(P34="","",VLOOKUP(Q34,Table1[],2,TRUE))</f>
        <v/>
      </c>
      <c r="S34" s="138" t="str">
        <f t="shared" si="3"/>
        <v/>
      </c>
      <c r="T34" s="134" t="str">
        <f t="shared" si="2"/>
        <v/>
      </c>
      <c r="U34" s="135" t="str">
        <f>IF(S34="","",VLOOKUP(T34,Table1[],2,TRUE))</f>
        <v/>
      </c>
      <c r="V34" s="136" t="str">
        <f>_xlfn.IFS(AND(Q34="",T34=""),"",OR(Q34="-",T34="-"),"-",AND(Q$3&lt;&gt;0,T$3&lt;&gt;0),VLOOKUP(AVERAGE(Q34,T34),Table1[],2,TRUE),AND(Q$3&lt;&gt;0,T$3=0),R34,TRUE,U34)</f>
        <v/>
      </c>
      <c r="W34" s="137"/>
      <c r="X34" s="137" t="str">
        <f t="shared" si="4"/>
        <v/>
      </c>
      <c r="Y34" s="115" t="s">
        <v>18</v>
      </c>
    </row>
    <row r="35" spans="1:25" s="60" customFormat="1" x14ac:dyDescent="0.25">
      <c r="A35" s="128"/>
      <c r="B35" s="128"/>
      <c r="C35" s="128"/>
      <c r="D35" s="128"/>
      <c r="E35" s="128"/>
      <c r="F35" s="129"/>
      <c r="G35" s="128"/>
      <c r="H35" s="128"/>
      <c r="I35" s="128"/>
      <c r="J35" s="128"/>
      <c r="K35" s="129"/>
      <c r="L35" s="152"/>
      <c r="M35" s="152"/>
      <c r="N35" s="152"/>
      <c r="O35" s="128"/>
      <c r="P35" s="130" t="str">
        <f t="shared" si="0"/>
        <v/>
      </c>
      <c r="Q35" s="131" t="str">
        <f t="shared" si="1"/>
        <v/>
      </c>
      <c r="R35" s="132" t="str">
        <f>IF(P35="","",VLOOKUP(Q35,Table1[],2,TRUE))</f>
        <v/>
      </c>
      <c r="S35" s="138" t="str">
        <f t="shared" si="3"/>
        <v/>
      </c>
      <c r="T35" s="134" t="str">
        <f t="shared" si="2"/>
        <v/>
      </c>
      <c r="U35" s="135" t="str">
        <f>IF(S35="","",VLOOKUP(T35,Table1[],2,TRUE))</f>
        <v/>
      </c>
      <c r="V35" s="136" t="str">
        <f>_xlfn.IFS(AND(Q35="",T35=""),"",OR(Q35="-",T35="-"),"-",AND(Q$3&lt;&gt;0,T$3&lt;&gt;0),VLOOKUP(AVERAGE(Q35,T35),Table1[],2,TRUE),AND(Q$3&lt;&gt;0,T$3=0),R35,TRUE,U35)</f>
        <v/>
      </c>
      <c r="W35" s="137"/>
      <c r="X35" s="137" t="str">
        <f t="shared" si="4"/>
        <v/>
      </c>
      <c r="Y35" s="115" t="s">
        <v>18</v>
      </c>
    </row>
    <row r="36" spans="1:25" s="60" customFormat="1" x14ac:dyDescent="0.25">
      <c r="A36" s="128"/>
      <c r="B36" s="128"/>
      <c r="C36" s="128"/>
      <c r="D36" s="128"/>
      <c r="E36" s="128"/>
      <c r="F36" s="129"/>
      <c r="G36" s="128"/>
      <c r="H36" s="128"/>
      <c r="I36" s="128"/>
      <c r="J36" s="128"/>
      <c r="K36" s="129"/>
      <c r="L36" s="152"/>
      <c r="M36" s="152"/>
      <c r="N36" s="152"/>
      <c r="O36" s="128"/>
      <c r="P36" s="130" t="str">
        <f t="shared" si="0"/>
        <v/>
      </c>
      <c r="Q36" s="131" t="str">
        <f t="shared" si="1"/>
        <v/>
      </c>
      <c r="R36" s="132" t="str">
        <f>IF(P36="","",VLOOKUP(Q36,Table1[],2,TRUE))</f>
        <v/>
      </c>
      <c r="S36" s="138" t="str">
        <f t="shared" si="3"/>
        <v/>
      </c>
      <c r="T36" s="134" t="str">
        <f t="shared" si="2"/>
        <v/>
      </c>
      <c r="U36" s="135" t="str">
        <f>IF(S36="","",VLOOKUP(T36,Table1[],2,TRUE))</f>
        <v/>
      </c>
      <c r="V36" s="136" t="str">
        <f>_xlfn.IFS(AND(Q36="",T36=""),"",OR(Q36="-",T36="-"),"-",AND(Q$3&lt;&gt;0,T$3&lt;&gt;0),VLOOKUP(AVERAGE(Q36,T36),Table1[],2,TRUE),AND(Q$3&lt;&gt;0,T$3=0),R36,TRUE,U36)</f>
        <v/>
      </c>
      <c r="W36" s="137"/>
      <c r="X36" s="137" t="str">
        <f t="shared" si="4"/>
        <v/>
      </c>
      <c r="Y36" s="115" t="s">
        <v>18</v>
      </c>
    </row>
    <row r="37" spans="1:25" s="60" customFormat="1" x14ac:dyDescent="0.25">
      <c r="A37" s="128"/>
      <c r="B37" s="128"/>
      <c r="C37" s="128"/>
      <c r="D37" s="128"/>
      <c r="E37" s="128"/>
      <c r="F37" s="129"/>
      <c r="G37" s="128"/>
      <c r="H37" s="128"/>
      <c r="I37" s="128"/>
      <c r="J37" s="128"/>
      <c r="K37" s="129"/>
      <c r="L37" s="152"/>
      <c r="M37" s="152"/>
      <c r="N37" s="152"/>
      <c r="O37" s="128"/>
      <c r="P37" s="130" t="str">
        <f t="shared" si="0"/>
        <v/>
      </c>
      <c r="Q37" s="131" t="str">
        <f t="shared" si="1"/>
        <v/>
      </c>
      <c r="R37" s="132" t="str">
        <f>IF(P37="","",VLOOKUP(Q37,Table1[],2,TRUE))</f>
        <v/>
      </c>
      <c r="S37" s="138" t="str">
        <f t="shared" si="3"/>
        <v/>
      </c>
      <c r="T37" s="134" t="str">
        <f t="shared" si="2"/>
        <v/>
      </c>
      <c r="U37" s="135" t="str">
        <f>IF(S37="","",VLOOKUP(T37,Table1[],2,TRUE))</f>
        <v/>
      </c>
      <c r="V37" s="136" t="str">
        <f>_xlfn.IFS(AND(Q37="",T37=""),"",OR(Q37="-",T37="-"),"-",AND(Q$3&lt;&gt;0,T$3&lt;&gt;0),VLOOKUP(AVERAGE(Q37,T37),Table1[],2,TRUE),AND(Q$3&lt;&gt;0,T$3=0),R37,TRUE,U37)</f>
        <v/>
      </c>
      <c r="W37" s="137"/>
      <c r="X37" s="137" t="str">
        <f t="shared" si="4"/>
        <v/>
      </c>
      <c r="Y37" s="115" t="s">
        <v>18</v>
      </c>
    </row>
    <row r="38" spans="1:25" s="60" customFormat="1" x14ac:dyDescent="0.25">
      <c r="A38" s="128"/>
      <c r="B38" s="128"/>
      <c r="C38" s="128"/>
      <c r="D38" s="128"/>
      <c r="E38" s="128"/>
      <c r="F38" s="129"/>
      <c r="G38" s="128"/>
      <c r="H38" s="128"/>
      <c r="I38" s="128"/>
      <c r="J38" s="128"/>
      <c r="K38" s="129"/>
      <c r="L38" s="152"/>
      <c r="M38" s="152"/>
      <c r="N38" s="152"/>
      <c r="O38" s="128"/>
      <c r="P38" s="130" t="str">
        <f t="shared" si="0"/>
        <v/>
      </c>
      <c r="Q38" s="131" t="str">
        <f t="shared" si="1"/>
        <v/>
      </c>
      <c r="R38" s="132" t="str">
        <f>IF(P38="","",VLOOKUP(Q38,Table1[],2,TRUE))</f>
        <v/>
      </c>
      <c r="S38" s="138" t="str">
        <f t="shared" si="3"/>
        <v/>
      </c>
      <c r="T38" s="134" t="str">
        <f t="shared" si="2"/>
        <v/>
      </c>
      <c r="U38" s="135" t="str">
        <f>IF(S38="","",VLOOKUP(T38,Table1[],2,TRUE))</f>
        <v/>
      </c>
      <c r="V38" s="136" t="str">
        <f>_xlfn.IFS(AND(Q38="",T38=""),"",OR(Q38="-",T38="-"),"-",AND(Q$3&lt;&gt;0,T$3&lt;&gt;0),VLOOKUP(AVERAGE(Q38,T38),Table1[],2,TRUE),AND(Q$3&lt;&gt;0,T$3=0),R38,TRUE,U38)</f>
        <v/>
      </c>
      <c r="W38" s="137"/>
      <c r="X38" s="137" t="str">
        <f t="shared" si="4"/>
        <v/>
      </c>
      <c r="Y38" s="115" t="s">
        <v>18</v>
      </c>
    </row>
    <row r="39" spans="1:25" s="60" customFormat="1" x14ac:dyDescent="0.25">
      <c r="A39" s="128"/>
      <c r="B39" s="128"/>
      <c r="C39" s="128"/>
      <c r="D39" s="128"/>
      <c r="E39" s="128"/>
      <c r="F39" s="129"/>
      <c r="G39" s="128"/>
      <c r="H39" s="128"/>
      <c r="I39" s="128"/>
      <c r="J39" s="128"/>
      <c r="K39" s="129"/>
      <c r="L39" s="152"/>
      <c r="M39" s="152"/>
      <c r="N39" s="152"/>
      <c r="O39" s="128"/>
      <c r="P39" s="130" t="str">
        <f t="shared" si="0"/>
        <v/>
      </c>
      <c r="Q39" s="131" t="str">
        <f t="shared" si="1"/>
        <v/>
      </c>
      <c r="R39" s="132" t="str">
        <f>IF(P39="","",VLOOKUP(Q39,Table1[],2,TRUE))</f>
        <v/>
      </c>
      <c r="S39" s="138" t="str">
        <f t="shared" si="3"/>
        <v/>
      </c>
      <c r="T39" s="134" t="str">
        <f t="shared" si="2"/>
        <v/>
      </c>
      <c r="U39" s="135" t="str">
        <f>IF(S39="","",VLOOKUP(T39,Table1[],2,TRUE))</f>
        <v/>
      </c>
      <c r="V39" s="136" t="str">
        <f>_xlfn.IFS(AND(Q39="",T39=""),"",OR(Q39="-",T39="-"),"-",AND(Q$3&lt;&gt;0,T$3&lt;&gt;0),VLOOKUP(AVERAGE(Q39,T39),Table1[],2,TRUE),AND(Q$3&lt;&gt;0,T$3=0),R39,TRUE,U39)</f>
        <v/>
      </c>
      <c r="W39" s="137"/>
      <c r="X39" s="137" t="str">
        <f t="shared" si="4"/>
        <v/>
      </c>
      <c r="Y39" s="115" t="s">
        <v>18</v>
      </c>
    </row>
    <row r="40" spans="1:25" s="60" customFormat="1" ht="15.75" thickBot="1" x14ac:dyDescent="0.3">
      <c r="A40" s="139"/>
      <c r="B40" s="139"/>
      <c r="C40" s="139"/>
      <c r="D40" s="139"/>
      <c r="E40" s="139"/>
      <c r="F40" s="140"/>
      <c r="G40" s="139"/>
      <c r="H40" s="139"/>
      <c r="I40" s="139"/>
      <c r="J40" s="139"/>
      <c r="K40" s="140"/>
      <c r="L40" s="153"/>
      <c r="M40" s="153"/>
      <c r="N40" s="153"/>
      <c r="O40" s="141"/>
      <c r="P40" s="142" t="str">
        <f t="shared" si="0"/>
        <v/>
      </c>
      <c r="Q40" s="143" t="str">
        <f t="shared" si="1"/>
        <v/>
      </c>
      <c r="R40" s="144" t="str">
        <f>IF(P40="","",VLOOKUP(Q40,Table1[],2,TRUE))</f>
        <v/>
      </c>
      <c r="S40" s="145" t="str">
        <f t="shared" si="3"/>
        <v/>
      </c>
      <c r="T40" s="146" t="str">
        <f t="shared" si="2"/>
        <v/>
      </c>
      <c r="U40" s="147" t="str">
        <f>IF(S40="","",VLOOKUP(T40,Table1[],2,TRUE))</f>
        <v/>
      </c>
      <c r="V40" s="148" t="str">
        <f>_xlfn.IFS(AND(Q40="",T40=""),"",OR(Q40="-",T40="-"),"-",AND(Q$3&lt;&gt;0,T$3&lt;&gt;0),VLOOKUP(AVERAGE(Q40,T40),Table1[],2,TRUE),AND(Q$3&lt;&gt;0,T$3=0),R40,TRUE,U40)</f>
        <v/>
      </c>
      <c r="W40" s="149"/>
      <c r="X40" s="150" t="str">
        <f t="shared" si="4"/>
        <v/>
      </c>
      <c r="Y40" s="151" t="s">
        <v>18</v>
      </c>
    </row>
  </sheetData>
  <mergeCells count="7">
    <mergeCell ref="Q3:R3"/>
    <mergeCell ref="T3:U3"/>
    <mergeCell ref="K2:O2"/>
    <mergeCell ref="B1:Y1"/>
    <mergeCell ref="A2:E2"/>
    <mergeCell ref="F2:J2"/>
    <mergeCell ref="P2:X2"/>
  </mergeCells>
  <conditionalFormatting sqref="U5:X40 R5:R40">
    <cfRule type="expression" dxfId="10" priority="8" stopIfTrue="1">
      <formula>OR(ISNUMBER(SEARCH("D",R5)),ISNUMBER(SEARCH("E",R5)))</formula>
    </cfRule>
  </conditionalFormatting>
  <conditionalFormatting sqref="A5:O40">
    <cfRule type="expression" dxfId="9" priority="2" stopIfTrue="1">
      <formula>NOT(ISBLANK(A5))</formula>
    </cfRule>
    <cfRule type="expression" dxfId="8" priority="3" stopIfTrue="1">
      <formula>AND(NOT($A5="ZZZZZ"),NOT(ISBLANK(A$4)))</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4CFF76C-090D-4B81-88B7-FFA379B8AAA3}">
          <x14:formula1>
            <xm:f>GradeScheme!$B$2:$B$18</xm:f>
          </x14:formula1>
          <xm:sqref>W5:W40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52BB7-5C35-48C0-94F9-20840D557AC8}">
  <sheetPr codeName="Sheet7">
    <tabColor rgb="FFFFB9B9"/>
  </sheetPr>
  <dimension ref="A1:F40"/>
  <sheetViews>
    <sheetView zoomScale="85" zoomScaleNormal="85" workbookViewId="0">
      <selection activeCell="I36" sqref="I36"/>
    </sheetView>
  </sheetViews>
  <sheetFormatPr defaultRowHeight="15" x14ac:dyDescent="0.25"/>
  <cols>
    <col min="1" max="5" width="16" bestFit="1" customWidth="1"/>
    <col min="6" max="6" width="1.85546875" bestFit="1" customWidth="1"/>
  </cols>
  <sheetData>
    <row r="1" spans="1:6" x14ac:dyDescent="0.25">
      <c r="A1" s="159"/>
      <c r="B1" s="159"/>
      <c r="C1" s="160"/>
      <c r="D1" s="160"/>
      <c r="E1" s="160"/>
      <c r="F1" s="161"/>
    </row>
    <row r="2" spans="1:6" ht="15.75" x14ac:dyDescent="0.25">
      <c r="A2" s="166" t="s">
        <v>97</v>
      </c>
      <c r="B2" s="167"/>
      <c r="C2" s="167"/>
      <c r="D2" s="167"/>
      <c r="E2" s="168"/>
      <c r="F2" s="162" t="s">
        <v>18</v>
      </c>
    </row>
    <row r="3" spans="1:6" x14ac:dyDescent="0.25">
      <c r="A3" s="157" t="s">
        <v>98</v>
      </c>
      <c r="B3" s="157" t="s">
        <v>98</v>
      </c>
      <c r="C3" s="157" t="s">
        <v>98</v>
      </c>
      <c r="D3" s="157" t="s">
        <v>98</v>
      </c>
      <c r="E3" s="157" t="s">
        <v>98</v>
      </c>
      <c r="F3" s="162" t="s">
        <v>18</v>
      </c>
    </row>
    <row r="4" spans="1:6" x14ac:dyDescent="0.25">
      <c r="A4" s="156" t="s">
        <v>74</v>
      </c>
      <c r="B4" s="158" t="s">
        <v>73</v>
      </c>
      <c r="C4" s="158" t="s">
        <v>73</v>
      </c>
      <c r="D4" s="158" t="s">
        <v>73</v>
      </c>
      <c r="E4" s="158" t="s">
        <v>73</v>
      </c>
      <c r="F4" s="162" t="s">
        <v>18</v>
      </c>
    </row>
    <row r="5" spans="1:6" x14ac:dyDescent="0.25">
      <c r="A5" s="164"/>
      <c r="B5" s="164"/>
      <c r="C5" s="164"/>
      <c r="D5" s="164"/>
      <c r="E5" s="164"/>
      <c r="F5" s="162" t="s">
        <v>18</v>
      </c>
    </row>
    <row r="6" spans="1:6" x14ac:dyDescent="0.25">
      <c r="A6" s="164"/>
      <c r="B6" s="164"/>
      <c r="C6" s="164"/>
      <c r="D6" s="164"/>
      <c r="E6" s="164"/>
      <c r="F6" s="162" t="s">
        <v>18</v>
      </c>
    </row>
    <row r="7" spans="1:6" x14ac:dyDescent="0.25">
      <c r="A7" s="164"/>
      <c r="B7" s="164"/>
      <c r="C7" s="164"/>
      <c r="D7" s="164"/>
      <c r="E7" s="164"/>
      <c r="F7" s="162" t="s">
        <v>18</v>
      </c>
    </row>
    <row r="8" spans="1:6" x14ac:dyDescent="0.25">
      <c r="A8" s="164"/>
      <c r="B8" s="164"/>
      <c r="C8" s="164"/>
      <c r="D8" s="164"/>
      <c r="E8" s="164"/>
      <c r="F8" s="162" t="s">
        <v>18</v>
      </c>
    </row>
    <row r="9" spans="1:6" x14ac:dyDescent="0.25">
      <c r="A9" s="164"/>
      <c r="B9" s="164"/>
      <c r="C9" s="164"/>
      <c r="D9" s="164"/>
      <c r="E9" s="164"/>
      <c r="F9" s="162" t="s">
        <v>18</v>
      </c>
    </row>
    <row r="10" spans="1:6" x14ac:dyDescent="0.25">
      <c r="A10" s="164"/>
      <c r="B10" s="164"/>
      <c r="C10" s="164"/>
      <c r="D10" s="164"/>
      <c r="E10" s="164"/>
      <c r="F10" s="162" t="s">
        <v>18</v>
      </c>
    </row>
    <row r="11" spans="1:6" x14ac:dyDescent="0.25">
      <c r="A11" s="164"/>
      <c r="B11" s="164"/>
      <c r="C11" s="164"/>
      <c r="D11" s="164"/>
      <c r="E11" s="164"/>
      <c r="F11" s="162" t="s">
        <v>18</v>
      </c>
    </row>
    <row r="12" spans="1:6" x14ac:dyDescent="0.25">
      <c r="A12" s="164"/>
      <c r="B12" s="164"/>
      <c r="C12" s="164"/>
      <c r="D12" s="164"/>
      <c r="E12" s="164"/>
      <c r="F12" s="162" t="s">
        <v>18</v>
      </c>
    </row>
    <row r="13" spans="1:6" x14ac:dyDescent="0.25">
      <c r="A13" s="164"/>
      <c r="B13" s="164"/>
      <c r="C13" s="164"/>
      <c r="D13" s="164"/>
      <c r="E13" s="164"/>
      <c r="F13" s="162" t="s">
        <v>18</v>
      </c>
    </row>
    <row r="14" spans="1:6" x14ac:dyDescent="0.25">
      <c r="A14" s="164"/>
      <c r="B14" s="164"/>
      <c r="C14" s="164"/>
      <c r="D14" s="164"/>
      <c r="E14" s="164"/>
      <c r="F14" s="162" t="s">
        <v>18</v>
      </c>
    </row>
    <row r="15" spans="1:6" x14ac:dyDescent="0.25">
      <c r="A15" s="164"/>
      <c r="B15" s="164"/>
      <c r="C15" s="164"/>
      <c r="D15" s="164"/>
      <c r="E15" s="164"/>
      <c r="F15" s="162" t="s">
        <v>18</v>
      </c>
    </row>
    <row r="16" spans="1:6" x14ac:dyDescent="0.25">
      <c r="A16" s="164"/>
      <c r="B16" s="164"/>
      <c r="C16" s="164"/>
      <c r="D16" s="164"/>
      <c r="E16" s="164"/>
      <c r="F16" s="162" t="s">
        <v>18</v>
      </c>
    </row>
    <row r="17" spans="1:6" x14ac:dyDescent="0.25">
      <c r="A17" s="164"/>
      <c r="B17" s="164"/>
      <c r="C17" s="164"/>
      <c r="D17" s="164"/>
      <c r="E17" s="164"/>
      <c r="F17" s="162" t="s">
        <v>18</v>
      </c>
    </row>
    <row r="18" spans="1:6" x14ac:dyDescent="0.25">
      <c r="A18" s="164"/>
      <c r="B18" s="164"/>
      <c r="C18" s="164"/>
      <c r="D18" s="164"/>
      <c r="E18" s="164"/>
      <c r="F18" s="162" t="s">
        <v>18</v>
      </c>
    </row>
    <row r="19" spans="1:6" x14ac:dyDescent="0.25">
      <c r="A19" s="164"/>
      <c r="B19" s="164"/>
      <c r="C19" s="164"/>
      <c r="D19" s="164"/>
      <c r="E19" s="164"/>
      <c r="F19" s="162" t="s">
        <v>18</v>
      </c>
    </row>
    <row r="20" spans="1:6" x14ac:dyDescent="0.25">
      <c r="A20" s="164"/>
      <c r="B20" s="164"/>
      <c r="C20" s="164"/>
      <c r="D20" s="164"/>
      <c r="E20" s="164"/>
      <c r="F20" s="162" t="s">
        <v>18</v>
      </c>
    </row>
    <row r="21" spans="1:6" x14ac:dyDescent="0.25">
      <c r="A21" s="164"/>
      <c r="B21" s="164"/>
      <c r="C21" s="164"/>
      <c r="D21" s="164"/>
      <c r="E21" s="164"/>
      <c r="F21" s="162" t="s">
        <v>18</v>
      </c>
    </row>
    <row r="22" spans="1:6" x14ac:dyDescent="0.25">
      <c r="A22" s="164"/>
      <c r="B22" s="164"/>
      <c r="C22" s="164"/>
      <c r="D22" s="164"/>
      <c r="E22" s="164"/>
      <c r="F22" s="162" t="s">
        <v>18</v>
      </c>
    </row>
    <row r="23" spans="1:6" x14ac:dyDescent="0.25">
      <c r="A23" s="164"/>
      <c r="B23" s="164"/>
      <c r="C23" s="164"/>
      <c r="D23" s="164"/>
      <c r="E23" s="164"/>
      <c r="F23" s="162" t="s">
        <v>18</v>
      </c>
    </row>
    <row r="24" spans="1:6" x14ac:dyDescent="0.25">
      <c r="A24" s="164"/>
      <c r="B24" s="164"/>
      <c r="C24" s="164"/>
      <c r="D24" s="164"/>
      <c r="E24" s="164"/>
      <c r="F24" s="162" t="s">
        <v>18</v>
      </c>
    </row>
    <row r="25" spans="1:6" x14ac:dyDescent="0.25">
      <c r="A25" s="164"/>
      <c r="B25" s="164"/>
      <c r="C25" s="164"/>
      <c r="D25" s="164"/>
      <c r="E25" s="164"/>
      <c r="F25" s="162" t="s">
        <v>18</v>
      </c>
    </row>
    <row r="26" spans="1:6" x14ac:dyDescent="0.25">
      <c r="A26" s="164"/>
      <c r="B26" s="164"/>
      <c r="C26" s="164"/>
      <c r="D26" s="164"/>
      <c r="E26" s="164"/>
      <c r="F26" s="162" t="s">
        <v>18</v>
      </c>
    </row>
    <row r="27" spans="1:6" x14ac:dyDescent="0.25">
      <c r="A27" s="164"/>
      <c r="B27" s="164"/>
      <c r="C27" s="164"/>
      <c r="D27" s="164"/>
      <c r="E27" s="164"/>
      <c r="F27" s="162" t="s">
        <v>18</v>
      </c>
    </row>
    <row r="28" spans="1:6" x14ac:dyDescent="0.25">
      <c r="A28" s="164"/>
      <c r="B28" s="164"/>
      <c r="C28" s="164"/>
      <c r="D28" s="164"/>
      <c r="E28" s="164"/>
      <c r="F28" s="162" t="s">
        <v>18</v>
      </c>
    </row>
    <row r="29" spans="1:6" x14ac:dyDescent="0.25">
      <c r="A29" s="164"/>
      <c r="B29" s="164"/>
      <c r="C29" s="164"/>
      <c r="D29" s="164"/>
      <c r="E29" s="164"/>
      <c r="F29" s="162" t="s">
        <v>18</v>
      </c>
    </row>
    <row r="30" spans="1:6" x14ac:dyDescent="0.25">
      <c r="A30" s="164"/>
      <c r="B30" s="164"/>
      <c r="C30" s="164"/>
      <c r="D30" s="164"/>
      <c r="E30" s="164"/>
      <c r="F30" s="162" t="s">
        <v>18</v>
      </c>
    </row>
    <row r="31" spans="1:6" x14ac:dyDescent="0.25">
      <c r="A31" s="164"/>
      <c r="B31" s="164"/>
      <c r="C31" s="164"/>
      <c r="D31" s="164"/>
      <c r="E31" s="164"/>
      <c r="F31" s="162" t="s">
        <v>18</v>
      </c>
    </row>
    <row r="32" spans="1:6" x14ac:dyDescent="0.25">
      <c r="A32" s="164"/>
      <c r="B32" s="164"/>
      <c r="C32" s="164"/>
      <c r="D32" s="164"/>
      <c r="E32" s="164"/>
      <c r="F32" s="162" t="s">
        <v>18</v>
      </c>
    </row>
    <row r="33" spans="1:6" x14ac:dyDescent="0.25">
      <c r="A33" s="164"/>
      <c r="B33" s="164"/>
      <c r="C33" s="164"/>
      <c r="D33" s="164"/>
      <c r="E33" s="164"/>
      <c r="F33" s="162" t="s">
        <v>18</v>
      </c>
    </row>
    <row r="34" spans="1:6" x14ac:dyDescent="0.25">
      <c r="A34" s="164"/>
      <c r="B34" s="164"/>
      <c r="C34" s="164"/>
      <c r="D34" s="164"/>
      <c r="E34" s="164"/>
      <c r="F34" s="162" t="s">
        <v>18</v>
      </c>
    </row>
    <row r="35" spans="1:6" x14ac:dyDescent="0.25">
      <c r="A35" s="164"/>
      <c r="B35" s="164"/>
      <c r="C35" s="164"/>
      <c r="D35" s="164"/>
      <c r="E35" s="164"/>
      <c r="F35" s="162" t="s">
        <v>18</v>
      </c>
    </row>
    <row r="36" spans="1:6" x14ac:dyDescent="0.25">
      <c r="A36" s="164"/>
      <c r="B36" s="164"/>
      <c r="C36" s="164"/>
      <c r="D36" s="164"/>
      <c r="E36" s="164"/>
      <c r="F36" s="162" t="s">
        <v>18</v>
      </c>
    </row>
    <row r="37" spans="1:6" x14ac:dyDescent="0.25">
      <c r="A37" s="164"/>
      <c r="B37" s="164"/>
      <c r="C37" s="164"/>
      <c r="D37" s="164"/>
      <c r="E37" s="164"/>
      <c r="F37" s="162" t="s">
        <v>18</v>
      </c>
    </row>
    <row r="38" spans="1:6" x14ac:dyDescent="0.25">
      <c r="A38" s="164"/>
      <c r="B38" s="164"/>
      <c r="C38" s="164"/>
      <c r="D38" s="164"/>
      <c r="E38" s="164"/>
      <c r="F38" s="162" t="s">
        <v>18</v>
      </c>
    </row>
    <row r="39" spans="1:6" x14ac:dyDescent="0.25">
      <c r="A39" s="164"/>
      <c r="B39" s="164"/>
      <c r="C39" s="164"/>
      <c r="D39" s="164"/>
      <c r="E39" s="164"/>
      <c r="F39" s="162" t="s">
        <v>18</v>
      </c>
    </row>
    <row r="40" spans="1:6" ht="15.75" thickBot="1" x14ac:dyDescent="0.3">
      <c r="A40" s="165"/>
      <c r="B40" s="165"/>
      <c r="C40" s="165"/>
      <c r="D40" s="165"/>
      <c r="E40" s="165"/>
      <c r="F40" s="163" t="s">
        <v>18</v>
      </c>
    </row>
  </sheetData>
  <conditionalFormatting sqref="A5:E40">
    <cfRule type="expression" dxfId="7" priority="1" stopIfTrue="1">
      <formula>OR(ISNUMBER(SEARCH("D",A5)),ISNUMBER(SEARCH("E",A5)))</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11B0E-267B-4911-AB1F-58202F8F5AC9}">
  <sheetPr codeName="Sheet6">
    <tabColor rgb="FFE8AFFF"/>
  </sheetPr>
  <dimension ref="A1:V741"/>
  <sheetViews>
    <sheetView zoomScaleNormal="100" workbookViewId="0">
      <selection activeCell="M49" sqref="M49"/>
    </sheetView>
  </sheetViews>
  <sheetFormatPr defaultColWidth="9.140625" defaultRowHeight="15" x14ac:dyDescent="0.25"/>
  <cols>
    <col min="1" max="5" width="10.42578125" style="9" customWidth="1"/>
    <col min="6" max="6" width="10.42578125" style="17" customWidth="1"/>
    <col min="7" max="10" width="10.42578125" style="17" hidden="1" customWidth="1"/>
    <col min="11" max="11" width="10.42578125" style="9" customWidth="1"/>
    <col min="12" max="12" width="10.42578125" style="17" customWidth="1"/>
    <col min="13" max="13" width="10.7109375" style="9" bestFit="1" customWidth="1"/>
    <col min="14" max="14" width="4.85546875" style="17" bestFit="1" customWidth="1"/>
    <col min="15" max="15" width="6.42578125" style="9" bestFit="1" customWidth="1"/>
    <col min="16" max="16" width="10.28515625" style="9" bestFit="1" customWidth="1"/>
    <col min="17" max="17" width="5.140625" style="17" customWidth="1"/>
    <col min="18" max="18" width="6.42578125" style="9" bestFit="1" customWidth="1"/>
    <col min="19" max="19" width="11.140625" style="9" bestFit="1" customWidth="1"/>
    <col min="20" max="20" width="10.42578125" style="19" bestFit="1" customWidth="1"/>
    <col min="21" max="21" width="13.42578125" style="18" bestFit="1" customWidth="1"/>
    <col min="22" max="22" width="1.7109375" style="18" bestFit="1" customWidth="1"/>
    <col min="23" max="16384" width="9.140625" style="18"/>
  </cols>
  <sheetData>
    <row r="1" spans="1:22" x14ac:dyDescent="0.25">
      <c r="A1" s="71" t="s">
        <v>65</v>
      </c>
      <c r="B1" s="221" t="s">
        <v>80</v>
      </c>
      <c r="C1" s="221"/>
      <c r="D1" s="221"/>
      <c r="E1" s="221"/>
      <c r="F1" s="221"/>
      <c r="G1" s="221"/>
      <c r="H1" s="221"/>
      <c r="I1" s="221"/>
      <c r="J1" s="221"/>
      <c r="K1" s="221"/>
      <c r="L1" s="221"/>
      <c r="M1" s="221"/>
      <c r="N1" s="221"/>
      <c r="O1" s="221"/>
      <c r="P1" s="221"/>
      <c r="Q1" s="221"/>
      <c r="R1" s="221"/>
      <c r="S1" s="221"/>
      <c r="T1" s="221"/>
      <c r="U1" s="221"/>
      <c r="V1" s="222"/>
    </row>
    <row r="2" spans="1:22" x14ac:dyDescent="0.25">
      <c r="A2" s="228" t="s">
        <v>31</v>
      </c>
      <c r="B2" s="219"/>
      <c r="C2" s="219"/>
      <c r="D2" s="219"/>
      <c r="E2" s="219"/>
      <c r="F2" s="218" t="s">
        <v>33</v>
      </c>
      <c r="G2" s="219"/>
      <c r="H2" s="219"/>
      <c r="I2" s="219"/>
      <c r="J2" s="219"/>
      <c r="K2" s="218" t="s">
        <v>77</v>
      </c>
      <c r="L2" s="220"/>
      <c r="M2" s="218" t="s">
        <v>34</v>
      </c>
      <c r="N2" s="219"/>
      <c r="O2" s="219"/>
      <c r="P2" s="219"/>
      <c r="Q2" s="219"/>
      <c r="R2" s="219"/>
      <c r="S2" s="219"/>
      <c r="T2" s="219"/>
      <c r="U2" s="223"/>
      <c r="V2" s="72" t="s">
        <v>18</v>
      </c>
    </row>
    <row r="3" spans="1:22" ht="15" customHeight="1" x14ac:dyDescent="0.25">
      <c r="A3" s="97" t="s">
        <v>81</v>
      </c>
      <c r="B3" s="97" t="s">
        <v>82</v>
      </c>
      <c r="C3" s="97" t="s">
        <v>73</v>
      </c>
      <c r="D3" s="97" t="s">
        <v>73</v>
      </c>
      <c r="E3" s="97" t="s">
        <v>73</v>
      </c>
      <c r="F3" s="97" t="s">
        <v>33</v>
      </c>
      <c r="G3" s="97" t="s">
        <v>73</v>
      </c>
      <c r="H3" s="97" t="s">
        <v>73</v>
      </c>
      <c r="I3" s="97" t="s">
        <v>73</v>
      </c>
      <c r="J3" s="97" t="s">
        <v>73</v>
      </c>
      <c r="K3" s="97" t="s">
        <v>73</v>
      </c>
      <c r="L3" s="97" t="s">
        <v>73</v>
      </c>
      <c r="M3" s="96" t="str">
        <f>_xlfn.TEXTJOIN(" ",TRUE,"Max",A2,":")</f>
        <v>Max UD :</v>
      </c>
      <c r="N3" s="224">
        <f>IF(OR(A4="-",B4="-",C4="-",D4="-",E4="-"),"-",SUM(A4,B4,C4,D4,E4))</f>
        <v>100</v>
      </c>
      <c r="O3" s="225"/>
      <c r="P3" s="96" t="str">
        <f>_xlfn.TEXTJOIN(" ",TRUE,"Max",F2,":")</f>
        <v>Max SD :</v>
      </c>
      <c r="Q3" s="226">
        <f>IF(OR(F4="-",G4="-",H4="-",I4="-",J4="-"),"-",SUM(F4,G4,H4,I4,J4))</f>
        <v>100</v>
      </c>
      <c r="R3" s="227"/>
      <c r="S3" s="73"/>
      <c r="T3" s="73"/>
      <c r="U3" s="73"/>
      <c r="V3" s="72" t="s">
        <v>18</v>
      </c>
    </row>
    <row r="4" spans="1:22" ht="15" customHeight="1" x14ac:dyDescent="0.25">
      <c r="A4" s="111">
        <v>25</v>
      </c>
      <c r="B4" s="112">
        <v>75</v>
      </c>
      <c r="C4" s="112"/>
      <c r="D4" s="112"/>
      <c r="E4" s="112"/>
      <c r="F4" s="112">
        <v>100</v>
      </c>
      <c r="G4" s="112"/>
      <c r="H4" s="112"/>
      <c r="I4" s="112"/>
      <c r="J4" s="112"/>
      <c r="K4" s="112"/>
      <c r="L4" s="112"/>
      <c r="M4" s="80" t="str">
        <f>_xlfn.TEXTJOIN(" ",TRUE,M2,A2)</f>
        <v>Overall UD</v>
      </c>
      <c r="N4" s="98" t="s">
        <v>32</v>
      </c>
      <c r="O4" s="99" t="s">
        <v>1</v>
      </c>
      <c r="P4" s="74" t="str">
        <f>_xlfn.TEXTJOIN(" ",TRUE,M2,F2)</f>
        <v>Overall SD</v>
      </c>
      <c r="Q4" s="100" t="s">
        <v>32</v>
      </c>
      <c r="R4" s="101" t="s">
        <v>1</v>
      </c>
      <c r="S4" s="75" t="s">
        <v>49</v>
      </c>
      <c r="T4" s="75" t="s">
        <v>50</v>
      </c>
      <c r="U4" s="75" t="s">
        <v>72</v>
      </c>
      <c r="V4" s="72" t="s">
        <v>18</v>
      </c>
    </row>
    <row r="5" spans="1:22" ht="15" customHeight="1" x14ac:dyDescent="0.25">
      <c r="A5" s="66">
        <v>20</v>
      </c>
      <c r="B5" s="66">
        <v>63</v>
      </c>
      <c r="C5" s="66"/>
      <c r="D5" s="66"/>
      <c r="E5" s="66"/>
      <c r="F5" s="77">
        <v>73</v>
      </c>
      <c r="G5" s="66"/>
      <c r="H5" s="66"/>
      <c r="I5" s="66"/>
      <c r="J5" s="66"/>
      <c r="K5" s="77"/>
      <c r="L5" s="66"/>
      <c r="M5" s="106">
        <f t="shared" ref="M5:M40" si="0">IF(COUNTIF(A5:E5,"*-*")&gt;0,"-",IF(COUNTBLANK(A5:E5)=5,"",IF(N$3="-","-",SUM(A5:E5))))</f>
        <v>83</v>
      </c>
      <c r="N5" s="92">
        <f>IF(M5="","",IF(M5="-","-",M5/N$3))</f>
        <v>0.83</v>
      </c>
      <c r="O5" s="81" t="str">
        <f>IF(N5="","",VLOOKUP(N5,Table1[],2,TRUE))</f>
        <v>A-</v>
      </c>
      <c r="P5" s="87">
        <f t="shared" ref="P5:P40" si="1">IF(COUNTIF(F5:J5,"*-*")&gt;0,"-",IF(COUNTBLANK(F5:J5)=5,"",IF(Q$3="-","-",SUM(F5:J5))))</f>
        <v>73</v>
      </c>
      <c r="Q5" s="94">
        <f>IF(P5="","",IF(P5="-", "-",P5/Q$3))</f>
        <v>0.73</v>
      </c>
      <c r="R5" s="82" t="str">
        <f>IF(Q5="","",VLOOKUP(Q5,Table1[],2,TRUE))</f>
        <v>B</v>
      </c>
      <c r="S5" s="90" t="str">
        <f>IF(AND(N5="",Q5=""),"",IF(OR(N5="-",Q5="-"),"-",IF(AND(N$3&lt;&gt;0,Q$3&lt;&gt;0),VLOOKUP(AVERAGE(N5,Q5),Table1[],2,TRUE),IF(AND(N$3&lt;&gt;0,Q$3=0),O5,R5))))</f>
        <v>B+</v>
      </c>
      <c r="T5" s="70"/>
      <c r="U5" s="70" t="str">
        <f>IF(ISBLANK(T5),S5,T5)</f>
        <v>B+</v>
      </c>
      <c r="V5" s="72" t="s">
        <v>18</v>
      </c>
    </row>
    <row r="6" spans="1:22" ht="15" customHeight="1" x14ac:dyDescent="0.25">
      <c r="A6" s="66" t="s">
        <v>18</v>
      </c>
      <c r="B6" s="66" t="s">
        <v>18</v>
      </c>
      <c r="C6" s="66"/>
      <c r="D6" s="66"/>
      <c r="E6" s="66"/>
      <c r="F6" s="77">
        <v>42</v>
      </c>
      <c r="G6" s="66"/>
      <c r="H6" s="66"/>
      <c r="I6" s="66"/>
      <c r="J6" s="66"/>
      <c r="K6" s="77"/>
      <c r="L6" s="66"/>
      <c r="M6" s="106" t="str">
        <f t="shared" si="0"/>
        <v>-</v>
      </c>
      <c r="N6" s="92" t="str">
        <f t="shared" ref="N6:N39" si="2">IF(M6="","",IF(M6="-","-",M6/N$3))</f>
        <v>-</v>
      </c>
      <c r="O6" s="81" t="str">
        <f>IF(M6="","",VLOOKUP(N6,Table1[],2,TRUE))</f>
        <v>-</v>
      </c>
      <c r="P6" s="88">
        <f t="shared" si="1"/>
        <v>42</v>
      </c>
      <c r="Q6" s="94">
        <f>IF(P6="","",IF(P6="-", "-",P6/Q$3))</f>
        <v>0.42</v>
      </c>
      <c r="R6" s="82" t="str">
        <f>IF(P6="","",VLOOKUP(Q6,Table1[],2,TRUE))</f>
        <v>D+</v>
      </c>
      <c r="S6" s="90" t="str">
        <f>IF(AND(N6="",Q6=""),"",IF(OR(N6="-",Q6="-"),"-",IF(AND(N$3&lt;&gt;0,Q$3&lt;&gt;0),VLOOKUP(AVERAGE(N6,Q6),Table1[],2,TRUE),IF(AND(N$3&lt;&gt;0,Q$3=0),O6,R6))))</f>
        <v>-</v>
      </c>
      <c r="T6" s="108"/>
      <c r="U6" s="70" t="str">
        <f t="shared" ref="U6:U40" si="3">IF(ISBLANK(T6),S6,T6)</f>
        <v>-</v>
      </c>
      <c r="V6" s="72" t="s">
        <v>18</v>
      </c>
    </row>
    <row r="7" spans="1:22" ht="15" customHeight="1" x14ac:dyDescent="0.25">
      <c r="A7" s="66">
        <v>15</v>
      </c>
      <c r="B7" s="66" t="s">
        <v>18</v>
      </c>
      <c r="C7" s="66"/>
      <c r="D7" s="66"/>
      <c r="E7" s="66"/>
      <c r="F7" s="77">
        <v>84</v>
      </c>
      <c r="G7" s="66"/>
      <c r="H7" s="66"/>
      <c r="I7" s="66"/>
      <c r="J7" s="66"/>
      <c r="K7" s="77"/>
      <c r="L7" s="66"/>
      <c r="M7" s="106" t="str">
        <f t="shared" si="0"/>
        <v>-</v>
      </c>
      <c r="N7" s="92" t="str">
        <f t="shared" si="2"/>
        <v>-</v>
      </c>
      <c r="O7" s="81" t="str">
        <f>IF(M7="","",VLOOKUP(N7,Table1[],2,TRUE))</f>
        <v>-</v>
      </c>
      <c r="P7" s="88">
        <f t="shared" si="1"/>
        <v>84</v>
      </c>
      <c r="Q7" s="94">
        <f t="shared" ref="Q7:Q39" si="4">IF(P7="","",IF(P7="-", "-",P7/Q$3))</f>
        <v>0.84</v>
      </c>
      <c r="R7" s="82" t="str">
        <f>IF(P7="","",VLOOKUP(Q7,Table1[],2,TRUE))</f>
        <v>A-</v>
      </c>
      <c r="S7" s="90" t="str">
        <f>IF(AND(N7="",Q7=""),"",IF(OR(N7="-",Q7="-"),"-",IF(AND(N$3&lt;&gt;0,Q$3&lt;&gt;0),VLOOKUP(AVERAGE(N7,Q7),Table1[],2,TRUE),IF(AND(N$3&lt;&gt;0,Q$3=0),O7,R7))))</f>
        <v>-</v>
      </c>
      <c r="T7" s="108" t="s">
        <v>11</v>
      </c>
      <c r="U7" s="70" t="str">
        <f t="shared" si="3"/>
        <v>C+</v>
      </c>
      <c r="V7" s="72" t="s">
        <v>18</v>
      </c>
    </row>
    <row r="8" spans="1:22" ht="15" customHeight="1" x14ac:dyDescent="0.25">
      <c r="A8" s="66"/>
      <c r="B8" s="66"/>
      <c r="C8" s="66"/>
      <c r="D8" s="66"/>
      <c r="E8" s="66"/>
      <c r="F8" s="77"/>
      <c r="G8" s="66"/>
      <c r="H8" s="66"/>
      <c r="I8" s="66"/>
      <c r="J8" s="66"/>
      <c r="K8" s="77"/>
      <c r="L8" s="66"/>
      <c r="M8" s="106" t="str">
        <f t="shared" si="0"/>
        <v/>
      </c>
      <c r="N8" s="92" t="str">
        <f t="shared" si="2"/>
        <v/>
      </c>
      <c r="O8" s="81" t="str">
        <f>IF(M8="","",VLOOKUP(N8,Table1[],2,TRUE))</f>
        <v/>
      </c>
      <c r="P8" s="88" t="str">
        <f t="shared" si="1"/>
        <v/>
      </c>
      <c r="Q8" s="94" t="str">
        <f t="shared" si="4"/>
        <v/>
      </c>
      <c r="R8" s="82" t="str">
        <f>IF(P8="","",VLOOKUP(Q8,Table1[],2,TRUE))</f>
        <v/>
      </c>
      <c r="S8" s="90" t="str">
        <f>IF(AND(N8="",Q8=""),"",IF(OR(N8="-",Q8="-"),"-",IF(AND(N$3&lt;&gt;0,Q$3&lt;&gt;0),VLOOKUP(AVERAGE(N8,Q8),Table1[],2,TRUE),IF(AND(N$3&lt;&gt;0,Q$3=0),O8,R8))))</f>
        <v/>
      </c>
      <c r="T8" s="70"/>
      <c r="U8" s="70" t="str">
        <f t="shared" si="3"/>
        <v/>
      </c>
      <c r="V8" s="72" t="s">
        <v>18</v>
      </c>
    </row>
    <row r="9" spans="1:22" ht="15" customHeight="1" x14ac:dyDescent="0.25">
      <c r="A9" s="66"/>
      <c r="B9" s="66"/>
      <c r="C9" s="66"/>
      <c r="D9" s="66"/>
      <c r="E9" s="66"/>
      <c r="F9" s="77"/>
      <c r="G9" s="66"/>
      <c r="H9" s="66"/>
      <c r="I9" s="66"/>
      <c r="J9" s="66"/>
      <c r="K9" s="77"/>
      <c r="L9" s="66"/>
      <c r="M9" s="106" t="str">
        <f t="shared" si="0"/>
        <v/>
      </c>
      <c r="N9" s="92" t="str">
        <f t="shared" si="2"/>
        <v/>
      </c>
      <c r="O9" s="81" t="str">
        <f>IF(M9="","",VLOOKUP(N9,Table1[],2,TRUE))</f>
        <v/>
      </c>
      <c r="P9" s="88" t="str">
        <f t="shared" si="1"/>
        <v/>
      </c>
      <c r="Q9" s="94" t="str">
        <f t="shared" si="4"/>
        <v/>
      </c>
      <c r="R9" s="82" t="str">
        <f>IF(P9="","",VLOOKUP(Q9,Table1[],2,TRUE))</f>
        <v/>
      </c>
      <c r="S9" s="90" t="str">
        <f>IF(AND(N9="",Q9=""),"",IF(OR(N9="-",Q9="-"),"-",IF(AND(N$3&lt;&gt;0,Q$3&lt;&gt;0),VLOOKUP(AVERAGE(N9,Q9),Table1[],2,TRUE),IF(AND(N$3&lt;&gt;0,Q$3=0),O9,R9))))</f>
        <v/>
      </c>
      <c r="T9" s="70"/>
      <c r="U9" s="70" t="str">
        <f t="shared" si="3"/>
        <v/>
      </c>
      <c r="V9" s="72" t="s">
        <v>18</v>
      </c>
    </row>
    <row r="10" spans="1:22" ht="15" customHeight="1" x14ac:dyDescent="0.25">
      <c r="A10" s="66"/>
      <c r="B10" s="66"/>
      <c r="C10" s="66"/>
      <c r="D10" s="66"/>
      <c r="E10" s="66"/>
      <c r="F10" s="77"/>
      <c r="G10" s="66"/>
      <c r="H10" s="66"/>
      <c r="I10" s="66"/>
      <c r="J10" s="66"/>
      <c r="K10" s="77"/>
      <c r="L10" s="66"/>
      <c r="M10" s="106" t="str">
        <f t="shared" si="0"/>
        <v/>
      </c>
      <c r="N10" s="92" t="str">
        <f t="shared" si="2"/>
        <v/>
      </c>
      <c r="O10" s="81" t="str">
        <f>IF(M10="","",VLOOKUP(N10,Table1[],2,TRUE))</f>
        <v/>
      </c>
      <c r="P10" s="88" t="str">
        <f t="shared" si="1"/>
        <v/>
      </c>
      <c r="Q10" s="94" t="str">
        <f t="shared" si="4"/>
        <v/>
      </c>
      <c r="R10" s="82" t="str">
        <f>IF(P10="","",VLOOKUP(Q10,Table1[],2,TRUE))</f>
        <v/>
      </c>
      <c r="S10" s="90" t="str">
        <f>IF(AND(N10="",Q10=""),"",IF(OR(N10="-",Q10="-"),"-",IF(AND(N$3&lt;&gt;0,Q$3&lt;&gt;0),VLOOKUP(AVERAGE(N10,Q10),Table1[],2,TRUE),IF(AND(N$3&lt;&gt;0,Q$3=0),O10,R10))))</f>
        <v/>
      </c>
      <c r="T10" s="70"/>
      <c r="U10" s="70" t="str">
        <f t="shared" si="3"/>
        <v/>
      </c>
      <c r="V10" s="72" t="s">
        <v>18</v>
      </c>
    </row>
    <row r="11" spans="1:22" ht="15" customHeight="1" x14ac:dyDescent="0.25">
      <c r="A11" s="66"/>
      <c r="B11" s="66"/>
      <c r="C11" s="66"/>
      <c r="D11" s="66"/>
      <c r="E11" s="66"/>
      <c r="F11" s="77"/>
      <c r="G11" s="66"/>
      <c r="H11" s="66"/>
      <c r="I11" s="66"/>
      <c r="J11" s="66"/>
      <c r="K11" s="77"/>
      <c r="L11" s="66"/>
      <c r="M11" s="106" t="str">
        <f t="shared" si="0"/>
        <v/>
      </c>
      <c r="N11" s="92" t="str">
        <f t="shared" si="2"/>
        <v/>
      </c>
      <c r="O11" s="81" t="str">
        <f>IF(M11="","",VLOOKUP(N11,Table1[],2,TRUE))</f>
        <v/>
      </c>
      <c r="P11" s="88" t="str">
        <f t="shared" si="1"/>
        <v/>
      </c>
      <c r="Q11" s="94" t="str">
        <f t="shared" si="4"/>
        <v/>
      </c>
      <c r="R11" s="82" t="str">
        <f>IF(P11="","",VLOOKUP(Q11,Table1[],2,TRUE))</f>
        <v/>
      </c>
      <c r="S11" s="90" t="str">
        <f>IF(AND(N11="",Q11=""),"",IF(OR(N11="-",Q11="-"),"-",IF(AND(N$3&lt;&gt;0,Q$3&lt;&gt;0),VLOOKUP(AVERAGE(N11,Q11),Table1[],2,TRUE),IF(AND(N$3&lt;&gt;0,Q$3=0),O11,R11))))</f>
        <v/>
      </c>
      <c r="T11" s="70"/>
      <c r="U11" s="70" t="str">
        <f t="shared" si="3"/>
        <v/>
      </c>
      <c r="V11" s="72" t="s">
        <v>18</v>
      </c>
    </row>
    <row r="12" spans="1:22" ht="15" customHeight="1" x14ac:dyDescent="0.25">
      <c r="A12" s="66"/>
      <c r="B12" s="66"/>
      <c r="C12" s="66"/>
      <c r="D12" s="66"/>
      <c r="E12" s="66"/>
      <c r="F12" s="77"/>
      <c r="G12" s="66"/>
      <c r="H12" s="66"/>
      <c r="I12" s="66"/>
      <c r="J12" s="66"/>
      <c r="K12" s="77"/>
      <c r="L12" s="66"/>
      <c r="M12" s="106" t="str">
        <f t="shared" si="0"/>
        <v/>
      </c>
      <c r="N12" s="92" t="str">
        <f t="shared" si="2"/>
        <v/>
      </c>
      <c r="O12" s="81" t="str">
        <f>IF(M12="","",VLOOKUP(N12,Table1[],2,TRUE))</f>
        <v/>
      </c>
      <c r="P12" s="88" t="str">
        <f t="shared" si="1"/>
        <v/>
      </c>
      <c r="Q12" s="94" t="str">
        <f t="shared" si="4"/>
        <v/>
      </c>
      <c r="R12" s="82" t="str">
        <f>IF(P12="","",VLOOKUP(Q12,Table1[],2,TRUE))</f>
        <v/>
      </c>
      <c r="S12" s="90" t="str">
        <f>IF(AND(N12="",Q12=""),"",IF(OR(N12="-",Q12="-"),"-",IF(AND(N$3&lt;&gt;0,Q$3&lt;&gt;0),VLOOKUP(AVERAGE(N12,Q12),Table1[],2,TRUE),IF(AND(N$3&lt;&gt;0,Q$3=0),O12,R12))))</f>
        <v/>
      </c>
      <c r="T12" s="70"/>
      <c r="U12" s="70" t="str">
        <f t="shared" si="3"/>
        <v/>
      </c>
      <c r="V12" s="72" t="s">
        <v>18</v>
      </c>
    </row>
    <row r="13" spans="1:22" ht="15" customHeight="1" x14ac:dyDescent="0.25">
      <c r="A13" s="66"/>
      <c r="B13" s="66"/>
      <c r="C13" s="66"/>
      <c r="D13" s="66"/>
      <c r="E13" s="66"/>
      <c r="F13" s="77"/>
      <c r="G13" s="66"/>
      <c r="H13" s="66"/>
      <c r="I13" s="66"/>
      <c r="J13" s="66"/>
      <c r="K13" s="77"/>
      <c r="L13" s="66"/>
      <c r="M13" s="106" t="str">
        <f t="shared" si="0"/>
        <v/>
      </c>
      <c r="N13" s="92" t="str">
        <f t="shared" si="2"/>
        <v/>
      </c>
      <c r="O13" s="81" t="str">
        <f>IF(M13="","",VLOOKUP(N13,Table1[],2,TRUE))</f>
        <v/>
      </c>
      <c r="P13" s="88" t="str">
        <f t="shared" si="1"/>
        <v/>
      </c>
      <c r="Q13" s="94" t="str">
        <f t="shared" si="4"/>
        <v/>
      </c>
      <c r="R13" s="82" t="str">
        <f>IF(P13="","",VLOOKUP(Q13,Table1[],2,TRUE))</f>
        <v/>
      </c>
      <c r="S13" s="90" t="str">
        <f>IF(AND(N13="",Q13=""),"",IF(OR(N13="-",Q13="-"),"-",IF(AND(N$3&lt;&gt;0,Q$3&lt;&gt;0),VLOOKUP(AVERAGE(N13,Q13),Table1[],2,TRUE),IF(AND(N$3&lt;&gt;0,Q$3=0),O13,R13))))</f>
        <v/>
      </c>
      <c r="T13" s="70"/>
      <c r="U13" s="70" t="str">
        <f t="shared" si="3"/>
        <v/>
      </c>
      <c r="V13" s="72" t="s">
        <v>18</v>
      </c>
    </row>
    <row r="14" spans="1:22" x14ac:dyDescent="0.25">
      <c r="A14" s="66"/>
      <c r="B14" s="66"/>
      <c r="C14" s="66"/>
      <c r="D14" s="66"/>
      <c r="E14" s="66"/>
      <c r="F14" s="77"/>
      <c r="G14" s="66"/>
      <c r="H14" s="66"/>
      <c r="I14" s="66"/>
      <c r="J14" s="66"/>
      <c r="K14" s="77"/>
      <c r="L14" s="66"/>
      <c r="M14" s="106" t="str">
        <f t="shared" si="0"/>
        <v/>
      </c>
      <c r="N14" s="92" t="str">
        <f t="shared" si="2"/>
        <v/>
      </c>
      <c r="O14" s="81" t="str">
        <f>IF(M14="","",VLOOKUP(N14,Table1[],2,TRUE))</f>
        <v/>
      </c>
      <c r="P14" s="88" t="str">
        <f t="shared" si="1"/>
        <v/>
      </c>
      <c r="Q14" s="94" t="str">
        <f t="shared" si="4"/>
        <v/>
      </c>
      <c r="R14" s="82" t="str">
        <f>IF(P14="","",VLOOKUP(Q14,Table1[],2,TRUE))</f>
        <v/>
      </c>
      <c r="S14" s="90" t="str">
        <f>IF(AND(N14="",Q14=""),"",IF(OR(N14="-",Q14="-"),"-",IF(AND(N$3&lt;&gt;0,Q$3&lt;&gt;0),VLOOKUP(AVERAGE(N14,Q14),Table1[],2,TRUE),IF(AND(N$3&lt;&gt;0,Q$3=0),O14,R14))))</f>
        <v/>
      </c>
      <c r="T14" s="70"/>
      <c r="U14" s="70" t="str">
        <f t="shared" si="3"/>
        <v/>
      </c>
      <c r="V14" s="72" t="s">
        <v>18</v>
      </c>
    </row>
    <row r="15" spans="1:22" x14ac:dyDescent="0.25">
      <c r="A15" s="66"/>
      <c r="B15" s="66"/>
      <c r="C15" s="66"/>
      <c r="D15" s="66"/>
      <c r="E15" s="66"/>
      <c r="F15" s="77"/>
      <c r="G15" s="66"/>
      <c r="H15" s="66"/>
      <c r="I15" s="66"/>
      <c r="J15" s="66"/>
      <c r="K15" s="77"/>
      <c r="L15" s="66"/>
      <c r="M15" s="106" t="str">
        <f t="shared" si="0"/>
        <v/>
      </c>
      <c r="N15" s="92" t="str">
        <f t="shared" si="2"/>
        <v/>
      </c>
      <c r="O15" s="81" t="str">
        <f>IF(M15="","",VLOOKUP(N15,Table1[],2,TRUE))</f>
        <v/>
      </c>
      <c r="P15" s="88" t="str">
        <f t="shared" si="1"/>
        <v/>
      </c>
      <c r="Q15" s="94" t="str">
        <f t="shared" si="4"/>
        <v/>
      </c>
      <c r="R15" s="82" t="str">
        <f>IF(P15="","",VLOOKUP(Q15,Table1[],2,TRUE))</f>
        <v/>
      </c>
      <c r="S15" s="90" t="str">
        <f>IF(AND(N15="",Q15=""),"",IF(OR(N15="-",Q15="-"),"-",IF(AND(N$3&lt;&gt;0,Q$3&lt;&gt;0),VLOOKUP(AVERAGE(N15,Q15),Table1[],2,TRUE),IF(AND(N$3&lt;&gt;0,Q$3=0),O15,R15))))</f>
        <v/>
      </c>
      <c r="T15" s="70"/>
      <c r="U15" s="70" t="str">
        <f t="shared" si="3"/>
        <v/>
      </c>
      <c r="V15" s="72" t="s">
        <v>18</v>
      </c>
    </row>
    <row r="16" spans="1:22" x14ac:dyDescent="0.25">
      <c r="A16" s="66"/>
      <c r="B16" s="66"/>
      <c r="C16" s="66"/>
      <c r="D16" s="66"/>
      <c r="E16" s="66"/>
      <c r="F16" s="77"/>
      <c r="G16" s="66"/>
      <c r="H16" s="66"/>
      <c r="I16" s="66"/>
      <c r="J16" s="66"/>
      <c r="K16" s="77"/>
      <c r="L16" s="66"/>
      <c r="M16" s="106" t="str">
        <f t="shared" si="0"/>
        <v/>
      </c>
      <c r="N16" s="92" t="str">
        <f t="shared" si="2"/>
        <v/>
      </c>
      <c r="O16" s="81" t="str">
        <f>IF(M16="","",VLOOKUP(N16,Table1[],2,TRUE))</f>
        <v/>
      </c>
      <c r="P16" s="88" t="str">
        <f t="shared" si="1"/>
        <v/>
      </c>
      <c r="Q16" s="94" t="str">
        <f t="shared" si="4"/>
        <v/>
      </c>
      <c r="R16" s="82" t="str">
        <f>IF(P16="","",VLOOKUP(Q16,Table1[],2,TRUE))</f>
        <v/>
      </c>
      <c r="S16" s="90" t="str">
        <f>IF(AND(N16="",Q16=""),"",IF(OR(N16="-",Q16="-"),"-",IF(AND(N$3&lt;&gt;0,Q$3&lt;&gt;0),VLOOKUP(AVERAGE(N16,Q16),Table1[],2,TRUE),IF(AND(N$3&lt;&gt;0,Q$3=0),O16,R16))))</f>
        <v/>
      </c>
      <c r="T16" s="70"/>
      <c r="U16" s="70" t="str">
        <f t="shared" si="3"/>
        <v/>
      </c>
      <c r="V16" s="72" t="s">
        <v>18</v>
      </c>
    </row>
    <row r="17" spans="1:22" x14ac:dyDescent="0.25">
      <c r="A17" s="66"/>
      <c r="B17" s="66"/>
      <c r="C17" s="66"/>
      <c r="D17" s="66"/>
      <c r="E17" s="66"/>
      <c r="F17" s="77"/>
      <c r="G17" s="66"/>
      <c r="H17" s="66"/>
      <c r="I17" s="66"/>
      <c r="J17" s="66"/>
      <c r="K17" s="77"/>
      <c r="L17" s="66"/>
      <c r="M17" s="106" t="str">
        <f t="shared" si="0"/>
        <v/>
      </c>
      <c r="N17" s="92" t="str">
        <f t="shared" si="2"/>
        <v/>
      </c>
      <c r="O17" s="81" t="str">
        <f>IF(M17="","",VLOOKUP(N17,Table1[],2,TRUE))</f>
        <v/>
      </c>
      <c r="P17" s="88" t="str">
        <f t="shared" si="1"/>
        <v/>
      </c>
      <c r="Q17" s="94" t="str">
        <f t="shared" si="4"/>
        <v/>
      </c>
      <c r="R17" s="82" t="str">
        <f>IF(P17="","",VLOOKUP(Q17,Table1[],2,TRUE))</f>
        <v/>
      </c>
      <c r="S17" s="90" t="str">
        <f>IF(AND(N17="",Q17=""),"",IF(OR(N17="-",Q17="-"),"-",IF(AND(N$3&lt;&gt;0,Q$3&lt;&gt;0),VLOOKUP(AVERAGE(N17,Q17),Table1[],2,TRUE),IF(AND(N$3&lt;&gt;0,Q$3=0),O17,R17))))</f>
        <v/>
      </c>
      <c r="T17" s="70"/>
      <c r="U17" s="70" t="str">
        <f t="shared" si="3"/>
        <v/>
      </c>
      <c r="V17" s="72" t="s">
        <v>18</v>
      </c>
    </row>
    <row r="18" spans="1:22" x14ac:dyDescent="0.25">
      <c r="A18" s="66"/>
      <c r="B18" s="66"/>
      <c r="C18" s="66"/>
      <c r="D18" s="66"/>
      <c r="E18" s="66"/>
      <c r="F18" s="77"/>
      <c r="G18" s="66"/>
      <c r="H18" s="66"/>
      <c r="I18" s="66"/>
      <c r="J18" s="66"/>
      <c r="K18" s="77"/>
      <c r="L18" s="66"/>
      <c r="M18" s="106" t="str">
        <f t="shared" si="0"/>
        <v/>
      </c>
      <c r="N18" s="92" t="str">
        <f t="shared" si="2"/>
        <v/>
      </c>
      <c r="O18" s="81" t="str">
        <f>IF(M18="","",VLOOKUP(N18,Table1[],2,TRUE))</f>
        <v/>
      </c>
      <c r="P18" s="88" t="str">
        <f t="shared" si="1"/>
        <v/>
      </c>
      <c r="Q18" s="94" t="str">
        <f t="shared" si="4"/>
        <v/>
      </c>
      <c r="R18" s="82" t="str">
        <f>IF(P18="","",VLOOKUP(Q18,Table1[],2,TRUE))</f>
        <v/>
      </c>
      <c r="S18" s="90" t="str">
        <f>IF(AND(N18="",Q18=""),"",IF(OR(N18="-",Q18="-"),"-",IF(AND(N$3&lt;&gt;0,Q$3&lt;&gt;0),VLOOKUP(AVERAGE(N18,Q18),Table1[],2,TRUE),IF(AND(N$3&lt;&gt;0,Q$3=0),O18,R18))))</f>
        <v/>
      </c>
      <c r="T18" s="70"/>
      <c r="U18" s="70" t="str">
        <f t="shared" si="3"/>
        <v/>
      </c>
      <c r="V18" s="72" t="s">
        <v>18</v>
      </c>
    </row>
    <row r="19" spans="1:22" x14ac:dyDescent="0.25">
      <c r="A19" s="66"/>
      <c r="B19" s="66"/>
      <c r="C19" s="66"/>
      <c r="D19" s="66"/>
      <c r="E19" s="66"/>
      <c r="F19" s="77"/>
      <c r="G19" s="66"/>
      <c r="H19" s="66"/>
      <c r="I19" s="66"/>
      <c r="J19" s="66"/>
      <c r="K19" s="77"/>
      <c r="L19" s="66"/>
      <c r="M19" s="106" t="str">
        <f t="shared" si="0"/>
        <v/>
      </c>
      <c r="N19" s="92" t="str">
        <f t="shared" si="2"/>
        <v/>
      </c>
      <c r="O19" s="81" t="str">
        <f>IF(M19="","",VLOOKUP(N19,Table1[],2,TRUE))</f>
        <v/>
      </c>
      <c r="P19" s="88" t="str">
        <f t="shared" si="1"/>
        <v/>
      </c>
      <c r="Q19" s="94" t="str">
        <f t="shared" si="4"/>
        <v/>
      </c>
      <c r="R19" s="82" t="str">
        <f>IF(P19="","",VLOOKUP(Q19,Table1[],2,TRUE))</f>
        <v/>
      </c>
      <c r="S19" s="90" t="str">
        <f>IF(AND(N19="",Q19=""),"",IF(OR(N19="-",Q19="-"),"-",IF(AND(N$3&lt;&gt;0,Q$3&lt;&gt;0),VLOOKUP(AVERAGE(N19,Q19),Table1[],2,TRUE),IF(AND(N$3&lt;&gt;0,Q$3=0),O19,R19))))</f>
        <v/>
      </c>
      <c r="T19" s="70"/>
      <c r="U19" s="70" t="str">
        <f t="shared" si="3"/>
        <v/>
      </c>
      <c r="V19" s="72" t="s">
        <v>18</v>
      </c>
    </row>
    <row r="20" spans="1:22" x14ac:dyDescent="0.25">
      <c r="A20" s="66"/>
      <c r="B20" s="66"/>
      <c r="C20" s="66"/>
      <c r="D20" s="66"/>
      <c r="E20" s="66"/>
      <c r="F20" s="77"/>
      <c r="G20" s="66"/>
      <c r="H20" s="66"/>
      <c r="I20" s="66"/>
      <c r="J20" s="66"/>
      <c r="K20" s="77"/>
      <c r="L20" s="66"/>
      <c r="M20" s="106" t="str">
        <f t="shared" si="0"/>
        <v/>
      </c>
      <c r="N20" s="92" t="str">
        <f t="shared" si="2"/>
        <v/>
      </c>
      <c r="O20" s="81" t="str">
        <f>IF(M20="","",VLOOKUP(N20,Table1[],2,TRUE))</f>
        <v/>
      </c>
      <c r="P20" s="88" t="str">
        <f t="shared" si="1"/>
        <v/>
      </c>
      <c r="Q20" s="94" t="str">
        <f t="shared" si="4"/>
        <v/>
      </c>
      <c r="R20" s="82" t="str">
        <f>IF(P20="","",VLOOKUP(Q20,Table1[],2,TRUE))</f>
        <v/>
      </c>
      <c r="S20" s="90" t="str">
        <f>IF(AND(N20="",Q20=""),"",IF(OR(N20="-",Q20="-"),"-",IF(AND(N$3&lt;&gt;0,Q$3&lt;&gt;0),VLOOKUP(AVERAGE(N20,Q20),Table1[],2,TRUE),IF(AND(N$3&lt;&gt;0,Q$3=0),O20,R20))))</f>
        <v/>
      </c>
      <c r="T20" s="70"/>
      <c r="U20" s="70" t="str">
        <f t="shared" si="3"/>
        <v/>
      </c>
      <c r="V20" s="72" t="s">
        <v>18</v>
      </c>
    </row>
    <row r="21" spans="1:22" x14ac:dyDescent="0.25">
      <c r="A21" s="66"/>
      <c r="B21" s="66"/>
      <c r="C21" s="66"/>
      <c r="D21" s="66"/>
      <c r="E21" s="66"/>
      <c r="F21" s="77"/>
      <c r="G21" s="66"/>
      <c r="H21" s="66"/>
      <c r="I21" s="66"/>
      <c r="J21" s="66"/>
      <c r="K21" s="77"/>
      <c r="L21" s="66"/>
      <c r="M21" s="106" t="str">
        <f t="shared" si="0"/>
        <v/>
      </c>
      <c r="N21" s="92" t="str">
        <f t="shared" si="2"/>
        <v/>
      </c>
      <c r="O21" s="81" t="str">
        <f>IF(M21="","",VLOOKUP(N21,Table1[],2,TRUE))</f>
        <v/>
      </c>
      <c r="P21" s="88" t="str">
        <f t="shared" si="1"/>
        <v/>
      </c>
      <c r="Q21" s="94" t="str">
        <f t="shared" si="4"/>
        <v/>
      </c>
      <c r="R21" s="82" t="str">
        <f>IF(P21="","",VLOOKUP(Q21,Table1[],2,TRUE))</f>
        <v/>
      </c>
      <c r="S21" s="90" t="str">
        <f>IF(AND(N21="",Q21=""),"",IF(OR(N21="-",Q21="-"),"-",IF(AND(N$3&lt;&gt;0,Q$3&lt;&gt;0),VLOOKUP(AVERAGE(N21,Q21),Table1[],2,TRUE),IF(AND(N$3&lt;&gt;0,Q$3=0),O21,R21))))</f>
        <v/>
      </c>
      <c r="T21" s="70"/>
      <c r="U21" s="70" t="str">
        <f t="shared" si="3"/>
        <v/>
      </c>
      <c r="V21" s="72" t="s">
        <v>18</v>
      </c>
    </row>
    <row r="22" spans="1:22" x14ac:dyDescent="0.25">
      <c r="A22" s="66"/>
      <c r="B22" s="66"/>
      <c r="C22" s="66"/>
      <c r="D22" s="66"/>
      <c r="E22" s="66"/>
      <c r="F22" s="77"/>
      <c r="G22" s="66"/>
      <c r="H22" s="66"/>
      <c r="I22" s="66"/>
      <c r="J22" s="66"/>
      <c r="K22" s="77"/>
      <c r="L22" s="66"/>
      <c r="M22" s="106" t="str">
        <f t="shared" si="0"/>
        <v/>
      </c>
      <c r="N22" s="92" t="str">
        <f t="shared" si="2"/>
        <v/>
      </c>
      <c r="O22" s="81" t="str">
        <f>IF(M22="","",VLOOKUP(N22,Table1[],2,TRUE))</f>
        <v/>
      </c>
      <c r="P22" s="88" t="str">
        <f t="shared" si="1"/>
        <v/>
      </c>
      <c r="Q22" s="94" t="str">
        <f t="shared" si="4"/>
        <v/>
      </c>
      <c r="R22" s="82" t="str">
        <f>IF(P22="","",VLOOKUP(Q22,Table1[],2,TRUE))</f>
        <v/>
      </c>
      <c r="S22" s="90" t="str">
        <f>IF(AND(N22="",Q22=""),"",IF(OR(N22="-",Q22="-"),"-",IF(AND(N$3&lt;&gt;0,Q$3&lt;&gt;0),VLOOKUP(AVERAGE(N22,Q22),Table1[],2,TRUE),IF(AND(N$3&lt;&gt;0,Q$3=0),O22,R22))))</f>
        <v/>
      </c>
      <c r="T22" s="70"/>
      <c r="U22" s="70" t="str">
        <f t="shared" si="3"/>
        <v/>
      </c>
      <c r="V22" s="72" t="s">
        <v>18</v>
      </c>
    </row>
    <row r="23" spans="1:22" x14ac:dyDescent="0.25">
      <c r="A23" s="66"/>
      <c r="B23" s="66"/>
      <c r="C23" s="66"/>
      <c r="D23" s="66"/>
      <c r="E23" s="66"/>
      <c r="F23" s="77"/>
      <c r="G23" s="66"/>
      <c r="H23" s="66"/>
      <c r="I23" s="66"/>
      <c r="J23" s="66"/>
      <c r="K23" s="77"/>
      <c r="L23" s="66"/>
      <c r="M23" s="106" t="str">
        <f t="shared" si="0"/>
        <v/>
      </c>
      <c r="N23" s="92" t="str">
        <f t="shared" si="2"/>
        <v/>
      </c>
      <c r="O23" s="81" t="str">
        <f>IF(M23="","",VLOOKUP(N23,Table1[],2,TRUE))</f>
        <v/>
      </c>
      <c r="P23" s="88" t="str">
        <f t="shared" si="1"/>
        <v/>
      </c>
      <c r="Q23" s="94" t="str">
        <f t="shared" si="4"/>
        <v/>
      </c>
      <c r="R23" s="82" t="str">
        <f>IF(P23="","",VLOOKUP(Q23,Table1[],2,TRUE))</f>
        <v/>
      </c>
      <c r="S23" s="90" t="str">
        <f>IF(AND(N23="",Q23=""),"",IF(OR(N23="-",Q23="-"),"-",IF(AND(N$3&lt;&gt;0,Q$3&lt;&gt;0),VLOOKUP(AVERAGE(N23,Q23),Table1[],2,TRUE),IF(AND(N$3&lt;&gt;0,Q$3=0),O23,R23))))</f>
        <v/>
      </c>
      <c r="T23" s="70"/>
      <c r="U23" s="70" t="str">
        <f t="shared" si="3"/>
        <v/>
      </c>
      <c r="V23" s="72" t="s">
        <v>18</v>
      </c>
    </row>
    <row r="24" spans="1:22" x14ac:dyDescent="0.25">
      <c r="A24" s="66"/>
      <c r="B24" s="66"/>
      <c r="C24" s="66"/>
      <c r="D24" s="66"/>
      <c r="E24" s="66"/>
      <c r="F24" s="77"/>
      <c r="G24" s="66"/>
      <c r="H24" s="66"/>
      <c r="I24" s="66"/>
      <c r="J24" s="66"/>
      <c r="K24" s="77"/>
      <c r="L24" s="66"/>
      <c r="M24" s="106" t="str">
        <f t="shared" si="0"/>
        <v/>
      </c>
      <c r="N24" s="92" t="str">
        <f t="shared" si="2"/>
        <v/>
      </c>
      <c r="O24" s="81" t="str">
        <f>IF(M24="","",VLOOKUP(N24,Table1[],2,TRUE))</f>
        <v/>
      </c>
      <c r="P24" s="88" t="str">
        <f t="shared" si="1"/>
        <v/>
      </c>
      <c r="Q24" s="94" t="str">
        <f t="shared" si="4"/>
        <v/>
      </c>
      <c r="R24" s="82" t="str">
        <f>IF(P24="","",VLOOKUP(Q24,Table1[],2,TRUE))</f>
        <v/>
      </c>
      <c r="S24" s="90" t="str">
        <f>IF(AND(N24="",Q24=""),"",IF(OR(N24="-",Q24="-"),"-",IF(AND(N$3&lt;&gt;0,Q$3&lt;&gt;0),VLOOKUP(AVERAGE(N24,Q24),Table1[],2,TRUE),IF(AND(N$3&lt;&gt;0,Q$3=0),O24,R24))))</f>
        <v/>
      </c>
      <c r="T24" s="70"/>
      <c r="U24" s="70" t="str">
        <f t="shared" si="3"/>
        <v/>
      </c>
      <c r="V24" s="72" t="s">
        <v>18</v>
      </c>
    </row>
    <row r="25" spans="1:22" x14ac:dyDescent="0.25">
      <c r="A25" s="66"/>
      <c r="B25" s="66"/>
      <c r="C25" s="66"/>
      <c r="D25" s="66"/>
      <c r="E25" s="66"/>
      <c r="F25" s="77"/>
      <c r="G25" s="66"/>
      <c r="H25" s="66"/>
      <c r="I25" s="66"/>
      <c r="J25" s="66"/>
      <c r="K25" s="77"/>
      <c r="L25" s="66"/>
      <c r="M25" s="106" t="str">
        <f t="shared" si="0"/>
        <v/>
      </c>
      <c r="N25" s="92" t="str">
        <f t="shared" si="2"/>
        <v/>
      </c>
      <c r="O25" s="81" t="str">
        <f>IF(M25="","",VLOOKUP(N25,Table1[],2,TRUE))</f>
        <v/>
      </c>
      <c r="P25" s="88" t="str">
        <f t="shared" si="1"/>
        <v/>
      </c>
      <c r="Q25" s="94" t="str">
        <f t="shared" si="4"/>
        <v/>
      </c>
      <c r="R25" s="82" t="str">
        <f>IF(P25="","",VLOOKUP(Q25,Table1[],2,TRUE))</f>
        <v/>
      </c>
      <c r="S25" s="90" t="str">
        <f>IF(AND(N25="",Q25=""),"",IF(OR(N25="-",Q25="-"),"-",IF(AND(N$3&lt;&gt;0,Q$3&lt;&gt;0),VLOOKUP(AVERAGE(N25,Q25),Table1[],2,TRUE),IF(AND(N$3&lt;&gt;0,Q$3=0),O25,R25))))</f>
        <v/>
      </c>
      <c r="T25" s="70"/>
      <c r="U25" s="70" t="str">
        <f t="shared" si="3"/>
        <v/>
      </c>
      <c r="V25" s="72" t="s">
        <v>18</v>
      </c>
    </row>
    <row r="26" spans="1:22" x14ac:dyDescent="0.25">
      <c r="A26" s="66"/>
      <c r="B26" s="66"/>
      <c r="C26" s="66"/>
      <c r="D26" s="66"/>
      <c r="E26" s="66"/>
      <c r="F26" s="77"/>
      <c r="G26" s="66"/>
      <c r="H26" s="66"/>
      <c r="I26" s="66"/>
      <c r="J26" s="66"/>
      <c r="K26" s="77"/>
      <c r="L26" s="66"/>
      <c r="M26" s="106" t="str">
        <f t="shared" si="0"/>
        <v/>
      </c>
      <c r="N26" s="92" t="str">
        <f t="shared" si="2"/>
        <v/>
      </c>
      <c r="O26" s="81" t="str">
        <f>IF(M26="","",VLOOKUP(N26,Table1[],2,TRUE))</f>
        <v/>
      </c>
      <c r="P26" s="88" t="str">
        <f t="shared" si="1"/>
        <v/>
      </c>
      <c r="Q26" s="94" t="str">
        <f t="shared" si="4"/>
        <v/>
      </c>
      <c r="R26" s="82" t="str">
        <f>IF(P26="","",VLOOKUP(Q26,Table1[],2,TRUE))</f>
        <v/>
      </c>
      <c r="S26" s="90" t="str">
        <f>IF(AND(N26="",Q26=""),"",IF(OR(N26="-",Q26="-"),"-",IF(AND(N$3&lt;&gt;0,Q$3&lt;&gt;0),VLOOKUP(AVERAGE(N26,Q26),Table1[],2,TRUE),IF(AND(N$3&lt;&gt;0,Q$3=0),O26,R26))))</f>
        <v/>
      </c>
      <c r="T26" s="70"/>
      <c r="U26" s="70" t="str">
        <f t="shared" si="3"/>
        <v/>
      </c>
      <c r="V26" s="72" t="s">
        <v>18</v>
      </c>
    </row>
    <row r="27" spans="1:22" x14ac:dyDescent="0.25">
      <c r="A27" s="66"/>
      <c r="B27" s="66"/>
      <c r="C27" s="66"/>
      <c r="D27" s="66"/>
      <c r="E27" s="66"/>
      <c r="F27" s="77"/>
      <c r="G27" s="66"/>
      <c r="H27" s="66"/>
      <c r="I27" s="66"/>
      <c r="J27" s="66"/>
      <c r="K27" s="77"/>
      <c r="L27" s="66"/>
      <c r="M27" s="106" t="str">
        <f t="shared" si="0"/>
        <v/>
      </c>
      <c r="N27" s="92" t="str">
        <f t="shared" si="2"/>
        <v/>
      </c>
      <c r="O27" s="81" t="str">
        <f>IF(M27="","",VLOOKUP(N27,Table1[],2,TRUE))</f>
        <v/>
      </c>
      <c r="P27" s="88" t="str">
        <f t="shared" si="1"/>
        <v/>
      </c>
      <c r="Q27" s="94" t="str">
        <f t="shared" si="4"/>
        <v/>
      </c>
      <c r="R27" s="82" t="str">
        <f>IF(P27="","",VLOOKUP(Q27,Table1[],2,TRUE))</f>
        <v/>
      </c>
      <c r="S27" s="90" t="str">
        <f>IF(AND(N27="",Q27=""),"",IF(OR(N27="-",Q27="-"),"-",IF(AND(N$3&lt;&gt;0,Q$3&lt;&gt;0),VLOOKUP(AVERAGE(N27,Q27),Table1[],2,TRUE),IF(AND(N$3&lt;&gt;0,Q$3=0),O27,R27))))</f>
        <v/>
      </c>
      <c r="T27" s="70"/>
      <c r="U27" s="70" t="str">
        <f t="shared" si="3"/>
        <v/>
      </c>
      <c r="V27" s="72" t="s">
        <v>18</v>
      </c>
    </row>
    <row r="28" spans="1:22" x14ac:dyDescent="0.25">
      <c r="A28" s="66"/>
      <c r="B28" s="66"/>
      <c r="C28" s="66"/>
      <c r="D28" s="66"/>
      <c r="E28" s="66"/>
      <c r="F28" s="77"/>
      <c r="G28" s="66"/>
      <c r="H28" s="66"/>
      <c r="I28" s="66"/>
      <c r="J28" s="66"/>
      <c r="K28" s="77"/>
      <c r="L28" s="66"/>
      <c r="M28" s="106" t="str">
        <f t="shared" si="0"/>
        <v/>
      </c>
      <c r="N28" s="92" t="str">
        <f t="shared" si="2"/>
        <v/>
      </c>
      <c r="O28" s="81" t="str">
        <f>IF(M28="","",VLOOKUP(N28,Table1[],2,TRUE))</f>
        <v/>
      </c>
      <c r="P28" s="88" t="str">
        <f t="shared" si="1"/>
        <v/>
      </c>
      <c r="Q28" s="94" t="str">
        <f t="shared" si="4"/>
        <v/>
      </c>
      <c r="R28" s="82" t="str">
        <f>IF(P28="","",VLOOKUP(Q28,Table1[],2,TRUE))</f>
        <v/>
      </c>
      <c r="S28" s="90" t="str">
        <f>IF(AND(N28="",Q28=""),"",IF(OR(N28="-",Q28="-"),"-",IF(AND(N$3&lt;&gt;0,Q$3&lt;&gt;0),VLOOKUP(AVERAGE(N28,Q28),Table1[],2,TRUE),IF(AND(N$3&lt;&gt;0,Q$3=0),O28,R28))))</f>
        <v/>
      </c>
      <c r="T28" s="70"/>
      <c r="U28" s="70" t="str">
        <f t="shared" si="3"/>
        <v/>
      </c>
      <c r="V28" s="72" t="s">
        <v>18</v>
      </c>
    </row>
    <row r="29" spans="1:22" x14ac:dyDescent="0.25">
      <c r="A29" s="66"/>
      <c r="B29" s="66"/>
      <c r="C29" s="66"/>
      <c r="D29" s="66"/>
      <c r="E29" s="66"/>
      <c r="F29" s="77"/>
      <c r="G29" s="66"/>
      <c r="H29" s="66"/>
      <c r="I29" s="66"/>
      <c r="J29" s="66"/>
      <c r="K29" s="77"/>
      <c r="L29" s="66"/>
      <c r="M29" s="106" t="str">
        <f t="shared" si="0"/>
        <v/>
      </c>
      <c r="N29" s="92" t="str">
        <f t="shared" si="2"/>
        <v/>
      </c>
      <c r="O29" s="81" t="str">
        <f>IF(M29="","",VLOOKUP(N29,Table1[],2,TRUE))</f>
        <v/>
      </c>
      <c r="P29" s="88" t="str">
        <f t="shared" si="1"/>
        <v/>
      </c>
      <c r="Q29" s="94" t="str">
        <f t="shared" si="4"/>
        <v/>
      </c>
      <c r="R29" s="82" t="str">
        <f>IF(P29="","",VLOOKUP(Q29,Table1[],2,TRUE))</f>
        <v/>
      </c>
      <c r="S29" s="90" t="str">
        <f>IF(AND(N29="",Q29=""),"",IF(OR(N29="-",Q29="-"),"-",IF(AND(N$3&lt;&gt;0,Q$3&lt;&gt;0),VLOOKUP(AVERAGE(N29,Q29),Table1[],2,TRUE),IF(AND(N$3&lt;&gt;0,Q$3=0),O29,R29))))</f>
        <v/>
      </c>
      <c r="T29" s="70"/>
      <c r="U29" s="70" t="str">
        <f t="shared" si="3"/>
        <v/>
      </c>
      <c r="V29" s="72" t="s">
        <v>18</v>
      </c>
    </row>
    <row r="30" spans="1:22" x14ac:dyDescent="0.25">
      <c r="A30" s="66"/>
      <c r="B30" s="66"/>
      <c r="C30" s="66"/>
      <c r="D30" s="66"/>
      <c r="E30" s="66"/>
      <c r="F30" s="77"/>
      <c r="G30" s="66"/>
      <c r="H30" s="66"/>
      <c r="I30" s="66"/>
      <c r="J30" s="66"/>
      <c r="K30" s="77"/>
      <c r="L30" s="66"/>
      <c r="M30" s="106" t="str">
        <f t="shared" si="0"/>
        <v/>
      </c>
      <c r="N30" s="92" t="str">
        <f t="shared" si="2"/>
        <v/>
      </c>
      <c r="O30" s="81" t="str">
        <f>IF(M30="","",VLOOKUP(N30,Table1[],2,TRUE))</f>
        <v/>
      </c>
      <c r="P30" s="88" t="str">
        <f t="shared" si="1"/>
        <v/>
      </c>
      <c r="Q30" s="94" t="str">
        <f t="shared" si="4"/>
        <v/>
      </c>
      <c r="R30" s="82" t="str">
        <f>IF(P30="","",VLOOKUP(Q30,Table1[],2,TRUE))</f>
        <v/>
      </c>
      <c r="S30" s="90" t="str">
        <f>IF(AND(N30="",Q30=""),"",IF(OR(N30="-",Q30="-"),"-",IF(AND(N$3&lt;&gt;0,Q$3&lt;&gt;0),VLOOKUP(AVERAGE(N30,Q30),Table1[],2,TRUE),IF(AND(N$3&lt;&gt;0,Q$3=0),O30,R30))))</f>
        <v/>
      </c>
      <c r="T30" s="70"/>
      <c r="U30" s="70" t="str">
        <f t="shared" si="3"/>
        <v/>
      </c>
      <c r="V30" s="72" t="s">
        <v>18</v>
      </c>
    </row>
    <row r="31" spans="1:22" x14ac:dyDescent="0.25">
      <c r="A31" s="66"/>
      <c r="B31" s="66"/>
      <c r="C31" s="66"/>
      <c r="D31" s="66"/>
      <c r="E31" s="66"/>
      <c r="F31" s="77"/>
      <c r="G31" s="66"/>
      <c r="H31" s="66"/>
      <c r="I31" s="66"/>
      <c r="J31" s="66"/>
      <c r="K31" s="77"/>
      <c r="L31" s="66"/>
      <c r="M31" s="106" t="str">
        <f t="shared" si="0"/>
        <v/>
      </c>
      <c r="N31" s="92" t="str">
        <f t="shared" si="2"/>
        <v/>
      </c>
      <c r="O31" s="81" t="str">
        <f>IF(M31="","",VLOOKUP(N31,Table1[],2,TRUE))</f>
        <v/>
      </c>
      <c r="P31" s="88" t="str">
        <f t="shared" si="1"/>
        <v/>
      </c>
      <c r="Q31" s="94" t="str">
        <f t="shared" si="4"/>
        <v/>
      </c>
      <c r="R31" s="82" t="str">
        <f>IF(P31="","",VLOOKUP(Q31,Table1[],2,TRUE))</f>
        <v/>
      </c>
      <c r="S31" s="90" t="str">
        <f>IF(AND(N31="",Q31=""),"",IF(OR(N31="-",Q31="-"),"-",IF(AND(N$3&lt;&gt;0,Q$3&lt;&gt;0),VLOOKUP(AVERAGE(N31,Q31),Table1[],2,TRUE),IF(AND(N$3&lt;&gt;0,Q$3=0),O31,R31))))</f>
        <v/>
      </c>
      <c r="T31" s="70"/>
      <c r="U31" s="70" t="str">
        <f t="shared" si="3"/>
        <v/>
      </c>
      <c r="V31" s="72" t="s">
        <v>18</v>
      </c>
    </row>
    <row r="32" spans="1:22" x14ac:dyDescent="0.25">
      <c r="A32" s="66"/>
      <c r="B32" s="66"/>
      <c r="C32" s="66"/>
      <c r="D32" s="66"/>
      <c r="E32" s="66"/>
      <c r="F32" s="77"/>
      <c r="G32" s="66"/>
      <c r="H32" s="66"/>
      <c r="I32" s="66"/>
      <c r="J32" s="66"/>
      <c r="K32" s="77"/>
      <c r="L32" s="66"/>
      <c r="M32" s="106" t="str">
        <f t="shared" si="0"/>
        <v/>
      </c>
      <c r="N32" s="92" t="str">
        <f t="shared" si="2"/>
        <v/>
      </c>
      <c r="O32" s="81" t="str">
        <f>IF(M32="","",VLOOKUP(N32,Table1[],2,TRUE))</f>
        <v/>
      </c>
      <c r="P32" s="88" t="str">
        <f t="shared" si="1"/>
        <v/>
      </c>
      <c r="Q32" s="94" t="str">
        <f t="shared" si="4"/>
        <v/>
      </c>
      <c r="R32" s="82" t="str">
        <f>IF(P32="","",VLOOKUP(Q32,Table1[],2,TRUE))</f>
        <v/>
      </c>
      <c r="S32" s="90" t="str">
        <f>IF(AND(N32="",Q32=""),"",IF(OR(N32="-",Q32="-"),"-",IF(AND(N$3&lt;&gt;0,Q$3&lt;&gt;0),VLOOKUP(AVERAGE(N32,Q32),Table1[],2,TRUE),IF(AND(N$3&lt;&gt;0,Q$3=0),O32,R32))))</f>
        <v/>
      </c>
      <c r="T32" s="70"/>
      <c r="U32" s="70" t="str">
        <f t="shared" si="3"/>
        <v/>
      </c>
      <c r="V32" s="72" t="s">
        <v>18</v>
      </c>
    </row>
    <row r="33" spans="1:22" x14ac:dyDescent="0.25">
      <c r="A33" s="66"/>
      <c r="B33" s="66"/>
      <c r="C33" s="66"/>
      <c r="D33" s="66"/>
      <c r="E33" s="66"/>
      <c r="F33" s="77"/>
      <c r="G33" s="66"/>
      <c r="H33" s="66"/>
      <c r="I33" s="66"/>
      <c r="J33" s="66"/>
      <c r="K33" s="77"/>
      <c r="L33" s="66"/>
      <c r="M33" s="106" t="str">
        <f t="shared" si="0"/>
        <v/>
      </c>
      <c r="N33" s="92" t="str">
        <f t="shared" si="2"/>
        <v/>
      </c>
      <c r="O33" s="81" t="str">
        <f>IF(M33="","",VLOOKUP(N33,Table1[],2,TRUE))</f>
        <v/>
      </c>
      <c r="P33" s="88" t="str">
        <f t="shared" si="1"/>
        <v/>
      </c>
      <c r="Q33" s="94" t="str">
        <f t="shared" si="4"/>
        <v/>
      </c>
      <c r="R33" s="82" t="str">
        <f>IF(P33="","",VLOOKUP(Q33,Table1[],2,TRUE))</f>
        <v/>
      </c>
      <c r="S33" s="90" t="str">
        <f>IF(AND(N33="",Q33=""),"",IF(OR(N33="-",Q33="-"),"-",IF(AND(N$3&lt;&gt;0,Q$3&lt;&gt;0),VLOOKUP(AVERAGE(N33,Q33),Table1[],2,TRUE),IF(AND(N$3&lt;&gt;0,Q$3=0),O33,R33))))</f>
        <v/>
      </c>
      <c r="T33" s="70"/>
      <c r="U33" s="70" t="str">
        <f t="shared" si="3"/>
        <v/>
      </c>
      <c r="V33" s="72" t="s">
        <v>18</v>
      </c>
    </row>
    <row r="34" spans="1:22" x14ac:dyDescent="0.25">
      <c r="A34" s="66"/>
      <c r="B34" s="66"/>
      <c r="C34" s="66"/>
      <c r="D34" s="66"/>
      <c r="E34" s="66"/>
      <c r="F34" s="77"/>
      <c r="G34" s="66"/>
      <c r="H34" s="66"/>
      <c r="I34" s="66"/>
      <c r="J34" s="66"/>
      <c r="K34" s="77"/>
      <c r="L34" s="66"/>
      <c r="M34" s="106" t="str">
        <f t="shared" si="0"/>
        <v/>
      </c>
      <c r="N34" s="92" t="str">
        <f t="shared" si="2"/>
        <v/>
      </c>
      <c r="O34" s="81" t="str">
        <f>IF(M34="","",VLOOKUP(N34,Table1[],2,TRUE))</f>
        <v/>
      </c>
      <c r="P34" s="88" t="str">
        <f t="shared" si="1"/>
        <v/>
      </c>
      <c r="Q34" s="94" t="str">
        <f t="shared" si="4"/>
        <v/>
      </c>
      <c r="R34" s="82" t="str">
        <f>IF(P34="","",VLOOKUP(Q34,Table1[],2,TRUE))</f>
        <v/>
      </c>
      <c r="S34" s="90" t="str">
        <f>IF(AND(N34="",Q34=""),"",IF(OR(N34="-",Q34="-"),"-",IF(AND(N$3&lt;&gt;0,Q$3&lt;&gt;0),VLOOKUP(AVERAGE(N34,Q34),Table1[],2,TRUE),IF(AND(N$3&lt;&gt;0,Q$3=0),O34,R34))))</f>
        <v/>
      </c>
      <c r="T34" s="70"/>
      <c r="U34" s="70" t="str">
        <f t="shared" si="3"/>
        <v/>
      </c>
      <c r="V34" s="72" t="s">
        <v>18</v>
      </c>
    </row>
    <row r="35" spans="1:22" x14ac:dyDescent="0.25">
      <c r="A35" s="66"/>
      <c r="B35" s="66"/>
      <c r="C35" s="66"/>
      <c r="D35" s="66"/>
      <c r="E35" s="66"/>
      <c r="F35" s="77"/>
      <c r="G35" s="66"/>
      <c r="H35" s="66"/>
      <c r="I35" s="66"/>
      <c r="J35" s="66"/>
      <c r="K35" s="77"/>
      <c r="L35" s="66"/>
      <c r="M35" s="106" t="str">
        <f t="shared" si="0"/>
        <v/>
      </c>
      <c r="N35" s="92" t="str">
        <f t="shared" si="2"/>
        <v/>
      </c>
      <c r="O35" s="81" t="str">
        <f>IF(M35="","",VLOOKUP(N35,Table1[],2,TRUE))</f>
        <v/>
      </c>
      <c r="P35" s="88" t="str">
        <f t="shared" si="1"/>
        <v/>
      </c>
      <c r="Q35" s="94" t="str">
        <f t="shared" si="4"/>
        <v/>
      </c>
      <c r="R35" s="82" t="str">
        <f>IF(P35="","",VLOOKUP(Q35,Table1[],2,TRUE))</f>
        <v/>
      </c>
      <c r="S35" s="90" t="str">
        <f>IF(AND(N35="",Q35=""),"",IF(OR(N35="-",Q35="-"),"-",IF(AND(N$3&lt;&gt;0,Q$3&lt;&gt;0),VLOOKUP(AVERAGE(N35,Q35),Table1[],2,TRUE),IF(AND(N$3&lt;&gt;0,Q$3=0),O35,R35))))</f>
        <v/>
      </c>
      <c r="T35" s="70"/>
      <c r="U35" s="70" t="str">
        <f t="shared" si="3"/>
        <v/>
      </c>
      <c r="V35" s="72" t="s">
        <v>18</v>
      </c>
    </row>
    <row r="36" spans="1:22" x14ac:dyDescent="0.25">
      <c r="A36" s="66"/>
      <c r="B36" s="66"/>
      <c r="C36" s="66"/>
      <c r="D36" s="66"/>
      <c r="E36" s="66"/>
      <c r="F36" s="77"/>
      <c r="G36" s="66"/>
      <c r="H36" s="66"/>
      <c r="I36" s="66"/>
      <c r="J36" s="66"/>
      <c r="K36" s="77"/>
      <c r="L36" s="66"/>
      <c r="M36" s="106" t="str">
        <f t="shared" si="0"/>
        <v/>
      </c>
      <c r="N36" s="92" t="str">
        <f t="shared" si="2"/>
        <v/>
      </c>
      <c r="O36" s="81" t="str">
        <f>IF(M36="","",VLOOKUP(N36,Table1[],2,TRUE))</f>
        <v/>
      </c>
      <c r="P36" s="88" t="str">
        <f t="shared" si="1"/>
        <v/>
      </c>
      <c r="Q36" s="94" t="str">
        <f t="shared" si="4"/>
        <v/>
      </c>
      <c r="R36" s="82" t="str">
        <f>IF(P36="","",VLOOKUP(Q36,Table1[],2,TRUE))</f>
        <v/>
      </c>
      <c r="S36" s="90" t="str">
        <f>IF(AND(N36="",Q36=""),"",IF(OR(N36="-",Q36="-"),"-",IF(AND(N$3&lt;&gt;0,Q$3&lt;&gt;0),VLOOKUP(AVERAGE(N36,Q36),Table1[],2,TRUE),IF(AND(N$3&lt;&gt;0,Q$3=0),O36,R36))))</f>
        <v/>
      </c>
      <c r="T36" s="70"/>
      <c r="U36" s="70" t="str">
        <f t="shared" si="3"/>
        <v/>
      </c>
      <c r="V36" s="72" t="s">
        <v>18</v>
      </c>
    </row>
    <row r="37" spans="1:22" x14ac:dyDescent="0.25">
      <c r="A37" s="66"/>
      <c r="B37" s="66"/>
      <c r="C37" s="66"/>
      <c r="D37" s="66"/>
      <c r="E37" s="66"/>
      <c r="F37" s="77"/>
      <c r="G37" s="66"/>
      <c r="H37" s="66"/>
      <c r="I37" s="66"/>
      <c r="J37" s="66"/>
      <c r="K37" s="77"/>
      <c r="L37" s="66"/>
      <c r="M37" s="106" t="str">
        <f t="shared" si="0"/>
        <v/>
      </c>
      <c r="N37" s="92" t="str">
        <f t="shared" si="2"/>
        <v/>
      </c>
      <c r="O37" s="81" t="str">
        <f>IF(M37="","",VLOOKUP(N37,Table1[],2,TRUE))</f>
        <v/>
      </c>
      <c r="P37" s="88" t="str">
        <f t="shared" si="1"/>
        <v/>
      </c>
      <c r="Q37" s="94" t="str">
        <f t="shared" si="4"/>
        <v/>
      </c>
      <c r="R37" s="82" t="str">
        <f>IF(P37="","",VLOOKUP(Q37,Table1[],2,TRUE))</f>
        <v/>
      </c>
      <c r="S37" s="90" t="str">
        <f>IF(AND(N37="",Q37=""),"",IF(OR(N37="-",Q37="-"),"-",IF(AND(N$3&lt;&gt;0,Q$3&lt;&gt;0),VLOOKUP(AVERAGE(N37,Q37),Table1[],2,TRUE),IF(AND(N$3&lt;&gt;0,Q$3=0),O37,R37))))</f>
        <v/>
      </c>
      <c r="T37" s="70"/>
      <c r="U37" s="70" t="str">
        <f t="shared" si="3"/>
        <v/>
      </c>
      <c r="V37" s="72" t="s">
        <v>18</v>
      </c>
    </row>
    <row r="38" spans="1:22" x14ac:dyDescent="0.25">
      <c r="A38" s="66"/>
      <c r="B38" s="66"/>
      <c r="C38" s="66"/>
      <c r="D38" s="66"/>
      <c r="E38" s="66"/>
      <c r="F38" s="77"/>
      <c r="G38" s="66"/>
      <c r="H38" s="66"/>
      <c r="I38" s="66"/>
      <c r="J38" s="66"/>
      <c r="K38" s="77"/>
      <c r="L38" s="66"/>
      <c r="M38" s="106" t="str">
        <f t="shared" si="0"/>
        <v/>
      </c>
      <c r="N38" s="92" t="str">
        <f t="shared" si="2"/>
        <v/>
      </c>
      <c r="O38" s="81" t="str">
        <f>IF(M38="","",VLOOKUP(N38,Table1[],2,TRUE))</f>
        <v/>
      </c>
      <c r="P38" s="88" t="str">
        <f t="shared" si="1"/>
        <v/>
      </c>
      <c r="Q38" s="94" t="str">
        <f t="shared" si="4"/>
        <v/>
      </c>
      <c r="R38" s="82" t="str">
        <f>IF(P38="","",VLOOKUP(Q38,Table1[],2,TRUE))</f>
        <v/>
      </c>
      <c r="S38" s="90" t="str">
        <f>IF(AND(N38="",Q38=""),"",IF(OR(N38="-",Q38="-"),"-",IF(AND(N$3&lt;&gt;0,Q$3&lt;&gt;0),VLOOKUP(AVERAGE(N38,Q38),Table1[],2,TRUE),IF(AND(N$3&lt;&gt;0,Q$3=0),O38,R38))))</f>
        <v/>
      </c>
      <c r="T38" s="70"/>
      <c r="U38" s="70" t="str">
        <f t="shared" si="3"/>
        <v/>
      </c>
      <c r="V38" s="72" t="s">
        <v>18</v>
      </c>
    </row>
    <row r="39" spans="1:22" x14ac:dyDescent="0.25">
      <c r="A39" s="66"/>
      <c r="B39" s="66"/>
      <c r="C39" s="66"/>
      <c r="D39" s="66"/>
      <c r="E39" s="66"/>
      <c r="F39" s="77"/>
      <c r="G39" s="66"/>
      <c r="H39" s="66"/>
      <c r="I39" s="66"/>
      <c r="J39" s="66"/>
      <c r="K39" s="77"/>
      <c r="L39" s="66"/>
      <c r="M39" s="106" t="str">
        <f t="shared" si="0"/>
        <v/>
      </c>
      <c r="N39" s="92" t="str">
        <f t="shared" si="2"/>
        <v/>
      </c>
      <c r="O39" s="81" t="str">
        <f>IF(M39="","",VLOOKUP(N39,Table1[],2,TRUE))</f>
        <v/>
      </c>
      <c r="P39" s="88" t="str">
        <f t="shared" si="1"/>
        <v/>
      </c>
      <c r="Q39" s="94" t="str">
        <f t="shared" si="4"/>
        <v/>
      </c>
      <c r="R39" s="82" t="str">
        <f>IF(P39="","",VLOOKUP(Q39,Table1[],2,TRUE))</f>
        <v/>
      </c>
      <c r="S39" s="90" t="str">
        <f>IF(AND(N39="",Q39=""),"",IF(OR(N39="-",Q39="-"),"-",IF(AND(N$3&lt;&gt;0,Q$3&lt;&gt;0),VLOOKUP(AVERAGE(N39,Q39),Table1[],2,TRUE),IF(AND(N$3&lt;&gt;0,Q$3=0),O39,R39))))</f>
        <v/>
      </c>
      <c r="T39" s="70"/>
      <c r="U39" s="70" t="str">
        <f t="shared" si="3"/>
        <v/>
      </c>
      <c r="V39" s="72" t="s">
        <v>18</v>
      </c>
    </row>
    <row r="40" spans="1:22" ht="15.75" thickBot="1" x14ac:dyDescent="0.3">
      <c r="A40" s="78"/>
      <c r="B40" s="78"/>
      <c r="C40" s="78"/>
      <c r="D40" s="78"/>
      <c r="E40" s="78"/>
      <c r="F40" s="79"/>
      <c r="G40" s="78"/>
      <c r="H40" s="78"/>
      <c r="I40" s="78"/>
      <c r="J40" s="78"/>
      <c r="K40" s="79"/>
      <c r="L40" s="102"/>
      <c r="M40" s="107" t="str">
        <f t="shared" si="0"/>
        <v/>
      </c>
      <c r="N40" s="93" t="str">
        <f>IF(M40="","",IF(M40="-","-",M40/N$3))</f>
        <v/>
      </c>
      <c r="O40" s="83" t="str">
        <f>IF(M40="","",VLOOKUP(N40,Table1[],2,TRUE))</f>
        <v/>
      </c>
      <c r="P40" s="89" t="str">
        <f t="shared" si="1"/>
        <v/>
      </c>
      <c r="Q40" s="95" t="str">
        <f>IF(P40="","",IF(P40="-", "-",P40/Q$3))</f>
        <v/>
      </c>
      <c r="R40" s="84" t="str">
        <f>IF(P40="","",VLOOKUP(Q40,Table1[],2,TRUE))</f>
        <v/>
      </c>
      <c r="S40" s="91" t="str">
        <f>IF(AND(N40="",Q40=""),"",IF(OR(N40="-",Q40="-"),"-",IF(AND(N$3&lt;&gt;0,Q$3&lt;&gt;0),VLOOKUP(AVERAGE(N40,Q40),Table1[],2,TRUE),IF(AND(N$3&lt;&gt;0,Q$3=0),O40,R40))))</f>
        <v/>
      </c>
      <c r="T40" s="85"/>
      <c r="U40" s="86" t="str">
        <f t="shared" si="3"/>
        <v/>
      </c>
      <c r="V40" s="76" t="s">
        <v>18</v>
      </c>
    </row>
    <row r="41" spans="1:22" x14ac:dyDescent="0.25">
      <c r="F41" s="9"/>
      <c r="G41" s="9"/>
      <c r="H41" s="9"/>
      <c r="I41" s="9"/>
      <c r="J41" s="9"/>
      <c r="L41" s="9"/>
      <c r="N41" s="9"/>
      <c r="Q41" s="9"/>
      <c r="T41" s="9"/>
      <c r="U41" s="9"/>
      <c r="V41" s="9"/>
    </row>
    <row r="42" spans="1:22" x14ac:dyDescent="0.25">
      <c r="F42" s="9"/>
      <c r="G42" s="9"/>
      <c r="H42" s="9"/>
      <c r="I42" s="9"/>
      <c r="J42" s="9"/>
      <c r="L42" s="9"/>
      <c r="N42" s="9"/>
      <c r="Q42" s="9"/>
      <c r="T42" s="9"/>
      <c r="U42" s="9"/>
      <c r="V42" s="9"/>
    </row>
    <row r="43" spans="1:22" x14ac:dyDescent="0.25">
      <c r="F43" s="9"/>
      <c r="G43" s="9"/>
      <c r="H43" s="9"/>
      <c r="I43" s="9"/>
      <c r="J43" s="9"/>
      <c r="L43" s="9"/>
      <c r="N43" s="9"/>
      <c r="Q43" s="9"/>
      <c r="T43" s="9"/>
      <c r="U43" s="9"/>
      <c r="V43" s="9"/>
    </row>
    <row r="44" spans="1:22" x14ac:dyDescent="0.25">
      <c r="F44" s="9"/>
      <c r="G44" s="9"/>
      <c r="H44" s="9"/>
      <c r="I44" s="9"/>
      <c r="J44" s="9"/>
      <c r="L44" s="9"/>
      <c r="N44" s="9"/>
      <c r="Q44" s="9"/>
      <c r="T44" s="9"/>
      <c r="U44" s="9"/>
      <c r="V44" s="9"/>
    </row>
    <row r="45" spans="1:22" x14ac:dyDescent="0.25">
      <c r="F45" s="9"/>
      <c r="G45" s="9"/>
      <c r="H45" s="9"/>
      <c r="I45" s="9"/>
      <c r="J45" s="9"/>
      <c r="L45" s="9"/>
      <c r="N45" s="9"/>
      <c r="Q45" s="9"/>
      <c r="T45" s="9"/>
      <c r="U45" s="9"/>
      <c r="V45" s="9"/>
    </row>
    <row r="46" spans="1:22" x14ac:dyDescent="0.25">
      <c r="F46" s="9"/>
      <c r="G46" s="9"/>
      <c r="H46" s="9"/>
      <c r="I46" s="9"/>
      <c r="J46" s="9"/>
      <c r="L46" s="9"/>
      <c r="N46" s="9"/>
      <c r="Q46" s="9"/>
      <c r="T46" s="9"/>
      <c r="U46" s="9"/>
    </row>
    <row r="47" spans="1:22" x14ac:dyDescent="0.25">
      <c r="F47" s="9"/>
      <c r="G47" s="9"/>
      <c r="H47" s="9"/>
      <c r="I47" s="9"/>
      <c r="J47" s="9"/>
      <c r="L47" s="9"/>
      <c r="N47" s="9"/>
      <c r="Q47" s="9"/>
      <c r="T47" s="9"/>
      <c r="U47" s="9"/>
    </row>
    <row r="48" spans="1:22" x14ac:dyDescent="0.25">
      <c r="F48" s="9"/>
      <c r="G48" s="9"/>
      <c r="H48" s="9"/>
      <c r="I48" s="9"/>
      <c r="J48" s="9"/>
      <c r="L48" s="9"/>
      <c r="N48" s="9"/>
      <c r="Q48" s="9"/>
      <c r="T48" s="9"/>
      <c r="U48" s="9"/>
    </row>
    <row r="49" spans="6:21" x14ac:dyDescent="0.25">
      <c r="F49" s="9"/>
      <c r="G49" s="9"/>
      <c r="H49" s="9"/>
      <c r="I49" s="9"/>
      <c r="J49" s="9"/>
      <c r="L49" s="9"/>
      <c r="N49" s="9"/>
      <c r="Q49" s="9"/>
      <c r="T49" s="9"/>
      <c r="U49" s="9"/>
    </row>
    <row r="50" spans="6:21" x14ac:dyDescent="0.25">
      <c r="F50" s="9"/>
      <c r="G50" s="9"/>
      <c r="H50" s="9"/>
      <c r="I50" s="9"/>
      <c r="J50" s="9"/>
      <c r="L50" s="9"/>
      <c r="N50" s="9"/>
      <c r="Q50" s="9"/>
      <c r="T50" s="9"/>
      <c r="U50" s="9"/>
    </row>
    <row r="51" spans="6:21" x14ac:dyDescent="0.25">
      <c r="F51" s="9"/>
      <c r="G51" s="9"/>
      <c r="H51" s="9"/>
      <c r="I51" s="9"/>
      <c r="J51" s="9"/>
      <c r="L51" s="9"/>
      <c r="N51" s="9"/>
      <c r="Q51" s="9"/>
      <c r="T51" s="9"/>
      <c r="U51" s="9"/>
    </row>
    <row r="52" spans="6:21" x14ac:dyDescent="0.25">
      <c r="F52" s="9"/>
      <c r="G52" s="9"/>
      <c r="H52" s="9"/>
      <c r="I52" s="9"/>
      <c r="J52" s="9"/>
      <c r="L52" s="9"/>
      <c r="N52" s="9"/>
      <c r="Q52" s="9"/>
      <c r="T52" s="9"/>
      <c r="U52" s="9"/>
    </row>
    <row r="53" spans="6:21" x14ac:dyDescent="0.25">
      <c r="F53" s="9"/>
      <c r="G53" s="9"/>
      <c r="H53" s="9"/>
      <c r="I53" s="9"/>
      <c r="J53" s="9"/>
      <c r="L53" s="9"/>
      <c r="N53" s="9"/>
      <c r="Q53" s="9"/>
      <c r="T53" s="9"/>
      <c r="U53" s="9"/>
    </row>
    <row r="54" spans="6:21" x14ac:dyDescent="0.25">
      <c r="F54" s="9"/>
      <c r="G54" s="9"/>
      <c r="H54" s="9"/>
      <c r="I54" s="9"/>
      <c r="J54" s="9"/>
      <c r="L54" s="9"/>
      <c r="N54" s="9"/>
      <c r="Q54" s="9"/>
      <c r="T54" s="9"/>
      <c r="U54" s="9"/>
    </row>
    <row r="55" spans="6:21" x14ac:dyDescent="0.25">
      <c r="F55" s="9"/>
      <c r="G55" s="9"/>
      <c r="H55" s="9"/>
      <c r="I55" s="9"/>
      <c r="J55" s="9"/>
      <c r="L55" s="9"/>
      <c r="N55" s="9"/>
      <c r="Q55" s="9"/>
      <c r="T55" s="9"/>
      <c r="U55" s="9"/>
    </row>
    <row r="56" spans="6:21" x14ac:dyDescent="0.25">
      <c r="F56" s="9"/>
      <c r="G56" s="9"/>
      <c r="H56" s="9"/>
      <c r="I56" s="9"/>
      <c r="J56" s="9"/>
      <c r="L56" s="9"/>
      <c r="N56" s="9"/>
      <c r="Q56" s="9"/>
      <c r="T56" s="9"/>
      <c r="U56" s="9"/>
    </row>
    <row r="57" spans="6:21" x14ac:dyDescent="0.25">
      <c r="F57" s="9"/>
      <c r="G57" s="9"/>
      <c r="H57" s="9"/>
      <c r="I57" s="9"/>
      <c r="J57" s="9"/>
      <c r="L57" s="9"/>
      <c r="N57" s="9"/>
      <c r="Q57" s="9"/>
      <c r="T57" s="9"/>
      <c r="U57" s="9"/>
    </row>
    <row r="58" spans="6:21" x14ac:dyDescent="0.25">
      <c r="F58" s="9"/>
      <c r="G58" s="9"/>
      <c r="H58" s="9"/>
      <c r="I58" s="9"/>
      <c r="J58" s="9"/>
      <c r="L58" s="9"/>
      <c r="N58" s="9"/>
      <c r="Q58" s="9"/>
      <c r="T58" s="9"/>
      <c r="U58" s="9"/>
    </row>
    <row r="59" spans="6:21" x14ac:dyDescent="0.25">
      <c r="F59" s="9"/>
      <c r="G59" s="9"/>
      <c r="H59" s="9"/>
      <c r="I59" s="9"/>
      <c r="J59" s="9"/>
      <c r="L59" s="9"/>
      <c r="N59" s="9"/>
      <c r="Q59" s="9"/>
      <c r="T59" s="9"/>
      <c r="U59" s="9"/>
    </row>
    <row r="60" spans="6:21" x14ac:dyDescent="0.25">
      <c r="F60" s="9"/>
      <c r="G60" s="9"/>
      <c r="H60" s="9"/>
      <c r="I60" s="9"/>
      <c r="J60" s="9"/>
      <c r="L60" s="9"/>
      <c r="N60" s="9"/>
      <c r="Q60" s="9"/>
      <c r="T60" s="9"/>
      <c r="U60" s="9"/>
    </row>
    <row r="61" spans="6:21" x14ac:dyDescent="0.25">
      <c r="F61" s="9"/>
      <c r="G61" s="9"/>
      <c r="H61" s="9"/>
      <c r="I61" s="9"/>
      <c r="J61" s="9"/>
      <c r="L61" s="9"/>
      <c r="N61" s="9"/>
      <c r="Q61" s="9"/>
      <c r="T61" s="9"/>
      <c r="U61" s="9"/>
    </row>
    <row r="62" spans="6:21" x14ac:dyDescent="0.25">
      <c r="F62" s="9"/>
      <c r="G62" s="9"/>
      <c r="H62" s="9"/>
      <c r="I62" s="9"/>
      <c r="J62" s="9"/>
      <c r="L62" s="9"/>
      <c r="N62" s="9"/>
      <c r="Q62" s="9"/>
      <c r="T62" s="9"/>
      <c r="U62" s="9"/>
    </row>
    <row r="63" spans="6:21" x14ac:dyDescent="0.25">
      <c r="F63" s="9"/>
      <c r="G63" s="9"/>
      <c r="H63" s="9"/>
      <c r="I63" s="9"/>
      <c r="J63" s="9"/>
      <c r="L63" s="9"/>
      <c r="N63" s="9"/>
      <c r="Q63" s="9"/>
      <c r="T63" s="9"/>
      <c r="U63" s="9"/>
    </row>
    <row r="64" spans="6:21" x14ac:dyDescent="0.25">
      <c r="F64" s="9"/>
      <c r="G64" s="9"/>
      <c r="H64" s="9"/>
      <c r="I64" s="9"/>
      <c r="J64" s="9"/>
      <c r="L64" s="9"/>
      <c r="N64" s="9"/>
      <c r="Q64" s="9"/>
      <c r="T64" s="9"/>
      <c r="U64" s="9"/>
    </row>
    <row r="65" spans="6:21" x14ac:dyDescent="0.25">
      <c r="F65" s="9"/>
      <c r="G65" s="9"/>
      <c r="H65" s="9"/>
      <c r="I65" s="9"/>
      <c r="J65" s="9"/>
      <c r="L65" s="9"/>
      <c r="N65" s="9"/>
      <c r="Q65" s="9"/>
      <c r="T65" s="9"/>
      <c r="U65" s="9"/>
    </row>
    <row r="66" spans="6:21" x14ac:dyDescent="0.25">
      <c r="F66" s="9"/>
      <c r="G66" s="9"/>
      <c r="H66" s="9"/>
      <c r="I66" s="9"/>
      <c r="J66" s="9"/>
      <c r="L66" s="9"/>
      <c r="N66" s="9"/>
      <c r="Q66" s="9"/>
      <c r="T66" s="9"/>
      <c r="U66" s="9"/>
    </row>
    <row r="67" spans="6:21" x14ac:dyDescent="0.25">
      <c r="F67" s="9"/>
      <c r="G67" s="9"/>
      <c r="H67" s="9"/>
      <c r="I67" s="9"/>
      <c r="J67" s="9"/>
      <c r="L67" s="9"/>
      <c r="N67" s="9"/>
      <c r="Q67" s="9"/>
      <c r="T67" s="9"/>
      <c r="U67" s="9"/>
    </row>
    <row r="68" spans="6:21" x14ac:dyDescent="0.25">
      <c r="F68" s="9"/>
      <c r="G68" s="9"/>
      <c r="H68" s="9"/>
      <c r="I68" s="9"/>
      <c r="J68" s="9"/>
      <c r="L68" s="9"/>
      <c r="N68" s="9"/>
      <c r="Q68" s="9"/>
      <c r="T68" s="9"/>
      <c r="U68" s="9"/>
    </row>
    <row r="69" spans="6:21" x14ac:dyDescent="0.25">
      <c r="F69" s="9"/>
      <c r="G69" s="9"/>
      <c r="H69" s="9"/>
      <c r="I69" s="9"/>
      <c r="J69" s="9"/>
      <c r="L69" s="9"/>
      <c r="N69" s="9"/>
      <c r="Q69" s="9"/>
      <c r="T69" s="9"/>
      <c r="U69" s="9"/>
    </row>
    <row r="70" spans="6:21" x14ac:dyDescent="0.25">
      <c r="F70" s="9"/>
      <c r="G70" s="9"/>
      <c r="H70" s="9"/>
      <c r="I70" s="9"/>
      <c r="J70" s="9"/>
      <c r="L70" s="9"/>
      <c r="N70" s="9"/>
      <c r="Q70" s="9"/>
      <c r="T70" s="9"/>
      <c r="U70" s="9"/>
    </row>
    <row r="71" spans="6:21" x14ac:dyDescent="0.25">
      <c r="F71" s="9"/>
      <c r="G71" s="9"/>
      <c r="H71" s="9"/>
      <c r="I71" s="9"/>
      <c r="J71" s="9"/>
      <c r="L71" s="9"/>
      <c r="N71" s="9"/>
      <c r="Q71" s="9"/>
      <c r="T71" s="9"/>
      <c r="U71" s="9"/>
    </row>
    <row r="72" spans="6:21" x14ac:dyDescent="0.25">
      <c r="F72" s="9"/>
      <c r="G72" s="9"/>
      <c r="H72" s="9"/>
      <c r="I72" s="9"/>
      <c r="J72" s="9"/>
      <c r="L72" s="9"/>
      <c r="N72" s="9"/>
      <c r="Q72" s="9"/>
      <c r="T72" s="9"/>
      <c r="U72" s="9"/>
    </row>
    <row r="73" spans="6:21" x14ac:dyDescent="0.25">
      <c r="F73" s="9"/>
      <c r="G73" s="9"/>
      <c r="H73" s="9"/>
      <c r="I73" s="9"/>
      <c r="J73" s="9"/>
      <c r="L73" s="9"/>
      <c r="N73" s="9"/>
      <c r="Q73" s="9"/>
      <c r="T73" s="9"/>
      <c r="U73" s="9"/>
    </row>
    <row r="74" spans="6:21" x14ac:dyDescent="0.25">
      <c r="F74" s="9"/>
      <c r="G74" s="9"/>
      <c r="H74" s="9"/>
      <c r="I74" s="9"/>
      <c r="J74" s="9"/>
      <c r="L74" s="9"/>
      <c r="N74" s="9"/>
      <c r="Q74" s="9"/>
      <c r="T74" s="9"/>
      <c r="U74" s="9"/>
    </row>
    <row r="75" spans="6:21" x14ac:dyDescent="0.25">
      <c r="F75" s="9"/>
      <c r="G75" s="9"/>
      <c r="H75" s="9"/>
      <c r="I75" s="9"/>
      <c r="J75" s="9"/>
      <c r="L75" s="9"/>
      <c r="N75" s="9"/>
      <c r="Q75" s="9"/>
      <c r="T75" s="9"/>
      <c r="U75" s="9"/>
    </row>
    <row r="76" spans="6:21" x14ac:dyDescent="0.25">
      <c r="F76" s="9"/>
      <c r="G76" s="9"/>
      <c r="H76" s="9"/>
      <c r="I76" s="9"/>
      <c r="J76" s="9"/>
      <c r="L76" s="9"/>
      <c r="N76" s="9"/>
      <c r="Q76" s="9"/>
      <c r="T76" s="9"/>
      <c r="U76" s="9"/>
    </row>
    <row r="77" spans="6:21" x14ac:dyDescent="0.25">
      <c r="F77" s="9"/>
      <c r="G77" s="9"/>
      <c r="H77" s="9"/>
      <c r="I77" s="9"/>
      <c r="J77" s="9"/>
      <c r="L77" s="9"/>
      <c r="N77" s="9"/>
      <c r="Q77" s="9"/>
      <c r="T77" s="9"/>
      <c r="U77" s="9"/>
    </row>
    <row r="78" spans="6:21" x14ac:dyDescent="0.25">
      <c r="F78" s="9"/>
      <c r="G78" s="9"/>
      <c r="H78" s="9"/>
      <c r="I78" s="9"/>
      <c r="J78" s="9"/>
      <c r="L78" s="9"/>
      <c r="N78" s="9"/>
      <c r="Q78" s="9"/>
      <c r="T78" s="9"/>
      <c r="U78" s="9"/>
    </row>
    <row r="79" spans="6:21" x14ac:dyDescent="0.25">
      <c r="F79" s="9"/>
      <c r="G79" s="9"/>
      <c r="H79" s="9"/>
      <c r="I79" s="9"/>
      <c r="J79" s="9"/>
      <c r="L79" s="9"/>
      <c r="N79" s="9"/>
      <c r="Q79" s="9"/>
      <c r="T79" s="9"/>
      <c r="U79" s="9"/>
    </row>
    <row r="80" spans="6:21" x14ac:dyDescent="0.25">
      <c r="F80" s="9"/>
      <c r="G80" s="9"/>
      <c r="H80" s="9"/>
      <c r="I80" s="9"/>
      <c r="J80" s="9"/>
      <c r="L80" s="9"/>
      <c r="N80" s="9"/>
      <c r="Q80" s="9"/>
      <c r="T80" s="9"/>
      <c r="U80" s="9"/>
    </row>
    <row r="81" spans="6:21" x14ac:dyDescent="0.25">
      <c r="F81" s="9"/>
      <c r="G81" s="9"/>
      <c r="H81" s="9"/>
      <c r="I81" s="9"/>
      <c r="J81" s="9"/>
      <c r="L81" s="9"/>
      <c r="N81" s="9"/>
      <c r="Q81" s="9"/>
      <c r="T81" s="9"/>
      <c r="U81" s="9"/>
    </row>
    <row r="82" spans="6:21" x14ac:dyDescent="0.25">
      <c r="F82" s="9"/>
      <c r="G82" s="9"/>
      <c r="H82" s="9"/>
      <c r="I82" s="9"/>
      <c r="J82" s="9"/>
      <c r="L82" s="9"/>
      <c r="N82" s="9"/>
      <c r="Q82" s="9"/>
      <c r="T82" s="9"/>
      <c r="U82" s="9"/>
    </row>
    <row r="83" spans="6:21" x14ac:dyDescent="0.25">
      <c r="F83" s="9"/>
      <c r="G83" s="9"/>
      <c r="H83" s="9"/>
      <c r="I83" s="9"/>
      <c r="J83" s="9"/>
      <c r="L83" s="9"/>
      <c r="N83" s="9"/>
      <c r="Q83" s="9"/>
      <c r="T83" s="9"/>
      <c r="U83" s="9"/>
    </row>
    <row r="84" spans="6:21" x14ac:dyDescent="0.25">
      <c r="F84" s="9"/>
      <c r="G84" s="9"/>
      <c r="H84" s="9"/>
      <c r="I84" s="9"/>
      <c r="J84" s="9"/>
      <c r="L84" s="9"/>
      <c r="N84" s="9"/>
      <c r="Q84" s="9"/>
      <c r="T84" s="9"/>
      <c r="U84" s="9"/>
    </row>
    <row r="85" spans="6:21" x14ac:dyDescent="0.25">
      <c r="F85" s="9"/>
      <c r="G85" s="9"/>
      <c r="H85" s="9"/>
      <c r="I85" s="9"/>
      <c r="J85" s="9"/>
      <c r="L85" s="9"/>
      <c r="N85" s="9"/>
      <c r="Q85" s="9"/>
      <c r="T85" s="9"/>
      <c r="U85" s="9"/>
    </row>
    <row r="86" spans="6:21" x14ac:dyDescent="0.25">
      <c r="F86" s="9"/>
      <c r="G86" s="9"/>
      <c r="H86" s="9"/>
      <c r="I86" s="9"/>
      <c r="J86" s="9"/>
      <c r="L86" s="9"/>
      <c r="N86" s="9"/>
      <c r="Q86" s="9"/>
      <c r="T86" s="9"/>
      <c r="U86" s="9"/>
    </row>
    <row r="87" spans="6:21" x14ac:dyDescent="0.25">
      <c r="F87" s="9"/>
      <c r="G87" s="9"/>
      <c r="H87" s="9"/>
      <c r="I87" s="9"/>
      <c r="J87" s="9"/>
      <c r="L87" s="9"/>
      <c r="N87" s="9"/>
      <c r="Q87" s="9"/>
      <c r="T87" s="9"/>
      <c r="U87" s="9"/>
    </row>
    <row r="88" spans="6:21" x14ac:dyDescent="0.25">
      <c r="F88" s="9"/>
      <c r="G88" s="9"/>
      <c r="H88" s="9"/>
      <c r="I88" s="9"/>
      <c r="J88" s="9"/>
      <c r="L88" s="9"/>
      <c r="N88" s="9"/>
      <c r="Q88" s="9"/>
      <c r="T88" s="9"/>
      <c r="U88" s="9"/>
    </row>
    <row r="89" spans="6:21" x14ac:dyDescent="0.25">
      <c r="F89" s="9"/>
      <c r="G89" s="9"/>
      <c r="H89" s="9"/>
      <c r="I89" s="9"/>
      <c r="J89" s="9"/>
      <c r="L89" s="9"/>
      <c r="N89" s="9"/>
      <c r="Q89" s="9"/>
      <c r="T89" s="9"/>
      <c r="U89" s="9"/>
    </row>
    <row r="90" spans="6:21" x14ac:dyDescent="0.25">
      <c r="F90" s="9"/>
      <c r="G90" s="9"/>
      <c r="H90" s="9"/>
      <c r="I90" s="9"/>
      <c r="J90" s="9"/>
      <c r="L90" s="9"/>
      <c r="N90" s="9"/>
      <c r="Q90" s="9"/>
      <c r="T90" s="9"/>
      <c r="U90" s="9"/>
    </row>
    <row r="91" spans="6:21" x14ac:dyDescent="0.25">
      <c r="F91" s="9"/>
      <c r="G91" s="9"/>
      <c r="H91" s="9"/>
      <c r="I91" s="9"/>
      <c r="J91" s="9"/>
      <c r="L91" s="9"/>
      <c r="N91" s="9"/>
      <c r="Q91" s="9"/>
      <c r="T91" s="9"/>
      <c r="U91" s="9"/>
    </row>
    <row r="92" spans="6:21" x14ac:dyDescent="0.25">
      <c r="F92" s="9"/>
      <c r="G92" s="9"/>
      <c r="H92" s="9"/>
      <c r="I92" s="9"/>
      <c r="J92" s="9"/>
      <c r="L92" s="9"/>
      <c r="N92" s="9"/>
      <c r="Q92" s="9"/>
      <c r="T92" s="9"/>
      <c r="U92" s="9"/>
    </row>
    <row r="93" spans="6:21" x14ac:dyDescent="0.25">
      <c r="F93" s="9"/>
      <c r="G93" s="9"/>
      <c r="H93" s="9"/>
      <c r="I93" s="9"/>
      <c r="J93" s="9"/>
      <c r="L93" s="9"/>
      <c r="N93" s="9"/>
      <c r="Q93" s="9"/>
      <c r="T93" s="9"/>
      <c r="U93" s="9"/>
    </row>
    <row r="94" spans="6:21" x14ac:dyDescent="0.25">
      <c r="F94" s="9"/>
      <c r="G94" s="9"/>
      <c r="H94" s="9"/>
      <c r="I94" s="9"/>
      <c r="J94" s="9"/>
      <c r="L94" s="9"/>
      <c r="N94" s="9"/>
      <c r="Q94" s="9"/>
      <c r="T94" s="9"/>
      <c r="U94" s="9"/>
    </row>
    <row r="95" spans="6:21" x14ac:dyDescent="0.25">
      <c r="F95" s="9"/>
      <c r="G95" s="9"/>
      <c r="H95" s="9"/>
      <c r="I95" s="9"/>
      <c r="J95" s="9"/>
      <c r="L95" s="9"/>
      <c r="N95" s="9"/>
      <c r="Q95" s="9"/>
      <c r="T95" s="9"/>
      <c r="U95" s="9"/>
    </row>
    <row r="96" spans="6:21" x14ac:dyDescent="0.25">
      <c r="F96" s="9"/>
      <c r="G96" s="9"/>
      <c r="H96" s="9"/>
      <c r="I96" s="9"/>
      <c r="J96" s="9"/>
      <c r="L96" s="9"/>
      <c r="N96" s="9"/>
      <c r="Q96" s="9"/>
      <c r="T96" s="9"/>
      <c r="U96" s="9"/>
    </row>
    <row r="97" spans="6:21" x14ac:dyDescent="0.25">
      <c r="F97" s="9"/>
      <c r="G97" s="9"/>
      <c r="H97" s="9"/>
      <c r="I97" s="9"/>
      <c r="J97" s="9"/>
      <c r="L97" s="9"/>
      <c r="N97" s="9"/>
      <c r="Q97" s="9"/>
      <c r="T97" s="9"/>
      <c r="U97" s="9"/>
    </row>
    <row r="98" spans="6:21" x14ac:dyDescent="0.25">
      <c r="F98" s="9"/>
      <c r="G98" s="9"/>
      <c r="H98" s="9"/>
      <c r="I98" s="9"/>
      <c r="J98" s="9"/>
      <c r="L98" s="9"/>
      <c r="N98" s="9"/>
      <c r="Q98" s="9"/>
      <c r="T98" s="9"/>
      <c r="U98" s="9"/>
    </row>
    <row r="99" spans="6:21" x14ac:dyDescent="0.25">
      <c r="F99" s="9"/>
      <c r="G99" s="9"/>
      <c r="H99" s="9"/>
      <c r="I99" s="9"/>
      <c r="J99" s="9"/>
      <c r="L99" s="9"/>
      <c r="N99" s="9"/>
      <c r="Q99" s="9"/>
      <c r="T99" s="9"/>
      <c r="U99" s="9"/>
    </row>
    <row r="100" spans="6:21" x14ac:dyDescent="0.25">
      <c r="F100" s="9"/>
      <c r="G100" s="9"/>
      <c r="H100" s="9"/>
      <c r="I100" s="9"/>
      <c r="J100" s="9"/>
      <c r="L100" s="9"/>
      <c r="N100" s="9"/>
      <c r="Q100" s="9"/>
      <c r="T100" s="9"/>
      <c r="U100" s="9"/>
    </row>
    <row r="101" spans="6:21" x14ac:dyDescent="0.25">
      <c r="F101" s="9"/>
      <c r="G101" s="9"/>
      <c r="H101" s="9"/>
      <c r="I101" s="9"/>
      <c r="J101" s="9"/>
      <c r="L101" s="9"/>
      <c r="N101" s="9"/>
      <c r="Q101" s="9"/>
      <c r="T101" s="9"/>
      <c r="U101" s="9"/>
    </row>
    <row r="102" spans="6:21" x14ac:dyDescent="0.25">
      <c r="F102" s="9"/>
      <c r="G102" s="9"/>
      <c r="H102" s="9"/>
      <c r="I102" s="9"/>
      <c r="J102" s="9"/>
      <c r="L102" s="9"/>
      <c r="N102" s="9"/>
      <c r="Q102" s="9"/>
      <c r="T102" s="9"/>
      <c r="U102" s="9"/>
    </row>
    <row r="103" spans="6:21" x14ac:dyDescent="0.25">
      <c r="F103" s="9"/>
      <c r="G103" s="9"/>
      <c r="H103" s="9"/>
      <c r="I103" s="9"/>
      <c r="J103" s="9"/>
      <c r="L103" s="9"/>
      <c r="N103" s="9"/>
      <c r="Q103" s="9"/>
      <c r="T103" s="9"/>
      <c r="U103" s="9"/>
    </row>
    <row r="104" spans="6:21" x14ac:dyDescent="0.25">
      <c r="F104" s="9"/>
      <c r="G104" s="9"/>
      <c r="H104" s="9"/>
      <c r="I104" s="9"/>
      <c r="J104" s="9"/>
      <c r="L104" s="9"/>
      <c r="N104" s="9"/>
      <c r="Q104" s="9"/>
      <c r="T104" s="9"/>
      <c r="U104" s="9"/>
    </row>
    <row r="105" spans="6:21" x14ac:dyDescent="0.25">
      <c r="F105" s="9"/>
      <c r="G105" s="9"/>
      <c r="H105" s="9"/>
      <c r="I105" s="9"/>
      <c r="J105" s="9"/>
      <c r="L105" s="9"/>
      <c r="N105" s="9"/>
      <c r="Q105" s="9"/>
      <c r="T105" s="9"/>
      <c r="U105" s="9"/>
    </row>
    <row r="106" spans="6:21" x14ac:dyDescent="0.25">
      <c r="F106" s="9"/>
      <c r="G106" s="9"/>
      <c r="H106" s="9"/>
      <c r="I106" s="9"/>
      <c r="J106" s="9"/>
      <c r="L106" s="9"/>
      <c r="N106" s="9"/>
      <c r="Q106" s="9"/>
      <c r="T106" s="9"/>
      <c r="U106" s="9"/>
    </row>
    <row r="107" spans="6:21" x14ac:dyDescent="0.25">
      <c r="F107" s="9"/>
      <c r="G107" s="9"/>
      <c r="H107" s="9"/>
      <c r="I107" s="9"/>
      <c r="J107" s="9"/>
      <c r="L107" s="9"/>
      <c r="N107" s="9"/>
      <c r="Q107" s="9"/>
      <c r="T107" s="9"/>
      <c r="U107" s="9"/>
    </row>
    <row r="108" spans="6:21" x14ac:dyDescent="0.25">
      <c r="F108" s="9"/>
      <c r="G108" s="9"/>
      <c r="H108" s="9"/>
      <c r="I108" s="9"/>
      <c r="J108" s="9"/>
      <c r="L108" s="9"/>
      <c r="N108" s="9"/>
      <c r="Q108" s="9"/>
      <c r="T108" s="9"/>
      <c r="U108" s="9"/>
    </row>
    <row r="109" spans="6:21" x14ac:dyDescent="0.25">
      <c r="F109" s="9"/>
      <c r="G109" s="9"/>
      <c r="H109" s="9"/>
      <c r="I109" s="9"/>
      <c r="J109" s="9"/>
      <c r="L109" s="9"/>
      <c r="N109" s="9"/>
      <c r="Q109" s="9"/>
      <c r="T109" s="9"/>
      <c r="U109" s="9"/>
    </row>
    <row r="110" spans="6:21" x14ac:dyDescent="0.25">
      <c r="F110" s="9"/>
      <c r="G110" s="9"/>
      <c r="H110" s="9"/>
      <c r="I110" s="9"/>
      <c r="J110" s="9"/>
      <c r="L110" s="9"/>
      <c r="N110" s="9"/>
      <c r="Q110" s="9"/>
      <c r="T110" s="9"/>
      <c r="U110" s="9"/>
    </row>
    <row r="111" spans="6:21" x14ac:dyDescent="0.25">
      <c r="F111" s="9"/>
      <c r="G111" s="9"/>
      <c r="H111" s="9"/>
      <c r="I111" s="9"/>
      <c r="J111" s="9"/>
      <c r="L111" s="9"/>
      <c r="N111" s="9"/>
      <c r="Q111" s="9"/>
      <c r="T111" s="9"/>
      <c r="U111" s="9"/>
    </row>
    <row r="112" spans="6:21" x14ac:dyDescent="0.25">
      <c r="F112" s="9"/>
      <c r="G112" s="9"/>
      <c r="H112" s="9"/>
      <c r="I112" s="9"/>
      <c r="J112" s="9"/>
      <c r="L112" s="9"/>
      <c r="N112" s="9"/>
      <c r="Q112" s="9"/>
      <c r="T112" s="9"/>
      <c r="U112" s="9"/>
    </row>
    <row r="113" spans="6:21" x14ac:dyDescent="0.25">
      <c r="F113" s="9"/>
      <c r="G113" s="9"/>
      <c r="H113" s="9"/>
      <c r="I113" s="9"/>
      <c r="J113" s="9"/>
      <c r="L113" s="9"/>
      <c r="N113" s="9"/>
      <c r="Q113" s="9"/>
      <c r="T113" s="9"/>
      <c r="U113" s="9"/>
    </row>
    <row r="114" spans="6:21" x14ac:dyDescent="0.25">
      <c r="F114" s="9"/>
      <c r="G114" s="9"/>
      <c r="H114" s="9"/>
      <c r="I114" s="9"/>
      <c r="J114" s="9"/>
      <c r="L114" s="9"/>
      <c r="N114" s="9"/>
      <c r="Q114" s="9"/>
      <c r="T114" s="9"/>
      <c r="U114" s="9"/>
    </row>
    <row r="115" spans="6:21" x14ac:dyDescent="0.25">
      <c r="F115" s="9"/>
      <c r="G115" s="9"/>
      <c r="H115" s="9"/>
      <c r="I115" s="9"/>
      <c r="J115" s="9"/>
      <c r="L115" s="9"/>
      <c r="N115" s="9"/>
      <c r="Q115" s="9"/>
      <c r="T115" s="9"/>
      <c r="U115" s="9"/>
    </row>
    <row r="116" spans="6:21" x14ac:dyDescent="0.25">
      <c r="F116" s="9"/>
      <c r="G116" s="9"/>
      <c r="H116" s="9"/>
      <c r="I116" s="9"/>
      <c r="J116" s="9"/>
      <c r="L116" s="9"/>
      <c r="N116" s="9"/>
      <c r="Q116" s="9"/>
      <c r="T116" s="9"/>
      <c r="U116" s="9"/>
    </row>
    <row r="117" spans="6:21" x14ac:dyDescent="0.25">
      <c r="F117" s="9"/>
      <c r="G117" s="9"/>
      <c r="H117" s="9"/>
      <c r="I117" s="9"/>
      <c r="J117" s="9"/>
      <c r="L117" s="9"/>
      <c r="N117" s="9"/>
      <c r="Q117" s="9"/>
      <c r="T117" s="9"/>
      <c r="U117" s="9"/>
    </row>
    <row r="118" spans="6:21" x14ac:dyDescent="0.25">
      <c r="F118" s="9"/>
      <c r="G118" s="9"/>
      <c r="H118" s="9"/>
      <c r="I118" s="9"/>
      <c r="J118" s="9"/>
      <c r="L118" s="9"/>
      <c r="N118" s="9"/>
      <c r="Q118" s="9"/>
      <c r="T118" s="9"/>
      <c r="U118" s="9"/>
    </row>
    <row r="119" spans="6:21" x14ac:dyDescent="0.25">
      <c r="F119" s="9"/>
      <c r="G119" s="9"/>
      <c r="H119" s="9"/>
      <c r="I119" s="9"/>
      <c r="J119" s="9"/>
      <c r="L119" s="9"/>
      <c r="N119" s="9"/>
      <c r="Q119" s="9"/>
      <c r="T119" s="9"/>
      <c r="U119" s="9"/>
    </row>
    <row r="120" spans="6:21" x14ac:dyDescent="0.25">
      <c r="F120" s="9"/>
      <c r="G120" s="9"/>
      <c r="H120" s="9"/>
      <c r="I120" s="9"/>
      <c r="J120" s="9"/>
      <c r="L120" s="9"/>
      <c r="N120" s="9"/>
      <c r="Q120" s="9"/>
      <c r="T120" s="9"/>
      <c r="U120" s="9"/>
    </row>
    <row r="121" spans="6:21" x14ac:dyDescent="0.25">
      <c r="F121" s="9"/>
      <c r="G121" s="9"/>
      <c r="H121" s="9"/>
      <c r="I121" s="9"/>
      <c r="J121" s="9"/>
      <c r="L121" s="9"/>
      <c r="N121" s="9"/>
      <c r="Q121" s="9"/>
      <c r="T121" s="9"/>
      <c r="U121" s="9"/>
    </row>
    <row r="122" spans="6:21" x14ac:dyDescent="0.25">
      <c r="F122" s="9"/>
      <c r="G122" s="9"/>
      <c r="H122" s="9"/>
      <c r="I122" s="9"/>
      <c r="J122" s="9"/>
      <c r="L122" s="9"/>
      <c r="N122" s="9"/>
      <c r="Q122" s="9"/>
      <c r="T122" s="9"/>
      <c r="U122" s="9"/>
    </row>
    <row r="123" spans="6:21" x14ac:dyDescent="0.25">
      <c r="F123" s="9"/>
      <c r="G123" s="9"/>
      <c r="H123" s="9"/>
      <c r="I123" s="9"/>
      <c r="J123" s="9"/>
      <c r="L123" s="9"/>
      <c r="N123" s="9"/>
      <c r="Q123" s="9"/>
      <c r="T123" s="9"/>
      <c r="U123" s="9"/>
    </row>
    <row r="124" spans="6:21" x14ac:dyDescent="0.25">
      <c r="F124" s="9"/>
      <c r="G124" s="9"/>
      <c r="H124" s="9"/>
      <c r="I124" s="9"/>
      <c r="J124" s="9"/>
      <c r="L124" s="9"/>
      <c r="N124" s="9"/>
      <c r="Q124" s="9"/>
      <c r="T124" s="9"/>
      <c r="U124" s="9"/>
    </row>
    <row r="125" spans="6:21" x14ac:dyDescent="0.25">
      <c r="F125" s="9"/>
      <c r="G125" s="9"/>
      <c r="H125" s="9"/>
      <c r="I125" s="9"/>
      <c r="J125" s="9"/>
      <c r="L125" s="9"/>
      <c r="N125" s="9"/>
      <c r="Q125" s="9"/>
      <c r="T125" s="9"/>
      <c r="U125" s="9"/>
    </row>
    <row r="126" spans="6:21" x14ac:dyDescent="0.25">
      <c r="F126" s="9"/>
      <c r="G126" s="9"/>
      <c r="H126" s="9"/>
      <c r="I126" s="9"/>
      <c r="J126" s="9"/>
      <c r="L126" s="9"/>
      <c r="N126" s="9"/>
      <c r="Q126" s="9"/>
      <c r="T126" s="9"/>
      <c r="U126" s="9"/>
    </row>
    <row r="127" spans="6:21" x14ac:dyDescent="0.25">
      <c r="F127" s="9"/>
      <c r="G127" s="9"/>
      <c r="H127" s="9"/>
      <c r="I127" s="9"/>
      <c r="J127" s="9"/>
      <c r="L127" s="9"/>
      <c r="N127" s="9"/>
      <c r="Q127" s="9"/>
      <c r="T127" s="9"/>
      <c r="U127" s="9"/>
    </row>
    <row r="128" spans="6:21" x14ac:dyDescent="0.25">
      <c r="F128" s="9"/>
      <c r="G128" s="9"/>
      <c r="H128" s="9"/>
      <c r="I128" s="9"/>
      <c r="J128" s="9"/>
      <c r="L128" s="9"/>
      <c r="N128" s="9"/>
      <c r="Q128" s="9"/>
      <c r="T128" s="9"/>
      <c r="U128" s="9"/>
    </row>
    <row r="129" spans="6:21" x14ac:dyDescent="0.25">
      <c r="F129" s="9"/>
      <c r="G129" s="9"/>
      <c r="H129" s="9"/>
      <c r="I129" s="9"/>
      <c r="J129" s="9"/>
      <c r="L129" s="9"/>
      <c r="N129" s="9"/>
      <c r="Q129" s="9"/>
      <c r="T129" s="9"/>
      <c r="U129" s="9"/>
    </row>
    <row r="130" spans="6:21" x14ac:dyDescent="0.25">
      <c r="F130" s="9"/>
      <c r="G130" s="9"/>
      <c r="H130" s="9"/>
      <c r="I130" s="9"/>
      <c r="J130" s="9"/>
      <c r="L130" s="9"/>
      <c r="N130" s="9"/>
      <c r="Q130" s="9"/>
      <c r="T130" s="9"/>
      <c r="U130" s="9"/>
    </row>
    <row r="131" spans="6:21" x14ac:dyDescent="0.25">
      <c r="F131" s="9"/>
      <c r="G131" s="9"/>
      <c r="H131" s="9"/>
      <c r="I131" s="9"/>
      <c r="J131" s="9"/>
      <c r="L131" s="9"/>
      <c r="N131" s="9"/>
      <c r="Q131" s="9"/>
      <c r="T131" s="9"/>
      <c r="U131" s="9"/>
    </row>
    <row r="132" spans="6:21" x14ac:dyDescent="0.25">
      <c r="F132" s="9"/>
      <c r="G132" s="9"/>
      <c r="H132" s="9"/>
      <c r="I132" s="9"/>
      <c r="J132" s="9"/>
      <c r="L132" s="9"/>
      <c r="N132" s="9"/>
      <c r="Q132" s="9"/>
      <c r="T132" s="9"/>
      <c r="U132" s="9"/>
    </row>
    <row r="133" spans="6:21" x14ac:dyDescent="0.25">
      <c r="F133" s="9"/>
      <c r="G133" s="9"/>
      <c r="H133" s="9"/>
      <c r="I133" s="9"/>
      <c r="J133" s="9"/>
      <c r="L133" s="9"/>
      <c r="N133" s="9"/>
      <c r="Q133" s="9"/>
      <c r="T133" s="9"/>
      <c r="U133" s="9"/>
    </row>
    <row r="134" spans="6:21" x14ac:dyDescent="0.25">
      <c r="F134" s="9"/>
      <c r="G134" s="9"/>
      <c r="H134" s="9"/>
      <c r="I134" s="9"/>
      <c r="J134" s="9"/>
      <c r="L134" s="9"/>
      <c r="N134" s="9"/>
      <c r="Q134" s="9"/>
      <c r="T134" s="9"/>
      <c r="U134" s="9"/>
    </row>
    <row r="135" spans="6:21" x14ac:dyDescent="0.25">
      <c r="F135" s="9"/>
      <c r="G135" s="9"/>
      <c r="H135" s="9"/>
      <c r="I135" s="9"/>
      <c r="J135" s="9"/>
      <c r="L135" s="9"/>
      <c r="N135" s="9"/>
      <c r="Q135" s="9"/>
      <c r="T135" s="9"/>
      <c r="U135" s="9"/>
    </row>
    <row r="136" spans="6:21" x14ac:dyDescent="0.25">
      <c r="F136" s="9"/>
      <c r="G136" s="9"/>
      <c r="H136" s="9"/>
      <c r="I136" s="9"/>
      <c r="J136" s="9"/>
      <c r="L136" s="9"/>
      <c r="N136" s="9"/>
      <c r="Q136" s="9"/>
      <c r="T136" s="9"/>
      <c r="U136" s="9"/>
    </row>
    <row r="137" spans="6:21" x14ac:dyDescent="0.25">
      <c r="F137" s="9"/>
      <c r="G137" s="9"/>
      <c r="H137" s="9"/>
      <c r="I137" s="9"/>
      <c r="J137" s="9"/>
      <c r="L137" s="9"/>
      <c r="N137" s="9"/>
      <c r="Q137" s="9"/>
      <c r="T137" s="9"/>
      <c r="U137" s="9"/>
    </row>
    <row r="138" spans="6:21" x14ac:dyDescent="0.25">
      <c r="F138" s="9"/>
      <c r="G138" s="9"/>
      <c r="H138" s="9"/>
      <c r="I138" s="9"/>
      <c r="J138" s="9"/>
      <c r="L138" s="9"/>
      <c r="N138" s="9"/>
      <c r="Q138" s="9"/>
      <c r="T138" s="9"/>
      <c r="U138" s="9"/>
    </row>
    <row r="139" spans="6:21" x14ac:dyDescent="0.25">
      <c r="F139" s="9"/>
      <c r="G139" s="9"/>
      <c r="H139" s="9"/>
      <c r="I139" s="9"/>
      <c r="J139" s="9"/>
      <c r="L139" s="9"/>
      <c r="N139" s="9"/>
      <c r="Q139" s="9"/>
      <c r="T139" s="9"/>
      <c r="U139" s="9"/>
    </row>
    <row r="140" spans="6:21" x14ac:dyDescent="0.25">
      <c r="F140" s="9"/>
      <c r="G140" s="9"/>
      <c r="H140" s="9"/>
      <c r="I140" s="9"/>
      <c r="J140" s="9"/>
      <c r="L140" s="9"/>
      <c r="N140" s="9"/>
      <c r="Q140" s="9"/>
      <c r="T140" s="9"/>
      <c r="U140" s="9"/>
    </row>
    <row r="141" spans="6:21" x14ac:dyDescent="0.25">
      <c r="F141" s="9"/>
      <c r="G141" s="9"/>
      <c r="H141" s="9"/>
      <c r="I141" s="9"/>
      <c r="J141" s="9"/>
      <c r="L141" s="9"/>
      <c r="N141" s="9"/>
      <c r="Q141" s="9"/>
      <c r="T141" s="9"/>
      <c r="U141" s="9"/>
    </row>
    <row r="142" spans="6:21" x14ac:dyDescent="0.25">
      <c r="F142" s="9"/>
      <c r="G142" s="9"/>
      <c r="H142" s="9"/>
      <c r="I142" s="9"/>
      <c r="J142" s="9"/>
      <c r="L142" s="9"/>
      <c r="N142" s="9"/>
      <c r="Q142" s="9"/>
      <c r="T142" s="9"/>
      <c r="U142" s="9"/>
    </row>
    <row r="143" spans="6:21" x14ac:dyDescent="0.25">
      <c r="F143" s="9"/>
      <c r="G143" s="9"/>
      <c r="H143" s="9"/>
      <c r="I143" s="9"/>
      <c r="J143" s="9"/>
      <c r="L143" s="9"/>
      <c r="N143" s="9"/>
      <c r="Q143" s="9"/>
      <c r="T143" s="9"/>
      <c r="U143" s="9"/>
    </row>
    <row r="144" spans="6:21" x14ac:dyDescent="0.25">
      <c r="F144" s="9"/>
      <c r="G144" s="9"/>
      <c r="H144" s="9"/>
      <c r="I144" s="9"/>
      <c r="J144" s="9"/>
      <c r="L144" s="9"/>
      <c r="N144" s="9"/>
      <c r="Q144" s="9"/>
      <c r="T144" s="9"/>
      <c r="U144" s="9"/>
    </row>
    <row r="145" spans="6:21" x14ac:dyDescent="0.25">
      <c r="F145" s="9"/>
      <c r="G145" s="9"/>
      <c r="H145" s="9"/>
      <c r="I145" s="9"/>
      <c r="J145" s="9"/>
      <c r="L145" s="9"/>
      <c r="N145" s="9"/>
      <c r="Q145" s="9"/>
      <c r="T145" s="9"/>
      <c r="U145" s="9"/>
    </row>
    <row r="146" spans="6:21" x14ac:dyDescent="0.25">
      <c r="F146" s="9"/>
      <c r="G146" s="9"/>
      <c r="H146" s="9"/>
      <c r="I146" s="9"/>
      <c r="J146" s="9"/>
      <c r="L146" s="9"/>
      <c r="N146" s="9"/>
      <c r="Q146" s="9"/>
      <c r="T146" s="9"/>
      <c r="U146" s="9"/>
    </row>
    <row r="147" spans="6:21" x14ac:dyDescent="0.25">
      <c r="F147" s="9"/>
      <c r="G147" s="9"/>
      <c r="H147" s="9"/>
      <c r="I147" s="9"/>
      <c r="J147" s="9"/>
      <c r="L147" s="9"/>
      <c r="N147" s="9"/>
      <c r="Q147" s="9"/>
      <c r="T147" s="9"/>
      <c r="U147" s="9"/>
    </row>
    <row r="148" spans="6:21" x14ac:dyDescent="0.25">
      <c r="F148" s="9"/>
      <c r="G148" s="9"/>
      <c r="H148" s="9"/>
      <c r="I148" s="9"/>
      <c r="J148" s="9"/>
      <c r="L148" s="9"/>
      <c r="N148" s="9"/>
      <c r="Q148" s="9"/>
      <c r="T148" s="9"/>
      <c r="U148" s="9"/>
    </row>
    <row r="149" spans="6:21" x14ac:dyDescent="0.25">
      <c r="F149" s="9"/>
      <c r="G149" s="9"/>
      <c r="H149" s="9"/>
      <c r="I149" s="9"/>
      <c r="J149" s="9"/>
      <c r="L149" s="9"/>
      <c r="N149" s="9"/>
      <c r="Q149" s="9"/>
      <c r="T149" s="9"/>
      <c r="U149" s="9"/>
    </row>
    <row r="150" spans="6:21" x14ac:dyDescent="0.25">
      <c r="F150" s="9"/>
      <c r="G150" s="9"/>
      <c r="H150" s="9"/>
      <c r="I150" s="9"/>
      <c r="J150" s="9"/>
      <c r="L150" s="9"/>
      <c r="N150" s="9"/>
      <c r="Q150" s="9"/>
      <c r="T150" s="9"/>
      <c r="U150" s="9"/>
    </row>
    <row r="151" spans="6:21" x14ac:dyDescent="0.25">
      <c r="F151" s="9"/>
      <c r="G151" s="9"/>
      <c r="H151" s="9"/>
      <c r="I151" s="9"/>
      <c r="J151" s="9"/>
      <c r="L151" s="9"/>
      <c r="N151" s="9"/>
      <c r="Q151" s="9"/>
      <c r="T151" s="9"/>
      <c r="U151" s="9"/>
    </row>
    <row r="152" spans="6:21" x14ac:dyDescent="0.25">
      <c r="F152" s="9"/>
      <c r="G152" s="9"/>
      <c r="H152" s="9"/>
      <c r="I152" s="9"/>
      <c r="J152" s="9"/>
      <c r="L152" s="9"/>
      <c r="N152" s="9"/>
      <c r="Q152" s="9"/>
      <c r="T152" s="9"/>
      <c r="U152" s="9"/>
    </row>
    <row r="153" spans="6:21" x14ac:dyDescent="0.25">
      <c r="F153" s="9"/>
      <c r="G153" s="9"/>
      <c r="H153" s="9"/>
      <c r="I153" s="9"/>
      <c r="J153" s="9"/>
      <c r="L153" s="9"/>
      <c r="N153" s="9"/>
      <c r="Q153" s="9"/>
      <c r="T153" s="9"/>
      <c r="U153" s="9"/>
    </row>
    <row r="154" spans="6:21" x14ac:dyDescent="0.25">
      <c r="F154" s="9"/>
      <c r="G154" s="9"/>
      <c r="H154" s="9"/>
      <c r="I154" s="9"/>
      <c r="J154" s="9"/>
      <c r="L154" s="9"/>
      <c r="N154" s="9"/>
      <c r="Q154" s="9"/>
      <c r="T154" s="9"/>
      <c r="U154" s="9"/>
    </row>
    <row r="155" spans="6:21" x14ac:dyDescent="0.25">
      <c r="F155" s="9"/>
      <c r="G155" s="9"/>
      <c r="H155" s="9"/>
      <c r="I155" s="9"/>
      <c r="J155" s="9"/>
      <c r="L155" s="9"/>
      <c r="N155" s="9"/>
      <c r="Q155" s="9"/>
      <c r="T155" s="9"/>
      <c r="U155" s="9"/>
    </row>
    <row r="156" spans="6:21" x14ac:dyDescent="0.25">
      <c r="F156" s="9"/>
      <c r="G156" s="9"/>
      <c r="H156" s="9"/>
      <c r="I156" s="9"/>
      <c r="J156" s="9"/>
      <c r="L156" s="9"/>
      <c r="N156" s="9"/>
      <c r="Q156" s="9"/>
      <c r="T156" s="9"/>
      <c r="U156" s="9"/>
    </row>
    <row r="157" spans="6:21" x14ac:dyDescent="0.25">
      <c r="F157" s="9"/>
      <c r="G157" s="9"/>
      <c r="H157" s="9"/>
      <c r="I157" s="9"/>
      <c r="J157" s="9"/>
      <c r="L157" s="9"/>
      <c r="N157" s="9"/>
      <c r="Q157" s="9"/>
      <c r="T157" s="9"/>
      <c r="U157" s="9"/>
    </row>
    <row r="158" spans="6:21" x14ac:dyDescent="0.25">
      <c r="F158" s="9"/>
      <c r="G158" s="9"/>
      <c r="H158" s="9"/>
      <c r="I158" s="9"/>
      <c r="J158" s="9"/>
      <c r="L158" s="9"/>
      <c r="N158" s="9"/>
      <c r="Q158" s="9"/>
      <c r="T158" s="9"/>
      <c r="U158" s="9"/>
    </row>
    <row r="159" spans="6:21" x14ac:dyDescent="0.25">
      <c r="F159" s="9"/>
      <c r="G159" s="9"/>
      <c r="H159" s="9"/>
      <c r="I159" s="9"/>
      <c r="J159" s="9"/>
      <c r="L159" s="9"/>
      <c r="N159" s="9"/>
      <c r="Q159" s="9"/>
      <c r="T159" s="9"/>
      <c r="U159" s="9"/>
    </row>
    <row r="160" spans="6:21" x14ac:dyDescent="0.25">
      <c r="F160" s="9"/>
      <c r="G160" s="9"/>
      <c r="H160" s="9"/>
      <c r="I160" s="9"/>
      <c r="J160" s="9"/>
      <c r="L160" s="9"/>
      <c r="N160" s="9"/>
      <c r="Q160" s="9"/>
      <c r="T160" s="9"/>
      <c r="U160" s="9"/>
    </row>
    <row r="161" spans="6:21" x14ac:dyDescent="0.25">
      <c r="F161" s="9"/>
      <c r="G161" s="9"/>
      <c r="H161" s="9"/>
      <c r="I161" s="9"/>
      <c r="J161" s="9"/>
      <c r="L161" s="9"/>
      <c r="N161" s="9"/>
      <c r="Q161" s="9"/>
      <c r="T161" s="9"/>
      <c r="U161" s="9"/>
    </row>
    <row r="162" spans="6:21" x14ac:dyDescent="0.25">
      <c r="F162" s="9"/>
      <c r="G162" s="9"/>
      <c r="H162" s="9"/>
      <c r="I162" s="9"/>
      <c r="J162" s="9"/>
      <c r="L162" s="9"/>
      <c r="N162" s="9"/>
      <c r="Q162" s="9"/>
      <c r="T162" s="9"/>
      <c r="U162" s="9"/>
    </row>
    <row r="163" spans="6:21" x14ac:dyDescent="0.25">
      <c r="F163" s="9"/>
      <c r="G163" s="9"/>
      <c r="H163" s="9"/>
      <c r="I163" s="9"/>
      <c r="J163" s="9"/>
      <c r="L163" s="9"/>
      <c r="N163" s="9"/>
      <c r="Q163" s="9"/>
      <c r="T163" s="9"/>
      <c r="U163" s="9"/>
    </row>
    <row r="164" spans="6:21" x14ac:dyDescent="0.25">
      <c r="F164" s="9"/>
      <c r="G164" s="9"/>
      <c r="H164" s="9"/>
      <c r="I164" s="9"/>
      <c r="J164" s="9"/>
      <c r="L164" s="9"/>
      <c r="N164" s="9"/>
      <c r="Q164" s="9"/>
      <c r="T164" s="9"/>
      <c r="U164" s="9"/>
    </row>
    <row r="165" spans="6:21" x14ac:dyDescent="0.25">
      <c r="F165" s="9"/>
      <c r="G165" s="9"/>
      <c r="H165" s="9"/>
      <c r="I165" s="9"/>
      <c r="J165" s="9"/>
      <c r="L165" s="9"/>
      <c r="N165" s="9"/>
      <c r="Q165" s="9"/>
      <c r="T165" s="9"/>
      <c r="U165" s="9"/>
    </row>
    <row r="166" spans="6:21" x14ac:dyDescent="0.25">
      <c r="F166" s="9"/>
      <c r="G166" s="9"/>
      <c r="H166" s="9"/>
      <c r="I166" s="9"/>
      <c r="J166" s="9"/>
      <c r="L166" s="9"/>
      <c r="N166" s="9"/>
      <c r="Q166" s="9"/>
      <c r="T166" s="9"/>
      <c r="U166" s="9"/>
    </row>
    <row r="167" spans="6:21" x14ac:dyDescent="0.25">
      <c r="F167" s="9"/>
      <c r="G167" s="9"/>
      <c r="H167" s="9"/>
      <c r="I167" s="9"/>
      <c r="J167" s="9"/>
      <c r="L167" s="9"/>
      <c r="N167" s="9"/>
      <c r="Q167" s="9"/>
      <c r="T167" s="9"/>
      <c r="U167" s="9"/>
    </row>
    <row r="168" spans="6:21" x14ac:dyDescent="0.25">
      <c r="F168" s="9"/>
      <c r="G168" s="9"/>
      <c r="H168" s="9"/>
      <c r="I168" s="9"/>
      <c r="J168" s="9"/>
      <c r="L168" s="9"/>
      <c r="N168" s="9"/>
      <c r="Q168" s="9"/>
      <c r="T168" s="9"/>
      <c r="U168" s="9"/>
    </row>
    <row r="169" spans="6:21" x14ac:dyDescent="0.25">
      <c r="F169" s="9"/>
      <c r="G169" s="9"/>
      <c r="H169" s="9"/>
      <c r="I169" s="9"/>
      <c r="J169" s="9"/>
      <c r="L169" s="9"/>
      <c r="N169" s="9"/>
      <c r="Q169" s="9"/>
      <c r="T169" s="9"/>
      <c r="U169" s="9"/>
    </row>
    <row r="170" spans="6:21" x14ac:dyDescent="0.25">
      <c r="F170" s="9"/>
      <c r="G170" s="9"/>
      <c r="H170" s="9"/>
      <c r="I170" s="9"/>
      <c r="J170" s="9"/>
      <c r="L170" s="9"/>
      <c r="N170" s="9"/>
      <c r="Q170" s="9"/>
      <c r="T170" s="9"/>
      <c r="U170" s="9"/>
    </row>
    <row r="171" spans="6:21" x14ac:dyDescent="0.25">
      <c r="F171" s="9"/>
      <c r="G171" s="9"/>
      <c r="H171" s="9"/>
      <c r="I171" s="9"/>
      <c r="J171" s="9"/>
      <c r="L171" s="9"/>
      <c r="N171" s="9"/>
      <c r="Q171" s="9"/>
      <c r="T171" s="9"/>
      <c r="U171" s="9"/>
    </row>
    <row r="172" spans="6:21" x14ac:dyDescent="0.25">
      <c r="F172" s="9"/>
      <c r="G172" s="9"/>
      <c r="H172" s="9"/>
      <c r="I172" s="9"/>
      <c r="J172" s="9"/>
      <c r="L172" s="9"/>
      <c r="N172" s="9"/>
      <c r="Q172" s="9"/>
      <c r="T172" s="9"/>
      <c r="U172" s="9"/>
    </row>
    <row r="173" spans="6:21" x14ac:dyDescent="0.25">
      <c r="F173" s="9"/>
      <c r="G173" s="9"/>
      <c r="H173" s="9"/>
      <c r="I173" s="9"/>
      <c r="J173" s="9"/>
      <c r="L173" s="9"/>
      <c r="N173" s="9"/>
      <c r="Q173" s="9"/>
      <c r="T173" s="9"/>
      <c r="U173" s="9"/>
    </row>
    <row r="174" spans="6:21" x14ac:dyDescent="0.25">
      <c r="F174" s="9"/>
      <c r="G174" s="9"/>
      <c r="H174" s="9"/>
      <c r="I174" s="9"/>
      <c r="J174" s="9"/>
      <c r="L174" s="9"/>
      <c r="N174" s="9"/>
      <c r="Q174" s="9"/>
      <c r="T174" s="9"/>
      <c r="U174" s="9"/>
    </row>
    <row r="175" spans="6:21" x14ac:dyDescent="0.25">
      <c r="F175" s="9"/>
      <c r="G175" s="9"/>
      <c r="H175" s="9"/>
      <c r="I175" s="9"/>
      <c r="J175" s="9"/>
      <c r="L175" s="9"/>
      <c r="N175" s="9"/>
      <c r="Q175" s="9"/>
      <c r="T175" s="9"/>
      <c r="U175" s="9"/>
    </row>
    <row r="176" spans="6:21" x14ac:dyDescent="0.25">
      <c r="F176" s="9"/>
      <c r="G176" s="9"/>
      <c r="H176" s="9"/>
      <c r="I176" s="9"/>
      <c r="J176" s="9"/>
      <c r="L176" s="9"/>
      <c r="N176" s="9"/>
      <c r="Q176" s="9"/>
      <c r="T176" s="9"/>
      <c r="U176" s="9"/>
    </row>
    <row r="177" spans="6:21" x14ac:dyDescent="0.25">
      <c r="F177" s="9"/>
      <c r="G177" s="9"/>
      <c r="H177" s="9"/>
      <c r="I177" s="9"/>
      <c r="J177" s="9"/>
      <c r="L177" s="9"/>
      <c r="N177" s="9"/>
      <c r="Q177" s="9"/>
      <c r="T177" s="9"/>
      <c r="U177" s="9"/>
    </row>
    <row r="178" spans="6:21" x14ac:dyDescent="0.25">
      <c r="F178" s="9"/>
      <c r="G178" s="9"/>
      <c r="H178" s="9"/>
      <c r="I178" s="9"/>
      <c r="J178" s="9"/>
      <c r="L178" s="9"/>
      <c r="N178" s="9"/>
      <c r="Q178" s="9"/>
      <c r="T178" s="9"/>
      <c r="U178" s="9"/>
    </row>
    <row r="179" spans="6:21" x14ac:dyDescent="0.25">
      <c r="F179" s="9"/>
      <c r="G179" s="9"/>
      <c r="H179" s="9"/>
      <c r="I179" s="9"/>
      <c r="J179" s="9"/>
      <c r="L179" s="9"/>
      <c r="N179" s="9"/>
      <c r="Q179" s="9"/>
      <c r="T179" s="9"/>
      <c r="U179" s="9"/>
    </row>
    <row r="180" spans="6:21" x14ac:dyDescent="0.25">
      <c r="F180" s="9"/>
      <c r="G180" s="9"/>
      <c r="H180" s="9"/>
      <c r="I180" s="9"/>
      <c r="J180" s="9"/>
      <c r="L180" s="9"/>
      <c r="N180" s="9"/>
      <c r="Q180" s="9"/>
      <c r="T180" s="9"/>
      <c r="U180" s="9"/>
    </row>
    <row r="181" spans="6:21" x14ac:dyDescent="0.25">
      <c r="F181" s="9"/>
      <c r="G181" s="9"/>
      <c r="H181" s="9"/>
      <c r="I181" s="9"/>
      <c r="J181" s="9"/>
      <c r="L181" s="9"/>
      <c r="N181" s="9"/>
      <c r="Q181" s="9"/>
      <c r="T181" s="9"/>
      <c r="U181" s="9"/>
    </row>
    <row r="182" spans="6:21" x14ac:dyDescent="0.25">
      <c r="F182" s="9"/>
      <c r="G182" s="9"/>
      <c r="H182" s="9"/>
      <c r="I182" s="9"/>
      <c r="J182" s="9"/>
      <c r="L182" s="9"/>
      <c r="N182" s="9"/>
      <c r="Q182" s="9"/>
      <c r="T182" s="9"/>
      <c r="U182" s="9"/>
    </row>
    <row r="183" spans="6:21" x14ac:dyDescent="0.25">
      <c r="F183" s="9"/>
      <c r="G183" s="9"/>
      <c r="H183" s="9"/>
      <c r="I183" s="9"/>
      <c r="J183" s="9"/>
      <c r="L183" s="9"/>
      <c r="N183" s="9"/>
      <c r="Q183" s="9"/>
      <c r="T183" s="9"/>
      <c r="U183" s="9"/>
    </row>
    <row r="184" spans="6:21" x14ac:dyDescent="0.25">
      <c r="F184" s="9"/>
      <c r="G184" s="9"/>
      <c r="H184" s="9"/>
      <c r="I184" s="9"/>
      <c r="J184" s="9"/>
      <c r="L184" s="9"/>
      <c r="N184" s="9"/>
      <c r="Q184" s="9"/>
      <c r="T184" s="9"/>
      <c r="U184" s="9"/>
    </row>
    <row r="185" spans="6:21" x14ac:dyDescent="0.25">
      <c r="F185" s="9"/>
      <c r="G185" s="9"/>
      <c r="H185" s="9"/>
      <c r="I185" s="9"/>
      <c r="J185" s="9"/>
      <c r="L185" s="9"/>
      <c r="N185" s="9"/>
      <c r="Q185" s="9"/>
      <c r="T185" s="9"/>
      <c r="U185" s="9"/>
    </row>
    <row r="186" spans="6:21" x14ac:dyDescent="0.25">
      <c r="F186" s="9"/>
      <c r="G186" s="9"/>
      <c r="H186" s="9"/>
      <c r="I186" s="9"/>
      <c r="J186" s="9"/>
      <c r="L186" s="9"/>
      <c r="N186" s="9"/>
      <c r="Q186" s="9"/>
      <c r="T186" s="9"/>
      <c r="U186" s="9"/>
    </row>
    <row r="187" spans="6:21" x14ac:dyDescent="0.25">
      <c r="F187" s="9"/>
      <c r="G187" s="9"/>
      <c r="H187" s="9"/>
      <c r="I187" s="9"/>
      <c r="J187" s="9"/>
      <c r="L187" s="9"/>
      <c r="N187" s="9"/>
      <c r="Q187" s="9"/>
      <c r="T187" s="9"/>
      <c r="U187" s="9"/>
    </row>
    <row r="188" spans="6:21" x14ac:dyDescent="0.25">
      <c r="F188" s="9"/>
      <c r="G188" s="9"/>
      <c r="H188" s="9"/>
      <c r="I188" s="9"/>
      <c r="J188" s="9"/>
      <c r="L188" s="9"/>
      <c r="N188" s="9"/>
      <c r="Q188" s="9"/>
      <c r="T188" s="9"/>
      <c r="U188" s="9"/>
    </row>
    <row r="189" spans="6:21" x14ac:dyDescent="0.25">
      <c r="F189" s="9"/>
      <c r="G189" s="9"/>
      <c r="H189" s="9"/>
      <c r="I189" s="9"/>
      <c r="J189" s="9"/>
      <c r="L189" s="9"/>
      <c r="N189" s="9"/>
      <c r="Q189" s="9"/>
      <c r="T189" s="9"/>
      <c r="U189" s="9"/>
    </row>
    <row r="190" spans="6:21" x14ac:dyDescent="0.25">
      <c r="F190" s="9"/>
      <c r="G190" s="9"/>
      <c r="H190" s="9"/>
      <c r="I190" s="9"/>
      <c r="J190" s="9"/>
      <c r="L190" s="9"/>
      <c r="N190" s="9"/>
      <c r="Q190" s="9"/>
      <c r="T190" s="9"/>
      <c r="U190" s="9"/>
    </row>
    <row r="191" spans="6:21" x14ac:dyDescent="0.25">
      <c r="F191" s="9"/>
      <c r="G191" s="9"/>
      <c r="H191" s="9"/>
      <c r="I191" s="9"/>
      <c r="J191" s="9"/>
      <c r="L191" s="9"/>
      <c r="N191" s="9"/>
      <c r="Q191" s="9"/>
      <c r="T191" s="9"/>
      <c r="U191" s="9"/>
    </row>
    <row r="192" spans="6:21" x14ac:dyDescent="0.25">
      <c r="F192" s="9"/>
      <c r="G192" s="9"/>
      <c r="H192" s="9"/>
      <c r="I192" s="9"/>
      <c r="J192" s="9"/>
      <c r="L192" s="9"/>
      <c r="N192" s="9"/>
      <c r="Q192" s="9"/>
      <c r="T192" s="9"/>
      <c r="U192" s="9"/>
    </row>
    <row r="193" spans="6:21" x14ac:dyDescent="0.25">
      <c r="F193" s="9"/>
      <c r="G193" s="9"/>
      <c r="H193" s="9"/>
      <c r="I193" s="9"/>
      <c r="J193" s="9"/>
      <c r="L193" s="9"/>
      <c r="N193" s="9"/>
      <c r="Q193" s="9"/>
      <c r="T193" s="9"/>
      <c r="U193" s="9"/>
    </row>
    <row r="194" spans="6:21" x14ac:dyDescent="0.25">
      <c r="F194" s="9"/>
      <c r="G194" s="9"/>
      <c r="H194" s="9"/>
      <c r="I194" s="9"/>
      <c r="J194" s="9"/>
      <c r="L194" s="9"/>
      <c r="N194" s="9"/>
      <c r="Q194" s="9"/>
      <c r="T194" s="9"/>
      <c r="U194" s="9"/>
    </row>
    <row r="195" spans="6:21" x14ac:dyDescent="0.25">
      <c r="F195" s="9"/>
      <c r="G195" s="9"/>
      <c r="H195" s="9"/>
      <c r="I195" s="9"/>
      <c r="J195" s="9"/>
      <c r="L195" s="9"/>
      <c r="N195" s="9"/>
      <c r="Q195" s="9"/>
      <c r="T195" s="9"/>
      <c r="U195" s="9"/>
    </row>
    <row r="196" spans="6:21" x14ac:dyDescent="0.25">
      <c r="F196" s="9"/>
      <c r="G196" s="9"/>
      <c r="H196" s="9"/>
      <c r="I196" s="9"/>
      <c r="J196" s="9"/>
      <c r="L196" s="9"/>
      <c r="N196" s="9"/>
      <c r="Q196" s="9"/>
      <c r="T196" s="9"/>
      <c r="U196" s="9"/>
    </row>
    <row r="197" spans="6:21" x14ac:dyDescent="0.25">
      <c r="F197" s="9"/>
      <c r="G197" s="9"/>
      <c r="H197" s="9"/>
      <c r="I197" s="9"/>
      <c r="J197" s="9"/>
      <c r="L197" s="9"/>
      <c r="N197" s="9"/>
      <c r="Q197" s="9"/>
      <c r="T197" s="9"/>
      <c r="U197" s="9"/>
    </row>
    <row r="198" spans="6:21" x14ac:dyDescent="0.25">
      <c r="F198" s="9"/>
      <c r="G198" s="9"/>
      <c r="H198" s="9"/>
      <c r="I198" s="9"/>
      <c r="J198" s="9"/>
      <c r="L198" s="9"/>
      <c r="N198" s="9"/>
      <c r="Q198" s="9"/>
      <c r="T198" s="9"/>
      <c r="U198" s="9"/>
    </row>
    <row r="199" spans="6:21" x14ac:dyDescent="0.25">
      <c r="F199" s="9"/>
      <c r="G199" s="9"/>
      <c r="H199" s="9"/>
      <c r="I199" s="9"/>
      <c r="J199" s="9"/>
      <c r="L199" s="9"/>
      <c r="N199" s="9"/>
      <c r="Q199" s="9"/>
      <c r="T199" s="9"/>
      <c r="U199" s="9"/>
    </row>
    <row r="200" spans="6:21" x14ac:dyDescent="0.25">
      <c r="F200" s="9"/>
      <c r="G200" s="9"/>
      <c r="H200" s="9"/>
      <c r="I200" s="9"/>
      <c r="J200" s="9"/>
      <c r="L200" s="9"/>
      <c r="N200" s="9"/>
      <c r="Q200" s="9"/>
      <c r="T200" s="9"/>
      <c r="U200" s="9"/>
    </row>
    <row r="201" spans="6:21" x14ac:dyDescent="0.25">
      <c r="F201" s="9"/>
      <c r="G201" s="9"/>
      <c r="H201" s="9"/>
      <c r="I201" s="9"/>
      <c r="J201" s="9"/>
      <c r="L201" s="9"/>
      <c r="N201" s="9"/>
      <c r="Q201" s="9"/>
      <c r="T201" s="9"/>
      <c r="U201" s="9"/>
    </row>
    <row r="202" spans="6:21" x14ac:dyDescent="0.25">
      <c r="F202" s="9"/>
      <c r="G202" s="9"/>
      <c r="H202" s="9"/>
      <c r="I202" s="9"/>
      <c r="J202" s="9"/>
      <c r="L202" s="9"/>
      <c r="N202" s="9"/>
      <c r="Q202" s="9"/>
      <c r="T202" s="9"/>
      <c r="U202" s="9"/>
    </row>
    <row r="203" spans="6:21" x14ac:dyDescent="0.25">
      <c r="F203" s="9"/>
      <c r="G203" s="9"/>
      <c r="H203" s="9"/>
      <c r="I203" s="9"/>
      <c r="J203" s="9"/>
      <c r="L203" s="9"/>
      <c r="N203" s="9"/>
      <c r="Q203" s="9"/>
      <c r="T203" s="9"/>
      <c r="U203" s="9"/>
    </row>
    <row r="204" spans="6:21" x14ac:dyDescent="0.25">
      <c r="F204" s="9"/>
      <c r="G204" s="9"/>
      <c r="H204" s="9"/>
      <c r="I204" s="9"/>
      <c r="J204" s="9"/>
      <c r="L204" s="9"/>
      <c r="N204" s="9"/>
      <c r="Q204" s="9"/>
      <c r="T204" s="9"/>
      <c r="U204" s="9"/>
    </row>
    <row r="205" spans="6:21" x14ac:dyDescent="0.25">
      <c r="F205" s="9"/>
      <c r="G205" s="9"/>
      <c r="H205" s="9"/>
      <c r="I205" s="9"/>
      <c r="J205" s="9"/>
      <c r="L205" s="9"/>
      <c r="N205" s="9"/>
      <c r="Q205" s="9"/>
      <c r="T205" s="9"/>
      <c r="U205" s="9"/>
    </row>
    <row r="206" spans="6:21" x14ac:dyDescent="0.25">
      <c r="F206" s="9"/>
      <c r="G206" s="9"/>
      <c r="H206" s="9"/>
      <c r="I206" s="9"/>
      <c r="J206" s="9"/>
      <c r="L206" s="9"/>
      <c r="N206" s="9"/>
      <c r="Q206" s="9"/>
      <c r="T206" s="9"/>
      <c r="U206" s="9"/>
    </row>
    <row r="207" spans="6:21" x14ac:dyDescent="0.25">
      <c r="F207" s="9"/>
      <c r="G207" s="9"/>
      <c r="H207" s="9"/>
      <c r="I207" s="9"/>
      <c r="J207" s="9"/>
      <c r="L207" s="9"/>
      <c r="N207" s="9"/>
      <c r="Q207" s="9"/>
      <c r="T207" s="9"/>
      <c r="U207" s="9"/>
    </row>
    <row r="208" spans="6:21" x14ac:dyDescent="0.25">
      <c r="F208" s="9"/>
      <c r="G208" s="9"/>
      <c r="H208" s="9"/>
      <c r="I208" s="9"/>
      <c r="J208" s="9"/>
      <c r="L208" s="9"/>
      <c r="N208" s="9"/>
      <c r="Q208" s="9"/>
      <c r="T208" s="9"/>
      <c r="U208" s="9"/>
    </row>
    <row r="209" spans="6:21" x14ac:dyDescent="0.25">
      <c r="F209" s="9"/>
      <c r="G209" s="9"/>
      <c r="H209" s="9"/>
      <c r="I209" s="9"/>
      <c r="J209" s="9"/>
      <c r="L209" s="9"/>
      <c r="N209" s="9"/>
      <c r="Q209" s="9"/>
      <c r="T209" s="9"/>
      <c r="U209" s="9"/>
    </row>
    <row r="210" spans="6:21" x14ac:dyDescent="0.25">
      <c r="F210" s="9"/>
      <c r="G210" s="9"/>
      <c r="H210" s="9"/>
      <c r="I210" s="9"/>
      <c r="J210" s="9"/>
      <c r="L210" s="9"/>
      <c r="N210" s="9"/>
      <c r="Q210" s="9"/>
      <c r="T210" s="9"/>
      <c r="U210" s="9"/>
    </row>
    <row r="211" spans="6:21" x14ac:dyDescent="0.25">
      <c r="F211" s="9"/>
      <c r="G211" s="9"/>
      <c r="H211" s="9"/>
      <c r="I211" s="9"/>
      <c r="J211" s="9"/>
      <c r="L211" s="9"/>
      <c r="N211" s="9"/>
      <c r="Q211" s="9"/>
      <c r="T211" s="9"/>
      <c r="U211" s="9"/>
    </row>
    <row r="212" spans="6:21" x14ac:dyDescent="0.25">
      <c r="F212" s="9"/>
      <c r="G212" s="9"/>
      <c r="H212" s="9"/>
      <c r="I212" s="9"/>
      <c r="J212" s="9"/>
      <c r="L212" s="9"/>
      <c r="N212" s="9"/>
      <c r="Q212" s="9"/>
      <c r="T212" s="9"/>
      <c r="U212" s="9"/>
    </row>
    <row r="213" spans="6:21" x14ac:dyDescent="0.25">
      <c r="F213" s="9"/>
      <c r="G213" s="9"/>
      <c r="H213" s="9"/>
      <c r="I213" s="9"/>
      <c r="J213" s="9"/>
      <c r="L213" s="9"/>
      <c r="N213" s="9"/>
      <c r="Q213" s="9"/>
      <c r="T213" s="9"/>
      <c r="U213" s="9"/>
    </row>
    <row r="214" spans="6:21" x14ac:dyDescent="0.25">
      <c r="F214" s="9"/>
      <c r="G214" s="9"/>
      <c r="H214" s="9"/>
      <c r="I214" s="9"/>
      <c r="J214" s="9"/>
      <c r="L214" s="9"/>
      <c r="N214" s="9"/>
      <c r="Q214" s="9"/>
      <c r="T214" s="9"/>
      <c r="U214" s="9"/>
    </row>
    <row r="215" spans="6:21" x14ac:dyDescent="0.25">
      <c r="F215" s="9"/>
      <c r="G215" s="9"/>
      <c r="H215" s="9"/>
      <c r="I215" s="9"/>
      <c r="J215" s="9"/>
      <c r="L215" s="9"/>
      <c r="N215" s="9"/>
      <c r="Q215" s="9"/>
      <c r="T215" s="9"/>
      <c r="U215" s="9"/>
    </row>
    <row r="216" spans="6:21" x14ac:dyDescent="0.25">
      <c r="F216" s="9"/>
      <c r="G216" s="9"/>
      <c r="H216" s="9"/>
      <c r="I216" s="9"/>
      <c r="J216" s="9"/>
      <c r="L216" s="9"/>
      <c r="N216" s="9"/>
      <c r="Q216" s="9"/>
      <c r="T216" s="9"/>
      <c r="U216" s="9"/>
    </row>
    <row r="217" spans="6:21" x14ac:dyDescent="0.25">
      <c r="F217" s="9"/>
      <c r="G217" s="9"/>
      <c r="H217" s="9"/>
      <c r="I217" s="9"/>
      <c r="J217" s="9"/>
      <c r="L217" s="9"/>
      <c r="N217" s="9"/>
      <c r="Q217" s="9"/>
      <c r="T217" s="9"/>
      <c r="U217" s="9"/>
    </row>
    <row r="218" spans="6:21" x14ac:dyDescent="0.25">
      <c r="F218" s="9"/>
      <c r="G218" s="9"/>
      <c r="H218" s="9"/>
      <c r="I218" s="9"/>
      <c r="J218" s="9"/>
      <c r="L218" s="9"/>
      <c r="N218" s="9"/>
      <c r="Q218" s="9"/>
      <c r="T218" s="9"/>
      <c r="U218" s="9"/>
    </row>
    <row r="219" spans="6:21" x14ac:dyDescent="0.25">
      <c r="F219" s="9"/>
      <c r="G219" s="9"/>
      <c r="H219" s="9"/>
      <c r="I219" s="9"/>
      <c r="J219" s="9"/>
      <c r="L219" s="9"/>
      <c r="N219" s="9"/>
      <c r="Q219" s="9"/>
      <c r="T219" s="9"/>
      <c r="U219" s="9"/>
    </row>
    <row r="220" spans="6:21" x14ac:dyDescent="0.25">
      <c r="F220" s="9"/>
      <c r="G220" s="9"/>
      <c r="H220" s="9"/>
      <c r="I220" s="9"/>
      <c r="J220" s="9"/>
      <c r="L220" s="9"/>
      <c r="N220" s="9"/>
      <c r="Q220" s="9"/>
      <c r="T220" s="9"/>
      <c r="U220" s="9"/>
    </row>
    <row r="221" spans="6:21" x14ac:dyDescent="0.25">
      <c r="F221" s="9"/>
      <c r="G221" s="9"/>
      <c r="H221" s="9"/>
      <c r="I221" s="9"/>
      <c r="J221" s="9"/>
      <c r="L221" s="9"/>
      <c r="N221" s="9"/>
      <c r="Q221" s="9"/>
      <c r="T221" s="9"/>
      <c r="U221" s="9"/>
    </row>
    <row r="222" spans="6:21" x14ac:dyDescent="0.25">
      <c r="F222" s="9"/>
      <c r="G222" s="9"/>
      <c r="H222" s="9"/>
      <c r="I222" s="9"/>
      <c r="J222" s="9"/>
      <c r="L222" s="9"/>
      <c r="N222" s="9"/>
      <c r="Q222" s="9"/>
      <c r="T222" s="9"/>
      <c r="U222" s="9"/>
    </row>
    <row r="223" spans="6:21" x14ac:dyDescent="0.25">
      <c r="F223" s="9"/>
      <c r="G223" s="9"/>
      <c r="H223" s="9"/>
      <c r="I223" s="9"/>
      <c r="J223" s="9"/>
      <c r="L223" s="9"/>
      <c r="N223" s="9"/>
      <c r="Q223" s="9"/>
      <c r="T223" s="9"/>
      <c r="U223" s="9"/>
    </row>
    <row r="224" spans="6:21" x14ac:dyDescent="0.25">
      <c r="F224" s="9"/>
      <c r="G224" s="9"/>
      <c r="H224" s="9"/>
      <c r="I224" s="9"/>
      <c r="J224" s="9"/>
      <c r="L224" s="9"/>
      <c r="N224" s="9"/>
      <c r="Q224" s="9"/>
      <c r="T224" s="9"/>
      <c r="U224" s="9"/>
    </row>
    <row r="225" spans="6:21" x14ac:dyDescent="0.25">
      <c r="F225" s="9"/>
      <c r="G225" s="9"/>
      <c r="H225" s="9"/>
      <c r="I225" s="9"/>
      <c r="J225" s="9"/>
      <c r="L225" s="9"/>
      <c r="N225" s="9"/>
      <c r="Q225" s="9"/>
      <c r="T225" s="9"/>
      <c r="U225" s="9"/>
    </row>
    <row r="226" spans="6:21" x14ac:dyDescent="0.25">
      <c r="F226" s="9"/>
      <c r="G226" s="9"/>
      <c r="H226" s="9"/>
      <c r="I226" s="9"/>
      <c r="J226" s="9"/>
      <c r="L226" s="9"/>
      <c r="N226" s="9"/>
      <c r="Q226" s="9"/>
      <c r="T226" s="9"/>
      <c r="U226" s="9"/>
    </row>
    <row r="227" spans="6:21" x14ac:dyDescent="0.25">
      <c r="F227" s="9"/>
      <c r="G227" s="9"/>
      <c r="H227" s="9"/>
      <c r="I227" s="9"/>
      <c r="J227" s="9"/>
      <c r="L227" s="9"/>
      <c r="N227" s="9"/>
      <c r="Q227" s="9"/>
      <c r="T227" s="9"/>
      <c r="U227" s="9"/>
    </row>
    <row r="228" spans="6:21" x14ac:dyDescent="0.25">
      <c r="F228" s="9"/>
      <c r="G228" s="9"/>
      <c r="H228" s="9"/>
      <c r="I228" s="9"/>
      <c r="J228" s="9"/>
      <c r="L228" s="9"/>
      <c r="N228" s="9"/>
      <c r="Q228" s="9"/>
      <c r="T228" s="9"/>
      <c r="U228" s="9"/>
    </row>
    <row r="229" spans="6:21" x14ac:dyDescent="0.25">
      <c r="F229" s="9"/>
      <c r="G229" s="9"/>
      <c r="H229" s="9"/>
      <c r="I229" s="9"/>
      <c r="J229" s="9"/>
      <c r="L229" s="9"/>
      <c r="N229" s="9"/>
      <c r="Q229" s="9"/>
      <c r="T229" s="9"/>
      <c r="U229" s="9"/>
    </row>
    <row r="230" spans="6:21" x14ac:dyDescent="0.25">
      <c r="F230" s="9"/>
      <c r="G230" s="9"/>
      <c r="H230" s="9"/>
      <c r="I230" s="9"/>
      <c r="J230" s="9"/>
      <c r="L230" s="9"/>
      <c r="N230" s="9"/>
      <c r="Q230" s="9"/>
      <c r="T230" s="9"/>
      <c r="U230" s="9"/>
    </row>
    <row r="231" spans="6:21" x14ac:dyDescent="0.25">
      <c r="F231" s="9"/>
      <c r="G231" s="9"/>
      <c r="H231" s="9"/>
      <c r="I231" s="9"/>
      <c r="J231" s="9"/>
      <c r="L231" s="9"/>
      <c r="N231" s="9"/>
      <c r="Q231" s="9"/>
      <c r="T231" s="9"/>
      <c r="U231" s="9"/>
    </row>
    <row r="232" spans="6:21" x14ac:dyDescent="0.25">
      <c r="F232" s="9"/>
      <c r="G232" s="9"/>
      <c r="H232" s="9"/>
      <c r="I232" s="9"/>
      <c r="J232" s="9"/>
      <c r="L232" s="9"/>
      <c r="N232" s="9"/>
      <c r="Q232" s="9"/>
      <c r="T232" s="9"/>
      <c r="U232" s="9"/>
    </row>
    <row r="233" spans="6:21" x14ac:dyDescent="0.25">
      <c r="F233" s="9"/>
      <c r="G233" s="9"/>
      <c r="H233" s="9"/>
      <c r="I233" s="9"/>
      <c r="J233" s="9"/>
      <c r="L233" s="9"/>
      <c r="N233" s="9"/>
      <c r="Q233" s="9"/>
      <c r="T233" s="9"/>
      <c r="U233" s="9"/>
    </row>
    <row r="234" spans="6:21" x14ac:dyDescent="0.25">
      <c r="F234" s="9"/>
      <c r="G234" s="9"/>
      <c r="H234" s="9"/>
      <c r="I234" s="9"/>
      <c r="J234" s="9"/>
      <c r="L234" s="9"/>
      <c r="N234" s="9"/>
      <c r="Q234" s="9"/>
      <c r="T234" s="9"/>
      <c r="U234" s="9"/>
    </row>
    <row r="235" spans="6:21" x14ac:dyDescent="0.25">
      <c r="F235" s="9"/>
      <c r="G235" s="9"/>
      <c r="H235" s="9"/>
      <c r="I235" s="9"/>
      <c r="J235" s="9"/>
      <c r="L235" s="9"/>
      <c r="N235" s="9"/>
      <c r="Q235" s="9"/>
      <c r="T235" s="9"/>
      <c r="U235" s="9"/>
    </row>
    <row r="236" spans="6:21" x14ac:dyDescent="0.25">
      <c r="F236" s="9"/>
      <c r="G236" s="9"/>
      <c r="H236" s="9"/>
      <c r="I236" s="9"/>
      <c r="J236" s="9"/>
      <c r="L236" s="9"/>
      <c r="N236" s="9"/>
      <c r="Q236" s="9"/>
      <c r="T236" s="9"/>
      <c r="U236" s="9"/>
    </row>
    <row r="237" spans="6:21" x14ac:dyDescent="0.25">
      <c r="F237" s="9"/>
      <c r="G237" s="9"/>
      <c r="H237" s="9"/>
      <c r="I237" s="9"/>
      <c r="J237" s="9"/>
      <c r="L237" s="9"/>
      <c r="N237" s="9"/>
      <c r="Q237" s="9"/>
      <c r="T237" s="9"/>
      <c r="U237" s="9"/>
    </row>
    <row r="238" spans="6:21" x14ac:dyDescent="0.25">
      <c r="F238" s="9"/>
      <c r="G238" s="9"/>
      <c r="H238" s="9"/>
      <c r="I238" s="9"/>
      <c r="J238" s="9"/>
      <c r="L238" s="9"/>
      <c r="N238" s="9"/>
      <c r="Q238" s="9"/>
      <c r="T238" s="9"/>
      <c r="U238" s="9"/>
    </row>
    <row r="239" spans="6:21" x14ac:dyDescent="0.25">
      <c r="F239" s="9"/>
      <c r="G239" s="9"/>
      <c r="H239" s="9"/>
      <c r="I239" s="9"/>
      <c r="J239" s="9"/>
      <c r="L239" s="9"/>
      <c r="N239" s="9"/>
      <c r="Q239" s="9"/>
      <c r="T239" s="9"/>
      <c r="U239" s="9"/>
    </row>
    <row r="240" spans="6:21" x14ac:dyDescent="0.25">
      <c r="F240" s="9"/>
      <c r="G240" s="9"/>
      <c r="H240" s="9"/>
      <c r="I240" s="9"/>
      <c r="J240" s="9"/>
      <c r="L240" s="9"/>
      <c r="N240" s="9"/>
      <c r="Q240" s="9"/>
      <c r="T240" s="9"/>
      <c r="U240" s="9"/>
    </row>
    <row r="241" spans="6:21" x14ac:dyDescent="0.25">
      <c r="F241" s="9"/>
      <c r="G241" s="9"/>
      <c r="H241" s="9"/>
      <c r="I241" s="9"/>
      <c r="J241" s="9"/>
      <c r="L241" s="9"/>
      <c r="N241" s="9"/>
      <c r="Q241" s="9"/>
      <c r="T241" s="9"/>
      <c r="U241" s="9"/>
    </row>
    <row r="242" spans="6:21" x14ac:dyDescent="0.25">
      <c r="F242" s="9"/>
      <c r="G242" s="9"/>
      <c r="H242" s="9"/>
      <c r="I242" s="9"/>
      <c r="J242" s="9"/>
      <c r="L242" s="9"/>
      <c r="N242" s="9"/>
      <c r="Q242" s="9"/>
      <c r="T242" s="9"/>
      <c r="U242" s="9"/>
    </row>
    <row r="243" spans="6:21" x14ac:dyDescent="0.25">
      <c r="F243" s="9"/>
      <c r="G243" s="9"/>
      <c r="H243" s="9"/>
      <c r="I243" s="9"/>
      <c r="J243" s="9"/>
      <c r="L243" s="9"/>
      <c r="N243" s="9"/>
      <c r="Q243" s="9"/>
      <c r="T243" s="9"/>
      <c r="U243" s="9"/>
    </row>
    <row r="244" spans="6:21" x14ac:dyDescent="0.25">
      <c r="F244" s="9"/>
      <c r="G244" s="9"/>
      <c r="H244" s="9"/>
      <c r="I244" s="9"/>
      <c r="J244" s="9"/>
      <c r="L244" s="9"/>
      <c r="N244" s="9"/>
      <c r="Q244" s="9"/>
      <c r="T244" s="9"/>
      <c r="U244" s="9"/>
    </row>
    <row r="245" spans="6:21" x14ac:dyDescent="0.25">
      <c r="F245" s="9"/>
      <c r="G245" s="9"/>
      <c r="H245" s="9"/>
      <c r="I245" s="9"/>
      <c r="J245" s="9"/>
      <c r="L245" s="9"/>
      <c r="N245" s="9"/>
      <c r="Q245" s="9"/>
      <c r="T245" s="9"/>
      <c r="U245" s="9"/>
    </row>
    <row r="246" spans="6:21" x14ac:dyDescent="0.25">
      <c r="F246" s="9"/>
      <c r="G246" s="9"/>
      <c r="H246" s="9"/>
      <c r="I246" s="9"/>
      <c r="J246" s="9"/>
      <c r="L246" s="9"/>
      <c r="N246" s="9"/>
      <c r="Q246" s="9"/>
      <c r="T246" s="9"/>
      <c r="U246" s="9"/>
    </row>
    <row r="247" spans="6:21" x14ac:dyDescent="0.25">
      <c r="F247" s="9"/>
      <c r="G247" s="9"/>
      <c r="H247" s="9"/>
      <c r="I247" s="9"/>
      <c r="J247" s="9"/>
      <c r="L247" s="9"/>
      <c r="N247" s="9"/>
      <c r="Q247" s="9"/>
      <c r="T247" s="9"/>
      <c r="U247" s="9"/>
    </row>
    <row r="248" spans="6:21" x14ac:dyDescent="0.25">
      <c r="F248" s="9"/>
      <c r="G248" s="9"/>
      <c r="H248" s="9"/>
      <c r="I248" s="9"/>
      <c r="J248" s="9"/>
      <c r="L248" s="9"/>
      <c r="N248" s="9"/>
      <c r="Q248" s="9"/>
      <c r="T248" s="9"/>
      <c r="U248" s="9"/>
    </row>
    <row r="249" spans="6:21" x14ac:dyDescent="0.25">
      <c r="F249" s="9"/>
      <c r="G249" s="9"/>
      <c r="H249" s="9"/>
      <c r="I249" s="9"/>
      <c r="J249" s="9"/>
      <c r="L249" s="9"/>
      <c r="N249" s="9"/>
      <c r="Q249" s="9"/>
      <c r="T249" s="9"/>
      <c r="U249" s="9"/>
    </row>
    <row r="250" spans="6:21" x14ac:dyDescent="0.25">
      <c r="F250" s="9"/>
      <c r="G250" s="9"/>
      <c r="H250" s="9"/>
      <c r="I250" s="9"/>
      <c r="J250" s="9"/>
      <c r="L250" s="9"/>
      <c r="N250" s="9"/>
      <c r="Q250" s="9"/>
      <c r="T250" s="9"/>
      <c r="U250" s="9"/>
    </row>
    <row r="251" spans="6:21" x14ac:dyDescent="0.25">
      <c r="F251" s="9"/>
      <c r="G251" s="9"/>
      <c r="H251" s="9"/>
      <c r="I251" s="9"/>
      <c r="J251" s="9"/>
      <c r="L251" s="9"/>
      <c r="N251" s="9"/>
      <c r="Q251" s="9"/>
      <c r="T251" s="9"/>
      <c r="U251" s="9"/>
    </row>
    <row r="252" spans="6:21" x14ac:dyDescent="0.25">
      <c r="F252" s="9"/>
      <c r="G252" s="9"/>
      <c r="H252" s="9"/>
      <c r="I252" s="9"/>
      <c r="J252" s="9"/>
      <c r="L252" s="9"/>
      <c r="N252" s="9"/>
      <c r="Q252" s="9"/>
      <c r="T252" s="9"/>
      <c r="U252" s="9"/>
    </row>
    <row r="253" spans="6:21" x14ac:dyDescent="0.25">
      <c r="F253" s="9"/>
      <c r="G253" s="9"/>
      <c r="H253" s="9"/>
      <c r="I253" s="9"/>
      <c r="J253" s="9"/>
      <c r="L253" s="9"/>
      <c r="N253" s="9"/>
      <c r="Q253" s="9"/>
      <c r="T253" s="9"/>
      <c r="U253" s="9"/>
    </row>
    <row r="254" spans="6:21" x14ac:dyDescent="0.25">
      <c r="F254" s="9"/>
      <c r="G254" s="9"/>
      <c r="H254" s="9"/>
      <c r="I254" s="9"/>
      <c r="J254" s="9"/>
      <c r="L254" s="9"/>
      <c r="N254" s="9"/>
      <c r="Q254" s="9"/>
      <c r="T254" s="9"/>
      <c r="U254" s="9"/>
    </row>
    <row r="255" spans="6:21" x14ac:dyDescent="0.25">
      <c r="F255" s="9"/>
      <c r="G255" s="9"/>
      <c r="H255" s="9"/>
      <c r="I255" s="9"/>
      <c r="J255" s="9"/>
      <c r="L255" s="9"/>
      <c r="N255" s="9"/>
      <c r="Q255" s="9"/>
      <c r="T255" s="9"/>
      <c r="U255" s="9"/>
    </row>
    <row r="256" spans="6:21" x14ac:dyDescent="0.25">
      <c r="F256" s="9"/>
      <c r="G256" s="9"/>
      <c r="H256" s="9"/>
      <c r="I256" s="9"/>
      <c r="J256" s="9"/>
      <c r="L256" s="9"/>
      <c r="N256" s="9"/>
      <c r="Q256" s="9"/>
      <c r="T256" s="9"/>
      <c r="U256" s="9"/>
    </row>
    <row r="257" spans="6:21" x14ac:dyDescent="0.25">
      <c r="F257" s="9"/>
      <c r="G257" s="9"/>
      <c r="H257" s="9"/>
      <c r="I257" s="9"/>
      <c r="J257" s="9"/>
      <c r="L257" s="9"/>
      <c r="N257" s="9"/>
      <c r="Q257" s="9"/>
      <c r="T257" s="9"/>
      <c r="U257" s="9"/>
    </row>
    <row r="258" spans="6:21" x14ac:dyDescent="0.25">
      <c r="F258" s="9"/>
      <c r="G258" s="9"/>
      <c r="H258" s="9"/>
      <c r="I258" s="9"/>
      <c r="J258" s="9"/>
      <c r="L258" s="9"/>
      <c r="N258" s="9"/>
      <c r="Q258" s="9"/>
      <c r="T258" s="9"/>
      <c r="U258" s="9"/>
    </row>
    <row r="259" spans="6:21" x14ac:dyDescent="0.25">
      <c r="F259" s="9"/>
      <c r="G259" s="9"/>
      <c r="H259" s="9"/>
      <c r="I259" s="9"/>
      <c r="J259" s="9"/>
      <c r="L259" s="9"/>
      <c r="N259" s="9"/>
      <c r="Q259" s="9"/>
      <c r="T259" s="9"/>
      <c r="U259" s="9"/>
    </row>
    <row r="260" spans="6:21" x14ac:dyDescent="0.25">
      <c r="F260" s="9"/>
      <c r="G260" s="9"/>
      <c r="H260" s="9"/>
      <c r="I260" s="9"/>
      <c r="J260" s="9"/>
      <c r="L260" s="9"/>
      <c r="N260" s="9"/>
      <c r="Q260" s="9"/>
      <c r="T260" s="9"/>
      <c r="U260" s="9"/>
    </row>
    <row r="261" spans="6:21" x14ac:dyDescent="0.25">
      <c r="F261" s="9"/>
      <c r="G261" s="9"/>
      <c r="H261" s="9"/>
      <c r="I261" s="9"/>
      <c r="J261" s="9"/>
      <c r="L261" s="9"/>
      <c r="N261" s="9"/>
      <c r="Q261" s="9"/>
      <c r="T261" s="9"/>
      <c r="U261" s="9"/>
    </row>
    <row r="262" spans="6:21" x14ac:dyDescent="0.25">
      <c r="F262" s="9"/>
      <c r="G262" s="9"/>
      <c r="H262" s="9"/>
      <c r="I262" s="9"/>
      <c r="J262" s="9"/>
      <c r="L262" s="9"/>
      <c r="N262" s="9"/>
      <c r="Q262" s="9"/>
      <c r="T262" s="9"/>
      <c r="U262" s="9"/>
    </row>
    <row r="263" spans="6:21" x14ac:dyDescent="0.25">
      <c r="F263" s="9"/>
      <c r="G263" s="9"/>
      <c r="H263" s="9"/>
      <c r="I263" s="9"/>
      <c r="J263" s="9"/>
      <c r="L263" s="9"/>
      <c r="N263" s="9"/>
      <c r="Q263" s="9"/>
      <c r="T263" s="9"/>
      <c r="U263" s="9"/>
    </row>
    <row r="264" spans="6:21" x14ac:dyDescent="0.25">
      <c r="F264" s="9"/>
      <c r="G264" s="9"/>
      <c r="H264" s="9"/>
      <c r="I264" s="9"/>
      <c r="J264" s="9"/>
      <c r="L264" s="9"/>
      <c r="N264" s="9"/>
      <c r="Q264" s="9"/>
      <c r="T264" s="9"/>
      <c r="U264" s="9"/>
    </row>
    <row r="265" spans="6:21" x14ac:dyDescent="0.25">
      <c r="F265" s="9"/>
      <c r="G265" s="9"/>
      <c r="H265" s="9"/>
      <c r="I265" s="9"/>
      <c r="J265" s="9"/>
      <c r="L265" s="9"/>
      <c r="N265" s="9"/>
      <c r="Q265" s="9"/>
      <c r="T265" s="9"/>
      <c r="U265" s="9"/>
    </row>
    <row r="266" spans="6:21" x14ac:dyDescent="0.25">
      <c r="F266" s="9"/>
      <c r="G266" s="9"/>
      <c r="H266" s="9"/>
      <c r="I266" s="9"/>
      <c r="J266" s="9"/>
      <c r="L266" s="9"/>
      <c r="N266" s="9"/>
      <c r="Q266" s="9"/>
      <c r="T266" s="9"/>
      <c r="U266" s="9"/>
    </row>
    <row r="267" spans="6:21" x14ac:dyDescent="0.25">
      <c r="F267" s="9"/>
      <c r="G267" s="9"/>
      <c r="H267" s="9"/>
      <c r="I267" s="9"/>
      <c r="J267" s="9"/>
      <c r="L267" s="9"/>
      <c r="N267" s="9"/>
      <c r="Q267" s="9"/>
      <c r="T267" s="9"/>
      <c r="U267" s="9"/>
    </row>
    <row r="268" spans="6:21" x14ac:dyDescent="0.25">
      <c r="F268" s="9"/>
      <c r="G268" s="9"/>
      <c r="H268" s="9"/>
      <c r="I268" s="9"/>
      <c r="J268" s="9"/>
      <c r="L268" s="9"/>
      <c r="N268" s="9"/>
      <c r="Q268" s="9"/>
      <c r="T268" s="9"/>
      <c r="U268" s="9"/>
    </row>
    <row r="269" spans="6:21" x14ac:dyDescent="0.25">
      <c r="F269" s="9"/>
      <c r="G269" s="9"/>
      <c r="H269" s="9"/>
      <c r="I269" s="9"/>
      <c r="J269" s="9"/>
      <c r="L269" s="9"/>
      <c r="N269" s="9"/>
      <c r="Q269" s="9"/>
      <c r="T269" s="9"/>
      <c r="U269" s="9"/>
    </row>
    <row r="270" spans="6:21" x14ac:dyDescent="0.25">
      <c r="F270" s="9"/>
      <c r="G270" s="9"/>
      <c r="H270" s="9"/>
      <c r="I270" s="9"/>
      <c r="J270" s="9"/>
      <c r="L270" s="9"/>
      <c r="N270" s="9"/>
      <c r="Q270" s="9"/>
      <c r="T270" s="9"/>
      <c r="U270" s="9"/>
    </row>
    <row r="271" spans="6:21" x14ac:dyDescent="0.25">
      <c r="F271" s="9"/>
      <c r="G271" s="9"/>
      <c r="H271" s="9"/>
      <c r="I271" s="9"/>
      <c r="J271" s="9"/>
      <c r="L271" s="9"/>
      <c r="N271" s="9"/>
      <c r="Q271" s="9"/>
      <c r="T271" s="9"/>
      <c r="U271" s="9"/>
    </row>
    <row r="272" spans="6:21" x14ac:dyDescent="0.25">
      <c r="F272" s="9"/>
      <c r="G272" s="9"/>
      <c r="H272" s="9"/>
      <c r="I272" s="9"/>
      <c r="J272" s="9"/>
      <c r="L272" s="9"/>
      <c r="N272" s="9"/>
      <c r="Q272" s="9"/>
      <c r="T272" s="9"/>
      <c r="U272" s="9"/>
    </row>
    <row r="273" spans="6:21" x14ac:dyDescent="0.25">
      <c r="F273" s="9"/>
      <c r="G273" s="9"/>
      <c r="H273" s="9"/>
      <c r="I273" s="9"/>
      <c r="J273" s="9"/>
      <c r="L273" s="9"/>
      <c r="N273" s="9"/>
      <c r="Q273" s="9"/>
      <c r="T273" s="9"/>
      <c r="U273" s="9"/>
    </row>
    <row r="274" spans="6:21" x14ac:dyDescent="0.25">
      <c r="F274" s="9"/>
      <c r="G274" s="9"/>
      <c r="H274" s="9"/>
      <c r="I274" s="9"/>
      <c r="J274" s="9"/>
      <c r="L274" s="9"/>
      <c r="N274" s="9"/>
      <c r="Q274" s="9"/>
      <c r="T274" s="9"/>
      <c r="U274" s="9"/>
    </row>
    <row r="275" spans="6:21" x14ac:dyDescent="0.25">
      <c r="F275" s="9"/>
      <c r="G275" s="9"/>
      <c r="H275" s="9"/>
      <c r="I275" s="9"/>
      <c r="J275" s="9"/>
      <c r="L275" s="9"/>
      <c r="N275" s="9"/>
      <c r="Q275" s="9"/>
      <c r="T275" s="9"/>
      <c r="U275" s="9"/>
    </row>
    <row r="276" spans="6:21" x14ac:dyDescent="0.25">
      <c r="F276" s="9"/>
      <c r="G276" s="9"/>
      <c r="H276" s="9"/>
      <c r="I276" s="9"/>
      <c r="J276" s="9"/>
      <c r="L276" s="9"/>
      <c r="N276" s="9"/>
      <c r="Q276" s="9"/>
      <c r="T276" s="9"/>
      <c r="U276" s="9"/>
    </row>
    <row r="277" spans="6:21" x14ac:dyDescent="0.25">
      <c r="F277" s="9"/>
      <c r="G277" s="9"/>
      <c r="H277" s="9"/>
      <c r="I277" s="9"/>
      <c r="J277" s="9"/>
      <c r="L277" s="9"/>
      <c r="N277" s="9"/>
      <c r="Q277" s="9"/>
      <c r="T277" s="9"/>
      <c r="U277" s="9"/>
    </row>
    <row r="278" spans="6:21" x14ac:dyDescent="0.25">
      <c r="F278" s="9"/>
      <c r="G278" s="9"/>
      <c r="H278" s="9"/>
      <c r="I278" s="9"/>
      <c r="J278" s="9"/>
      <c r="L278" s="9"/>
      <c r="N278" s="9"/>
      <c r="Q278" s="9"/>
      <c r="T278" s="9"/>
      <c r="U278" s="9"/>
    </row>
    <row r="279" spans="6:21" x14ac:dyDescent="0.25">
      <c r="F279" s="9"/>
      <c r="G279" s="9"/>
      <c r="H279" s="9"/>
      <c r="I279" s="9"/>
      <c r="J279" s="9"/>
      <c r="L279" s="9"/>
      <c r="N279" s="9"/>
      <c r="Q279" s="9"/>
      <c r="T279" s="9"/>
      <c r="U279" s="9"/>
    </row>
    <row r="280" spans="6:21" x14ac:dyDescent="0.25">
      <c r="F280" s="9"/>
      <c r="G280" s="9"/>
      <c r="H280" s="9"/>
      <c r="I280" s="9"/>
      <c r="J280" s="9"/>
      <c r="L280" s="9"/>
      <c r="N280" s="9"/>
      <c r="Q280" s="9"/>
      <c r="T280" s="9"/>
      <c r="U280" s="9"/>
    </row>
    <row r="281" spans="6:21" x14ac:dyDescent="0.25">
      <c r="F281" s="9"/>
      <c r="G281" s="9"/>
      <c r="H281" s="9"/>
      <c r="I281" s="9"/>
      <c r="J281" s="9"/>
      <c r="L281" s="9"/>
      <c r="N281" s="9"/>
      <c r="Q281" s="9"/>
      <c r="T281" s="9"/>
      <c r="U281" s="9"/>
    </row>
    <row r="282" spans="6:21" x14ac:dyDescent="0.25">
      <c r="F282" s="9"/>
      <c r="G282" s="9"/>
      <c r="H282" s="9"/>
      <c r="I282" s="9"/>
      <c r="J282" s="9"/>
      <c r="L282" s="9"/>
      <c r="N282" s="9"/>
      <c r="Q282" s="9"/>
      <c r="T282" s="9"/>
      <c r="U282" s="9"/>
    </row>
    <row r="283" spans="6:21" x14ac:dyDescent="0.25">
      <c r="F283" s="9"/>
      <c r="G283" s="9"/>
      <c r="H283" s="9"/>
      <c r="I283" s="9"/>
      <c r="J283" s="9"/>
      <c r="L283" s="9"/>
      <c r="N283" s="9"/>
      <c r="Q283" s="9"/>
      <c r="T283" s="9"/>
      <c r="U283" s="9"/>
    </row>
    <row r="284" spans="6:21" x14ac:dyDescent="0.25">
      <c r="F284" s="9"/>
      <c r="G284" s="9"/>
      <c r="H284" s="9"/>
      <c r="I284" s="9"/>
      <c r="J284" s="9"/>
      <c r="L284" s="9"/>
      <c r="N284" s="9"/>
      <c r="Q284" s="9"/>
      <c r="T284" s="9"/>
      <c r="U284" s="9"/>
    </row>
    <row r="285" spans="6:21" x14ac:dyDescent="0.25">
      <c r="F285" s="9"/>
      <c r="G285" s="9"/>
      <c r="H285" s="9"/>
      <c r="I285" s="9"/>
      <c r="J285" s="9"/>
      <c r="L285" s="9"/>
      <c r="N285" s="9"/>
      <c r="Q285" s="9"/>
      <c r="T285" s="9"/>
      <c r="U285" s="9"/>
    </row>
    <row r="286" spans="6:21" x14ac:dyDescent="0.25">
      <c r="F286" s="9"/>
      <c r="G286" s="9"/>
      <c r="H286" s="9"/>
      <c r="I286" s="9"/>
      <c r="J286" s="9"/>
      <c r="L286" s="9"/>
      <c r="N286" s="9"/>
      <c r="Q286" s="9"/>
      <c r="T286" s="9"/>
      <c r="U286" s="9"/>
    </row>
    <row r="287" spans="6:21" x14ac:dyDescent="0.25">
      <c r="F287" s="9"/>
      <c r="G287" s="9"/>
      <c r="H287" s="9"/>
      <c r="I287" s="9"/>
      <c r="J287" s="9"/>
      <c r="L287" s="9"/>
      <c r="N287" s="9"/>
      <c r="Q287" s="9"/>
      <c r="T287" s="9"/>
      <c r="U287" s="9"/>
    </row>
    <row r="288" spans="6:21" x14ac:dyDescent="0.25">
      <c r="F288" s="9"/>
      <c r="G288" s="9"/>
      <c r="H288" s="9"/>
      <c r="I288" s="9"/>
      <c r="J288" s="9"/>
      <c r="L288" s="9"/>
      <c r="N288" s="9"/>
      <c r="Q288" s="9"/>
      <c r="T288" s="9"/>
      <c r="U288" s="9"/>
    </row>
    <row r="289" spans="6:21" x14ac:dyDescent="0.25">
      <c r="F289" s="9"/>
      <c r="G289" s="9"/>
      <c r="H289" s="9"/>
      <c r="I289" s="9"/>
      <c r="J289" s="9"/>
      <c r="L289" s="9"/>
      <c r="N289" s="9"/>
      <c r="Q289" s="9"/>
      <c r="T289" s="9"/>
      <c r="U289" s="9"/>
    </row>
    <row r="290" spans="6:21" x14ac:dyDescent="0.25">
      <c r="F290" s="9"/>
      <c r="G290" s="9"/>
      <c r="H290" s="9"/>
      <c r="I290" s="9"/>
      <c r="J290" s="9"/>
      <c r="L290" s="9"/>
      <c r="N290" s="9"/>
      <c r="Q290" s="9"/>
      <c r="T290" s="9"/>
      <c r="U290" s="9"/>
    </row>
    <row r="291" spans="6:21" x14ac:dyDescent="0.25">
      <c r="F291" s="9"/>
      <c r="G291" s="9"/>
      <c r="H291" s="9"/>
      <c r="I291" s="9"/>
      <c r="J291" s="9"/>
      <c r="L291" s="9"/>
      <c r="N291" s="9"/>
      <c r="Q291" s="9"/>
      <c r="T291" s="9"/>
      <c r="U291" s="9"/>
    </row>
    <row r="292" spans="6:21" x14ac:dyDescent="0.25">
      <c r="F292" s="9"/>
      <c r="G292" s="9"/>
      <c r="H292" s="9"/>
      <c r="I292" s="9"/>
      <c r="J292" s="9"/>
      <c r="L292" s="9"/>
      <c r="N292" s="9"/>
      <c r="Q292" s="9"/>
      <c r="T292" s="9"/>
      <c r="U292" s="9"/>
    </row>
    <row r="293" spans="6:21" x14ac:dyDescent="0.25">
      <c r="F293" s="9"/>
      <c r="G293" s="9"/>
      <c r="H293" s="9"/>
      <c r="I293" s="9"/>
      <c r="J293" s="9"/>
      <c r="L293" s="9"/>
      <c r="N293" s="9"/>
      <c r="Q293" s="9"/>
      <c r="T293" s="9"/>
      <c r="U293" s="9"/>
    </row>
    <row r="294" spans="6:21" x14ac:dyDescent="0.25">
      <c r="F294" s="9"/>
      <c r="G294" s="9"/>
      <c r="H294" s="9"/>
      <c r="I294" s="9"/>
      <c r="J294" s="9"/>
      <c r="L294" s="9"/>
      <c r="N294" s="9"/>
      <c r="Q294" s="9"/>
      <c r="T294" s="9"/>
      <c r="U294" s="9"/>
    </row>
    <row r="295" spans="6:21" x14ac:dyDescent="0.25">
      <c r="F295" s="9"/>
      <c r="G295" s="9"/>
      <c r="H295" s="9"/>
      <c r="I295" s="9"/>
      <c r="J295" s="9"/>
      <c r="L295" s="9"/>
      <c r="N295" s="9"/>
      <c r="Q295" s="9"/>
      <c r="T295" s="9"/>
      <c r="U295" s="9"/>
    </row>
    <row r="296" spans="6:21" x14ac:dyDescent="0.25">
      <c r="F296" s="9"/>
      <c r="G296" s="9"/>
      <c r="H296" s="9"/>
      <c r="I296" s="9"/>
      <c r="J296" s="9"/>
      <c r="L296" s="9"/>
      <c r="N296" s="9"/>
      <c r="Q296" s="9"/>
      <c r="T296" s="9"/>
      <c r="U296" s="9"/>
    </row>
    <row r="297" spans="6:21" x14ac:dyDescent="0.25">
      <c r="F297" s="9"/>
      <c r="G297" s="9"/>
      <c r="H297" s="9"/>
      <c r="I297" s="9"/>
      <c r="J297" s="9"/>
      <c r="L297" s="9"/>
      <c r="N297" s="9"/>
      <c r="Q297" s="9"/>
      <c r="T297" s="9"/>
      <c r="U297" s="9"/>
    </row>
    <row r="298" spans="6:21" x14ac:dyDescent="0.25">
      <c r="F298" s="9"/>
      <c r="G298" s="9"/>
      <c r="H298" s="9"/>
      <c r="I298" s="9"/>
      <c r="J298" s="9"/>
      <c r="L298" s="9"/>
      <c r="N298" s="9"/>
      <c r="Q298" s="9"/>
      <c r="T298" s="9"/>
      <c r="U298" s="9"/>
    </row>
    <row r="299" spans="6:21" x14ac:dyDescent="0.25">
      <c r="F299" s="9"/>
      <c r="G299" s="9"/>
      <c r="H299" s="9"/>
      <c r="I299" s="9"/>
      <c r="J299" s="9"/>
      <c r="L299" s="9"/>
      <c r="N299" s="9"/>
      <c r="Q299" s="9"/>
      <c r="T299" s="9"/>
      <c r="U299" s="9"/>
    </row>
    <row r="300" spans="6:21" x14ac:dyDescent="0.25">
      <c r="F300" s="9"/>
      <c r="G300" s="9"/>
      <c r="H300" s="9"/>
      <c r="I300" s="9"/>
      <c r="J300" s="9"/>
      <c r="L300" s="9"/>
      <c r="N300" s="9"/>
      <c r="Q300" s="9"/>
      <c r="T300" s="9"/>
      <c r="U300" s="9"/>
    </row>
    <row r="301" spans="6:21" x14ac:dyDescent="0.25">
      <c r="F301" s="9"/>
      <c r="G301" s="9"/>
      <c r="H301" s="9"/>
      <c r="I301" s="9"/>
      <c r="J301" s="9"/>
      <c r="L301" s="9"/>
      <c r="N301" s="9"/>
      <c r="Q301" s="9"/>
      <c r="T301" s="9"/>
      <c r="U301" s="9"/>
    </row>
    <row r="302" spans="6:21" x14ac:dyDescent="0.25">
      <c r="F302" s="9"/>
      <c r="G302" s="9"/>
      <c r="H302" s="9"/>
      <c r="I302" s="9"/>
      <c r="J302" s="9"/>
      <c r="L302" s="9"/>
      <c r="N302" s="9"/>
      <c r="Q302" s="9"/>
      <c r="T302" s="9"/>
      <c r="U302" s="9"/>
    </row>
    <row r="303" spans="6:21" x14ac:dyDescent="0.25">
      <c r="F303" s="9"/>
      <c r="G303" s="9"/>
      <c r="H303" s="9"/>
      <c r="I303" s="9"/>
      <c r="J303" s="9"/>
      <c r="L303" s="9"/>
      <c r="N303" s="9"/>
      <c r="Q303" s="9"/>
      <c r="T303" s="9"/>
      <c r="U303" s="9"/>
    </row>
    <row r="304" spans="6:21" x14ac:dyDescent="0.25">
      <c r="F304" s="9"/>
      <c r="G304" s="9"/>
      <c r="H304" s="9"/>
      <c r="I304" s="9"/>
      <c r="J304" s="9"/>
      <c r="L304" s="9"/>
      <c r="N304" s="9"/>
      <c r="Q304" s="9"/>
      <c r="T304" s="9"/>
      <c r="U304" s="9"/>
    </row>
    <row r="305" spans="6:21" x14ac:dyDescent="0.25">
      <c r="F305" s="9"/>
      <c r="G305" s="9"/>
      <c r="H305" s="9"/>
      <c r="I305" s="9"/>
      <c r="J305" s="9"/>
      <c r="L305" s="9"/>
      <c r="N305" s="9"/>
      <c r="Q305" s="9"/>
      <c r="T305" s="9"/>
      <c r="U305" s="9"/>
    </row>
    <row r="306" spans="6:21" x14ac:dyDescent="0.25">
      <c r="F306" s="9"/>
      <c r="G306" s="9"/>
      <c r="H306" s="9"/>
      <c r="I306" s="9"/>
      <c r="J306" s="9"/>
      <c r="L306" s="9"/>
      <c r="N306" s="9"/>
      <c r="Q306" s="9"/>
      <c r="T306" s="9"/>
      <c r="U306" s="9"/>
    </row>
    <row r="307" spans="6:21" x14ac:dyDescent="0.25">
      <c r="F307" s="9"/>
      <c r="G307" s="9"/>
      <c r="H307" s="9"/>
      <c r="I307" s="9"/>
      <c r="J307" s="9"/>
      <c r="L307" s="9"/>
      <c r="N307" s="9"/>
      <c r="Q307" s="9"/>
      <c r="T307" s="9"/>
      <c r="U307" s="9"/>
    </row>
    <row r="308" spans="6:21" x14ac:dyDescent="0.25">
      <c r="F308" s="9"/>
      <c r="G308" s="9"/>
      <c r="H308" s="9"/>
      <c r="I308" s="9"/>
      <c r="J308" s="9"/>
      <c r="L308" s="9"/>
      <c r="N308" s="9"/>
      <c r="Q308" s="9"/>
      <c r="T308" s="9"/>
      <c r="U308" s="9"/>
    </row>
    <row r="309" spans="6:21" x14ac:dyDescent="0.25">
      <c r="F309" s="9"/>
      <c r="G309" s="9"/>
      <c r="H309" s="9"/>
      <c r="I309" s="9"/>
      <c r="J309" s="9"/>
      <c r="L309" s="9"/>
      <c r="N309" s="9"/>
      <c r="Q309" s="9"/>
      <c r="T309" s="9"/>
      <c r="U309" s="9"/>
    </row>
    <row r="310" spans="6:21" x14ac:dyDescent="0.25">
      <c r="F310" s="9"/>
      <c r="G310" s="9"/>
      <c r="H310" s="9"/>
      <c r="I310" s="9"/>
      <c r="J310" s="9"/>
      <c r="L310" s="9"/>
      <c r="N310" s="9"/>
      <c r="Q310" s="9"/>
      <c r="T310" s="9"/>
      <c r="U310" s="9"/>
    </row>
    <row r="311" spans="6:21" x14ac:dyDescent="0.25">
      <c r="F311" s="9"/>
      <c r="G311" s="9"/>
      <c r="H311" s="9"/>
      <c r="I311" s="9"/>
      <c r="J311" s="9"/>
      <c r="L311" s="9"/>
      <c r="N311" s="9"/>
      <c r="Q311" s="9"/>
      <c r="T311" s="9"/>
      <c r="U311" s="9"/>
    </row>
    <row r="312" spans="6:21" x14ac:dyDescent="0.25">
      <c r="F312" s="9"/>
      <c r="G312" s="9"/>
      <c r="H312" s="9"/>
      <c r="I312" s="9"/>
      <c r="J312" s="9"/>
      <c r="L312" s="9"/>
      <c r="N312" s="9"/>
      <c r="Q312" s="9"/>
      <c r="T312" s="9"/>
      <c r="U312" s="9"/>
    </row>
    <row r="313" spans="6:21" x14ac:dyDescent="0.25">
      <c r="F313" s="9"/>
      <c r="G313" s="9"/>
      <c r="H313" s="9"/>
      <c r="I313" s="9"/>
      <c r="J313" s="9"/>
      <c r="L313" s="9"/>
      <c r="N313" s="9"/>
      <c r="Q313" s="9"/>
      <c r="T313" s="9"/>
      <c r="U313" s="9"/>
    </row>
    <row r="314" spans="6:21" x14ac:dyDescent="0.25">
      <c r="F314" s="9"/>
      <c r="G314" s="9"/>
      <c r="H314" s="9"/>
      <c r="I314" s="9"/>
      <c r="J314" s="9"/>
      <c r="L314" s="9"/>
      <c r="N314" s="9"/>
      <c r="Q314" s="9"/>
      <c r="T314" s="9"/>
      <c r="U314" s="9"/>
    </row>
    <row r="315" spans="6:21" x14ac:dyDescent="0.25">
      <c r="F315" s="9"/>
      <c r="G315" s="9"/>
      <c r="H315" s="9"/>
      <c r="I315" s="9"/>
      <c r="J315" s="9"/>
      <c r="L315" s="9"/>
      <c r="N315" s="9"/>
      <c r="Q315" s="9"/>
      <c r="T315" s="9"/>
      <c r="U315" s="9"/>
    </row>
    <row r="316" spans="6:21" x14ac:dyDescent="0.25">
      <c r="F316" s="9"/>
      <c r="G316" s="9"/>
      <c r="H316" s="9"/>
      <c r="I316" s="9"/>
      <c r="J316" s="9"/>
      <c r="L316" s="9"/>
      <c r="N316" s="9"/>
      <c r="Q316" s="9"/>
      <c r="T316" s="9"/>
      <c r="U316" s="9"/>
    </row>
    <row r="317" spans="6:21" x14ac:dyDescent="0.25">
      <c r="F317" s="9"/>
      <c r="G317" s="9"/>
      <c r="H317" s="9"/>
      <c r="I317" s="9"/>
      <c r="J317" s="9"/>
      <c r="L317" s="9"/>
      <c r="N317" s="9"/>
      <c r="Q317" s="9"/>
      <c r="T317" s="9"/>
      <c r="U317" s="9"/>
    </row>
    <row r="318" spans="6:21" x14ac:dyDescent="0.25">
      <c r="F318" s="9"/>
      <c r="G318" s="9"/>
      <c r="H318" s="9"/>
      <c r="I318" s="9"/>
      <c r="J318" s="9"/>
      <c r="L318" s="9"/>
      <c r="N318" s="9"/>
      <c r="Q318" s="9"/>
      <c r="T318" s="9"/>
      <c r="U318" s="9"/>
    </row>
    <row r="319" spans="6:21" x14ac:dyDescent="0.25">
      <c r="F319" s="9"/>
      <c r="G319" s="9"/>
      <c r="H319" s="9"/>
      <c r="I319" s="9"/>
      <c r="J319" s="9"/>
      <c r="L319" s="9"/>
      <c r="N319" s="9"/>
      <c r="Q319" s="9"/>
      <c r="T319" s="9"/>
      <c r="U319" s="9"/>
    </row>
    <row r="320" spans="6:21" x14ac:dyDescent="0.25">
      <c r="F320" s="9"/>
      <c r="G320" s="9"/>
      <c r="H320" s="9"/>
      <c r="I320" s="9"/>
      <c r="J320" s="9"/>
      <c r="L320" s="9"/>
      <c r="N320" s="9"/>
      <c r="Q320" s="9"/>
      <c r="T320" s="9"/>
      <c r="U320" s="9"/>
    </row>
    <row r="321" spans="6:21" x14ac:dyDescent="0.25">
      <c r="F321" s="9"/>
      <c r="G321" s="9"/>
      <c r="H321" s="9"/>
      <c r="I321" s="9"/>
      <c r="J321" s="9"/>
      <c r="L321" s="9"/>
      <c r="N321" s="9"/>
      <c r="Q321" s="9"/>
      <c r="T321" s="9"/>
      <c r="U321" s="9"/>
    </row>
    <row r="322" spans="6:21" x14ac:dyDescent="0.25">
      <c r="F322" s="9"/>
      <c r="G322" s="9"/>
      <c r="H322" s="9"/>
      <c r="I322" s="9"/>
      <c r="J322" s="9"/>
      <c r="L322" s="9"/>
      <c r="N322" s="9"/>
      <c r="Q322" s="9"/>
      <c r="T322" s="9"/>
      <c r="U322" s="9"/>
    </row>
    <row r="323" spans="6:21" x14ac:dyDescent="0.25">
      <c r="F323" s="9"/>
      <c r="G323" s="9"/>
      <c r="H323" s="9"/>
      <c r="I323" s="9"/>
      <c r="J323" s="9"/>
      <c r="L323" s="9"/>
      <c r="N323" s="9"/>
      <c r="Q323" s="9"/>
      <c r="T323" s="9"/>
      <c r="U323" s="9"/>
    </row>
    <row r="324" spans="6:21" x14ac:dyDescent="0.25">
      <c r="F324" s="9"/>
      <c r="G324" s="9"/>
      <c r="H324" s="9"/>
      <c r="I324" s="9"/>
      <c r="J324" s="9"/>
      <c r="L324" s="9"/>
      <c r="N324" s="9"/>
      <c r="Q324" s="9"/>
      <c r="T324" s="9"/>
      <c r="U324" s="9"/>
    </row>
    <row r="325" spans="6:21" x14ac:dyDescent="0.25">
      <c r="F325" s="9"/>
      <c r="G325" s="9"/>
      <c r="H325" s="9"/>
      <c r="I325" s="9"/>
      <c r="J325" s="9"/>
      <c r="L325" s="9"/>
      <c r="N325" s="9"/>
      <c r="Q325" s="9"/>
      <c r="T325" s="9"/>
      <c r="U325" s="9"/>
    </row>
    <row r="326" spans="6:21" x14ac:dyDescent="0.25">
      <c r="F326" s="9"/>
      <c r="G326" s="9"/>
      <c r="H326" s="9"/>
      <c r="I326" s="9"/>
      <c r="J326" s="9"/>
      <c r="L326" s="9"/>
      <c r="N326" s="9"/>
      <c r="Q326" s="9"/>
      <c r="T326" s="9"/>
      <c r="U326" s="9"/>
    </row>
    <row r="327" spans="6:21" x14ac:dyDescent="0.25">
      <c r="F327" s="9"/>
      <c r="G327" s="9"/>
      <c r="H327" s="9"/>
      <c r="I327" s="9"/>
      <c r="J327" s="9"/>
      <c r="L327" s="9"/>
      <c r="N327" s="9"/>
      <c r="Q327" s="9"/>
      <c r="T327" s="9"/>
      <c r="U327" s="9"/>
    </row>
    <row r="328" spans="6:21" x14ac:dyDescent="0.25">
      <c r="F328" s="9"/>
      <c r="G328" s="9"/>
      <c r="H328" s="9"/>
      <c r="I328" s="9"/>
      <c r="J328" s="9"/>
      <c r="L328" s="9"/>
      <c r="N328" s="9"/>
      <c r="Q328" s="9"/>
      <c r="T328" s="9"/>
      <c r="U328" s="9"/>
    </row>
    <row r="329" spans="6:21" x14ac:dyDescent="0.25">
      <c r="F329" s="9"/>
      <c r="G329" s="9"/>
      <c r="H329" s="9"/>
      <c r="I329" s="9"/>
      <c r="J329" s="9"/>
      <c r="L329" s="9"/>
      <c r="N329" s="9"/>
      <c r="Q329" s="9"/>
      <c r="T329" s="9"/>
      <c r="U329" s="9"/>
    </row>
    <row r="330" spans="6:21" x14ac:dyDescent="0.25">
      <c r="F330" s="9"/>
      <c r="G330" s="9"/>
      <c r="H330" s="9"/>
      <c r="I330" s="9"/>
      <c r="J330" s="9"/>
      <c r="L330" s="9"/>
      <c r="N330" s="9"/>
      <c r="Q330" s="9"/>
      <c r="T330" s="9"/>
      <c r="U330" s="9"/>
    </row>
    <row r="331" spans="6:21" x14ac:dyDescent="0.25">
      <c r="F331" s="9"/>
      <c r="G331" s="9"/>
      <c r="H331" s="9"/>
      <c r="I331" s="9"/>
      <c r="J331" s="9"/>
      <c r="L331" s="9"/>
      <c r="N331" s="9"/>
      <c r="Q331" s="9"/>
      <c r="T331" s="9"/>
      <c r="U331" s="9"/>
    </row>
    <row r="332" spans="6:21" x14ac:dyDescent="0.25">
      <c r="F332" s="9"/>
      <c r="G332" s="9"/>
      <c r="H332" s="9"/>
      <c r="I332" s="9"/>
      <c r="J332" s="9"/>
      <c r="L332" s="9"/>
      <c r="N332" s="9"/>
      <c r="Q332" s="9"/>
      <c r="T332" s="9"/>
      <c r="U332" s="9"/>
    </row>
    <row r="333" spans="6:21" x14ac:dyDescent="0.25">
      <c r="F333" s="9"/>
      <c r="G333" s="9"/>
      <c r="H333" s="9"/>
      <c r="I333" s="9"/>
      <c r="J333" s="9"/>
      <c r="L333" s="9"/>
      <c r="N333" s="9"/>
      <c r="Q333" s="9"/>
      <c r="T333" s="9"/>
      <c r="U333" s="9"/>
    </row>
    <row r="334" spans="6:21" x14ac:dyDescent="0.25">
      <c r="F334" s="9"/>
      <c r="G334" s="9"/>
      <c r="H334" s="9"/>
      <c r="I334" s="9"/>
      <c r="J334" s="9"/>
      <c r="L334" s="9"/>
      <c r="N334" s="9"/>
      <c r="Q334" s="9"/>
      <c r="T334" s="9"/>
      <c r="U334" s="9"/>
    </row>
    <row r="335" spans="6:21" x14ac:dyDescent="0.25">
      <c r="F335" s="9"/>
      <c r="G335" s="9"/>
      <c r="H335" s="9"/>
      <c r="I335" s="9"/>
      <c r="J335" s="9"/>
      <c r="L335" s="9"/>
      <c r="N335" s="9"/>
      <c r="Q335" s="9"/>
      <c r="T335" s="9"/>
      <c r="U335" s="9"/>
    </row>
    <row r="336" spans="6:21" x14ac:dyDescent="0.25">
      <c r="F336" s="9"/>
      <c r="G336" s="9"/>
      <c r="H336" s="9"/>
      <c r="I336" s="9"/>
      <c r="J336" s="9"/>
      <c r="L336" s="9"/>
      <c r="N336" s="9"/>
      <c r="Q336" s="9"/>
      <c r="T336" s="9"/>
      <c r="U336" s="9"/>
    </row>
    <row r="337" spans="6:21" x14ac:dyDescent="0.25">
      <c r="F337" s="9"/>
      <c r="G337" s="9"/>
      <c r="H337" s="9"/>
      <c r="I337" s="9"/>
      <c r="J337" s="9"/>
      <c r="L337" s="9"/>
      <c r="N337" s="9"/>
      <c r="Q337" s="9"/>
      <c r="T337" s="9"/>
      <c r="U337" s="9"/>
    </row>
    <row r="338" spans="6:21" x14ac:dyDescent="0.25">
      <c r="F338" s="9"/>
      <c r="G338" s="9"/>
      <c r="H338" s="9"/>
      <c r="I338" s="9"/>
      <c r="J338" s="9"/>
      <c r="L338" s="9"/>
      <c r="N338" s="9"/>
      <c r="Q338" s="9"/>
      <c r="T338" s="9"/>
      <c r="U338" s="9"/>
    </row>
    <row r="339" spans="6:21" x14ac:dyDescent="0.25">
      <c r="F339" s="9"/>
      <c r="G339" s="9"/>
      <c r="H339" s="9"/>
      <c r="I339" s="9"/>
      <c r="J339" s="9"/>
      <c r="L339" s="9"/>
      <c r="N339" s="9"/>
      <c r="Q339" s="9"/>
      <c r="T339" s="9"/>
      <c r="U339" s="9"/>
    </row>
    <row r="340" spans="6:21" x14ac:dyDescent="0.25">
      <c r="F340" s="9"/>
      <c r="G340" s="9"/>
      <c r="H340" s="9"/>
      <c r="I340" s="9"/>
      <c r="J340" s="9"/>
      <c r="L340" s="9"/>
      <c r="N340" s="9"/>
      <c r="Q340" s="9"/>
      <c r="T340" s="9"/>
      <c r="U340" s="9"/>
    </row>
    <row r="341" spans="6:21" x14ac:dyDescent="0.25">
      <c r="F341" s="9"/>
      <c r="G341" s="9"/>
      <c r="H341" s="9"/>
      <c r="I341" s="9"/>
      <c r="J341" s="9"/>
      <c r="L341" s="9"/>
      <c r="N341" s="9"/>
      <c r="Q341" s="9"/>
      <c r="T341" s="9"/>
      <c r="U341" s="9"/>
    </row>
    <row r="342" spans="6:21" x14ac:dyDescent="0.25">
      <c r="F342" s="9"/>
      <c r="G342" s="9"/>
      <c r="H342" s="9"/>
      <c r="I342" s="9"/>
      <c r="J342" s="9"/>
      <c r="L342" s="9"/>
      <c r="N342" s="9"/>
      <c r="Q342" s="9"/>
      <c r="T342" s="9"/>
      <c r="U342" s="9"/>
    </row>
    <row r="343" spans="6:21" x14ac:dyDescent="0.25">
      <c r="F343" s="9"/>
      <c r="G343" s="9"/>
      <c r="H343" s="9"/>
      <c r="I343" s="9"/>
      <c r="J343" s="9"/>
      <c r="L343" s="9"/>
      <c r="N343" s="9"/>
      <c r="Q343" s="9"/>
      <c r="T343" s="9"/>
      <c r="U343" s="9"/>
    </row>
    <row r="344" spans="6:21" x14ac:dyDescent="0.25">
      <c r="F344" s="9"/>
      <c r="G344" s="9"/>
      <c r="H344" s="9"/>
      <c r="I344" s="9"/>
      <c r="J344" s="9"/>
      <c r="L344" s="9"/>
      <c r="N344" s="9"/>
      <c r="Q344" s="9"/>
      <c r="T344" s="9"/>
      <c r="U344" s="9"/>
    </row>
    <row r="345" spans="6:21" x14ac:dyDescent="0.25">
      <c r="F345" s="9"/>
      <c r="G345" s="9"/>
      <c r="H345" s="9"/>
      <c r="I345" s="9"/>
      <c r="J345" s="9"/>
      <c r="L345" s="9"/>
      <c r="N345" s="9"/>
      <c r="Q345" s="9"/>
      <c r="T345" s="9"/>
      <c r="U345" s="9"/>
    </row>
    <row r="346" spans="6:21" x14ac:dyDescent="0.25">
      <c r="F346" s="9"/>
      <c r="G346" s="9"/>
      <c r="H346" s="9"/>
      <c r="I346" s="9"/>
      <c r="J346" s="9"/>
      <c r="L346" s="9"/>
      <c r="N346" s="9"/>
      <c r="Q346" s="9"/>
      <c r="T346" s="9"/>
      <c r="U346" s="9"/>
    </row>
    <row r="347" spans="6:21" x14ac:dyDescent="0.25">
      <c r="F347" s="9"/>
      <c r="G347" s="9"/>
      <c r="H347" s="9"/>
      <c r="I347" s="9"/>
      <c r="J347" s="9"/>
      <c r="L347" s="9"/>
      <c r="N347" s="9"/>
      <c r="Q347" s="9"/>
      <c r="T347" s="9"/>
      <c r="U347" s="9"/>
    </row>
    <row r="348" spans="6:21" x14ac:dyDescent="0.25">
      <c r="F348" s="9"/>
      <c r="G348" s="9"/>
      <c r="H348" s="9"/>
      <c r="I348" s="9"/>
      <c r="J348" s="9"/>
      <c r="L348" s="9"/>
      <c r="N348" s="9"/>
      <c r="Q348" s="9"/>
      <c r="T348" s="9"/>
      <c r="U348" s="9"/>
    </row>
    <row r="349" spans="6:21" x14ac:dyDescent="0.25">
      <c r="F349" s="9"/>
      <c r="G349" s="9"/>
      <c r="H349" s="9"/>
      <c r="I349" s="9"/>
      <c r="J349" s="9"/>
      <c r="L349" s="9"/>
      <c r="N349" s="9"/>
      <c r="Q349" s="9"/>
      <c r="T349" s="9"/>
      <c r="U349" s="9"/>
    </row>
    <row r="350" spans="6:21" x14ac:dyDescent="0.25">
      <c r="F350" s="9"/>
      <c r="G350" s="9"/>
      <c r="H350" s="9"/>
      <c r="I350" s="9"/>
      <c r="J350" s="9"/>
      <c r="L350" s="9"/>
      <c r="N350" s="9"/>
      <c r="Q350" s="9"/>
      <c r="T350" s="9"/>
      <c r="U350" s="9"/>
    </row>
    <row r="351" spans="6:21" x14ac:dyDescent="0.25">
      <c r="F351" s="9"/>
      <c r="G351" s="9"/>
      <c r="H351" s="9"/>
      <c r="I351" s="9"/>
      <c r="J351" s="9"/>
      <c r="L351" s="9"/>
      <c r="N351" s="9"/>
      <c r="Q351" s="9"/>
      <c r="T351" s="9"/>
      <c r="U351" s="9"/>
    </row>
    <row r="352" spans="6:21" x14ac:dyDescent="0.25">
      <c r="F352" s="9"/>
      <c r="G352" s="9"/>
      <c r="H352" s="9"/>
      <c r="I352" s="9"/>
      <c r="J352" s="9"/>
      <c r="L352" s="9"/>
      <c r="N352" s="9"/>
      <c r="Q352" s="9"/>
      <c r="T352" s="9"/>
      <c r="U352" s="9"/>
    </row>
    <row r="353" spans="6:21" x14ac:dyDescent="0.25">
      <c r="F353" s="9"/>
      <c r="G353" s="9"/>
      <c r="H353" s="9"/>
      <c r="I353" s="9"/>
      <c r="J353" s="9"/>
      <c r="L353" s="9"/>
      <c r="N353" s="9"/>
      <c r="Q353" s="9"/>
      <c r="T353" s="9"/>
      <c r="U353" s="9"/>
    </row>
    <row r="354" spans="6:21" x14ac:dyDescent="0.25">
      <c r="F354" s="9"/>
      <c r="G354" s="9"/>
      <c r="H354" s="9"/>
      <c r="I354" s="9"/>
      <c r="J354" s="9"/>
      <c r="L354" s="9"/>
      <c r="N354" s="9"/>
      <c r="Q354" s="9"/>
      <c r="T354" s="9"/>
      <c r="U354" s="9"/>
    </row>
    <row r="355" spans="6:21" x14ac:dyDescent="0.25">
      <c r="F355" s="9"/>
      <c r="G355" s="9"/>
      <c r="H355" s="9"/>
      <c r="I355" s="9"/>
      <c r="J355" s="9"/>
      <c r="L355" s="9"/>
      <c r="N355" s="9"/>
      <c r="Q355" s="9"/>
      <c r="T355" s="9"/>
      <c r="U355" s="9"/>
    </row>
    <row r="356" spans="6:21" x14ac:dyDescent="0.25">
      <c r="F356" s="9"/>
      <c r="G356" s="9"/>
      <c r="H356" s="9"/>
      <c r="I356" s="9"/>
      <c r="J356" s="9"/>
      <c r="L356" s="9"/>
      <c r="N356" s="9"/>
      <c r="Q356" s="9"/>
      <c r="T356" s="9"/>
      <c r="U356" s="9"/>
    </row>
    <row r="357" spans="6:21" x14ac:dyDescent="0.25">
      <c r="F357" s="9"/>
      <c r="G357" s="9"/>
      <c r="H357" s="9"/>
      <c r="I357" s="9"/>
      <c r="J357" s="9"/>
      <c r="L357" s="9"/>
      <c r="N357" s="9"/>
      <c r="Q357" s="9"/>
      <c r="T357" s="9"/>
      <c r="U357" s="9"/>
    </row>
    <row r="358" spans="6:21" x14ac:dyDescent="0.25">
      <c r="F358" s="9"/>
      <c r="G358" s="9"/>
      <c r="H358" s="9"/>
      <c r="I358" s="9"/>
      <c r="J358" s="9"/>
      <c r="L358" s="9"/>
      <c r="N358" s="9"/>
      <c r="Q358" s="9"/>
      <c r="T358" s="9"/>
      <c r="U358" s="9"/>
    </row>
    <row r="359" spans="6:21" x14ac:dyDescent="0.25">
      <c r="F359" s="9"/>
      <c r="G359" s="9"/>
      <c r="H359" s="9"/>
      <c r="I359" s="9"/>
      <c r="J359" s="9"/>
      <c r="L359" s="9"/>
      <c r="N359" s="9"/>
      <c r="Q359" s="9"/>
      <c r="T359" s="9"/>
      <c r="U359" s="9"/>
    </row>
    <row r="360" spans="6:21" x14ac:dyDescent="0.25">
      <c r="F360" s="9"/>
      <c r="G360" s="9"/>
      <c r="H360" s="9"/>
      <c r="I360" s="9"/>
      <c r="J360" s="9"/>
      <c r="L360" s="9"/>
      <c r="N360" s="9"/>
      <c r="Q360" s="9"/>
      <c r="T360" s="9"/>
      <c r="U360" s="9"/>
    </row>
    <row r="361" spans="6:21" x14ac:dyDescent="0.25">
      <c r="F361" s="9"/>
      <c r="G361" s="9"/>
      <c r="H361" s="9"/>
      <c r="I361" s="9"/>
      <c r="J361" s="9"/>
      <c r="L361" s="9"/>
      <c r="N361" s="9"/>
      <c r="Q361" s="9"/>
      <c r="T361" s="9"/>
      <c r="U361" s="9"/>
    </row>
    <row r="362" spans="6:21" x14ac:dyDescent="0.25">
      <c r="F362" s="9"/>
      <c r="G362" s="9"/>
      <c r="H362" s="9"/>
      <c r="I362" s="9"/>
      <c r="J362" s="9"/>
      <c r="L362" s="9"/>
      <c r="N362" s="9"/>
      <c r="Q362" s="9"/>
      <c r="T362" s="9"/>
      <c r="U362" s="9"/>
    </row>
    <row r="363" spans="6:21" x14ac:dyDescent="0.25">
      <c r="F363" s="9"/>
      <c r="G363" s="9"/>
      <c r="H363" s="9"/>
      <c r="I363" s="9"/>
      <c r="J363" s="9"/>
      <c r="L363" s="9"/>
      <c r="N363" s="9"/>
      <c r="Q363" s="9"/>
      <c r="T363" s="9"/>
      <c r="U363" s="9"/>
    </row>
    <row r="364" spans="6:21" x14ac:dyDescent="0.25">
      <c r="F364" s="9"/>
      <c r="G364" s="9"/>
      <c r="H364" s="9"/>
      <c r="I364" s="9"/>
      <c r="J364" s="9"/>
      <c r="L364" s="9"/>
      <c r="N364" s="9"/>
      <c r="Q364" s="9"/>
      <c r="T364" s="9"/>
      <c r="U364" s="9"/>
    </row>
    <row r="365" spans="6:21" x14ac:dyDescent="0.25">
      <c r="F365" s="9"/>
      <c r="G365" s="9"/>
      <c r="H365" s="9"/>
      <c r="I365" s="9"/>
      <c r="J365" s="9"/>
      <c r="L365" s="9"/>
      <c r="N365" s="9"/>
      <c r="Q365" s="9"/>
      <c r="T365" s="9"/>
      <c r="U365" s="9"/>
    </row>
    <row r="366" spans="6:21" x14ac:dyDescent="0.25">
      <c r="F366" s="9"/>
      <c r="G366" s="9"/>
      <c r="H366" s="9"/>
      <c r="I366" s="9"/>
      <c r="J366" s="9"/>
      <c r="L366" s="9"/>
      <c r="N366" s="9"/>
      <c r="Q366" s="9"/>
      <c r="T366" s="9"/>
      <c r="U366" s="9"/>
    </row>
    <row r="367" spans="6:21" x14ac:dyDescent="0.25">
      <c r="F367" s="9"/>
      <c r="G367" s="9"/>
      <c r="H367" s="9"/>
      <c r="I367" s="9"/>
      <c r="J367" s="9"/>
      <c r="L367" s="9"/>
      <c r="N367" s="9"/>
      <c r="Q367" s="9"/>
      <c r="T367" s="9"/>
      <c r="U367" s="9"/>
    </row>
    <row r="368" spans="6:21" x14ac:dyDescent="0.25">
      <c r="F368" s="9"/>
      <c r="G368" s="9"/>
      <c r="H368" s="9"/>
      <c r="I368" s="9"/>
      <c r="J368" s="9"/>
      <c r="L368" s="9"/>
      <c r="N368" s="9"/>
      <c r="Q368" s="9"/>
      <c r="T368" s="9"/>
      <c r="U368" s="9"/>
    </row>
    <row r="369" spans="6:21" x14ac:dyDescent="0.25">
      <c r="F369" s="9"/>
      <c r="G369" s="9"/>
      <c r="H369" s="9"/>
      <c r="I369" s="9"/>
      <c r="J369" s="9"/>
      <c r="L369" s="9"/>
      <c r="N369" s="9"/>
      <c r="Q369" s="9"/>
      <c r="T369" s="9"/>
      <c r="U369" s="9"/>
    </row>
    <row r="370" spans="6:21" x14ac:dyDescent="0.25">
      <c r="F370" s="9"/>
      <c r="G370" s="9"/>
      <c r="H370" s="9"/>
      <c r="I370" s="9"/>
      <c r="J370" s="9"/>
      <c r="L370" s="9"/>
      <c r="N370" s="9"/>
      <c r="Q370" s="9"/>
      <c r="T370" s="9"/>
      <c r="U370" s="9"/>
    </row>
    <row r="371" spans="6:21" x14ac:dyDescent="0.25">
      <c r="F371" s="9"/>
      <c r="G371" s="9"/>
      <c r="H371" s="9"/>
      <c r="I371" s="9"/>
      <c r="J371" s="9"/>
      <c r="L371" s="9"/>
      <c r="N371" s="9"/>
      <c r="Q371" s="9"/>
      <c r="T371" s="9"/>
      <c r="U371" s="9"/>
    </row>
    <row r="372" spans="6:21" x14ac:dyDescent="0.25">
      <c r="F372" s="9"/>
      <c r="G372" s="9"/>
      <c r="H372" s="9"/>
      <c r="I372" s="9"/>
      <c r="J372" s="9"/>
      <c r="L372" s="9"/>
      <c r="N372" s="9"/>
      <c r="Q372" s="9"/>
      <c r="T372" s="9"/>
      <c r="U372" s="9"/>
    </row>
    <row r="373" spans="6:21" x14ac:dyDescent="0.25">
      <c r="F373" s="9"/>
      <c r="G373" s="9"/>
      <c r="H373" s="9"/>
      <c r="I373" s="9"/>
      <c r="J373" s="9"/>
      <c r="L373" s="9"/>
      <c r="N373" s="9"/>
      <c r="Q373" s="9"/>
      <c r="T373" s="9"/>
      <c r="U373" s="9"/>
    </row>
    <row r="374" spans="6:21" x14ac:dyDescent="0.25">
      <c r="F374" s="9"/>
      <c r="G374" s="9"/>
      <c r="H374" s="9"/>
      <c r="I374" s="9"/>
      <c r="J374" s="9"/>
      <c r="L374" s="9"/>
      <c r="N374" s="9"/>
      <c r="Q374" s="9"/>
      <c r="T374" s="9"/>
      <c r="U374" s="9"/>
    </row>
    <row r="375" spans="6:21" x14ac:dyDescent="0.25">
      <c r="F375" s="9"/>
      <c r="G375" s="9"/>
      <c r="H375" s="9"/>
      <c r="I375" s="9"/>
      <c r="J375" s="9"/>
      <c r="L375" s="9"/>
      <c r="N375" s="9"/>
      <c r="Q375" s="9"/>
      <c r="T375" s="9"/>
      <c r="U375" s="9"/>
    </row>
    <row r="376" spans="6:21" x14ac:dyDescent="0.25">
      <c r="F376" s="9"/>
      <c r="G376" s="9"/>
      <c r="H376" s="9"/>
      <c r="I376" s="9"/>
      <c r="J376" s="9"/>
      <c r="L376" s="9"/>
      <c r="N376" s="9"/>
      <c r="Q376" s="9"/>
      <c r="T376" s="9"/>
      <c r="U376" s="9"/>
    </row>
    <row r="377" spans="6:21" x14ac:dyDescent="0.25">
      <c r="F377" s="9"/>
      <c r="G377" s="9"/>
      <c r="H377" s="9"/>
      <c r="I377" s="9"/>
      <c r="J377" s="9"/>
      <c r="L377" s="9"/>
      <c r="N377" s="9"/>
      <c r="Q377" s="9"/>
      <c r="T377" s="9"/>
      <c r="U377" s="9"/>
    </row>
    <row r="378" spans="6:21" x14ac:dyDescent="0.25">
      <c r="F378" s="9"/>
      <c r="G378" s="9"/>
      <c r="H378" s="9"/>
      <c r="I378" s="9"/>
      <c r="J378" s="9"/>
      <c r="L378" s="9"/>
      <c r="N378" s="9"/>
      <c r="Q378" s="9"/>
      <c r="T378" s="9"/>
      <c r="U378" s="9"/>
    </row>
    <row r="379" spans="6:21" x14ac:dyDescent="0.25">
      <c r="F379" s="9"/>
      <c r="G379" s="9"/>
      <c r="H379" s="9"/>
      <c r="I379" s="9"/>
      <c r="J379" s="9"/>
      <c r="L379" s="9"/>
      <c r="N379" s="9"/>
      <c r="Q379" s="9"/>
      <c r="T379" s="9"/>
      <c r="U379" s="9"/>
    </row>
    <row r="380" spans="6:21" x14ac:dyDescent="0.25">
      <c r="F380" s="9"/>
      <c r="G380" s="9"/>
      <c r="H380" s="9"/>
      <c r="I380" s="9"/>
      <c r="J380" s="9"/>
      <c r="L380" s="9"/>
      <c r="N380" s="9"/>
      <c r="Q380" s="9"/>
      <c r="T380" s="9"/>
      <c r="U380" s="9"/>
    </row>
    <row r="381" spans="6:21" x14ac:dyDescent="0.25">
      <c r="F381" s="9"/>
      <c r="G381" s="9"/>
      <c r="H381" s="9"/>
      <c r="I381" s="9"/>
      <c r="J381" s="9"/>
      <c r="L381" s="9"/>
      <c r="N381" s="9"/>
      <c r="Q381" s="9"/>
      <c r="T381" s="9"/>
      <c r="U381" s="9"/>
    </row>
    <row r="382" spans="6:21" x14ac:dyDescent="0.25">
      <c r="F382" s="9"/>
      <c r="G382" s="9"/>
      <c r="H382" s="9"/>
      <c r="I382" s="9"/>
      <c r="J382" s="9"/>
      <c r="L382" s="9"/>
      <c r="N382" s="9"/>
      <c r="Q382" s="9"/>
      <c r="T382" s="9"/>
      <c r="U382" s="9"/>
    </row>
    <row r="383" spans="6:21" x14ac:dyDescent="0.25">
      <c r="F383" s="9"/>
      <c r="G383" s="9"/>
      <c r="H383" s="9"/>
      <c r="I383" s="9"/>
      <c r="J383" s="9"/>
      <c r="L383" s="9"/>
      <c r="N383" s="9"/>
      <c r="Q383" s="9"/>
      <c r="T383" s="9"/>
      <c r="U383" s="9"/>
    </row>
    <row r="384" spans="6:21" x14ac:dyDescent="0.25">
      <c r="F384" s="9"/>
      <c r="G384" s="9"/>
      <c r="H384" s="9"/>
      <c r="I384" s="9"/>
      <c r="J384" s="9"/>
      <c r="L384" s="9"/>
      <c r="N384" s="9"/>
      <c r="Q384" s="9"/>
      <c r="T384" s="9"/>
      <c r="U384" s="9"/>
    </row>
    <row r="385" spans="6:21" x14ac:dyDescent="0.25">
      <c r="F385" s="9"/>
      <c r="G385" s="9"/>
      <c r="H385" s="9"/>
      <c r="I385" s="9"/>
      <c r="J385" s="9"/>
      <c r="L385" s="9"/>
      <c r="N385" s="9"/>
      <c r="Q385" s="9"/>
      <c r="T385" s="9"/>
      <c r="U385" s="9"/>
    </row>
    <row r="386" spans="6:21" x14ac:dyDescent="0.25">
      <c r="F386" s="9"/>
      <c r="G386" s="9"/>
      <c r="H386" s="9"/>
      <c r="I386" s="9"/>
      <c r="J386" s="9"/>
      <c r="L386" s="9"/>
      <c r="N386" s="9"/>
      <c r="Q386" s="9"/>
      <c r="T386" s="9"/>
      <c r="U386" s="9"/>
    </row>
    <row r="387" spans="6:21" x14ac:dyDescent="0.25">
      <c r="F387" s="9"/>
      <c r="G387" s="9"/>
      <c r="H387" s="9"/>
      <c r="I387" s="9"/>
      <c r="J387" s="9"/>
      <c r="L387" s="9"/>
      <c r="N387" s="9"/>
      <c r="Q387" s="9"/>
      <c r="T387" s="9"/>
      <c r="U387" s="9"/>
    </row>
    <row r="388" spans="6:21" x14ac:dyDescent="0.25">
      <c r="F388" s="9"/>
      <c r="G388" s="9"/>
      <c r="H388" s="9"/>
      <c r="I388" s="9"/>
      <c r="J388" s="9"/>
      <c r="L388" s="9"/>
      <c r="N388" s="9"/>
      <c r="Q388" s="9"/>
      <c r="T388" s="9"/>
      <c r="U388" s="9"/>
    </row>
    <row r="389" spans="6:21" x14ac:dyDescent="0.25">
      <c r="F389" s="9"/>
      <c r="G389" s="9"/>
      <c r="H389" s="9"/>
      <c r="I389" s="9"/>
      <c r="J389" s="9"/>
      <c r="L389" s="9"/>
      <c r="N389" s="9"/>
      <c r="Q389" s="9"/>
      <c r="T389" s="9"/>
      <c r="U389" s="9"/>
    </row>
    <row r="390" spans="6:21" x14ac:dyDescent="0.25">
      <c r="F390" s="9"/>
      <c r="G390" s="9"/>
      <c r="H390" s="9"/>
      <c r="I390" s="9"/>
      <c r="J390" s="9"/>
      <c r="L390" s="9"/>
      <c r="N390" s="9"/>
      <c r="Q390" s="9"/>
      <c r="T390" s="9"/>
      <c r="U390" s="9"/>
    </row>
    <row r="391" spans="6:21" x14ac:dyDescent="0.25">
      <c r="F391" s="9"/>
      <c r="G391" s="9"/>
      <c r="H391" s="9"/>
      <c r="I391" s="9"/>
      <c r="J391" s="9"/>
      <c r="L391" s="9"/>
      <c r="N391" s="9"/>
      <c r="Q391" s="9"/>
      <c r="T391" s="9"/>
      <c r="U391" s="9"/>
    </row>
    <row r="392" spans="6:21" x14ac:dyDescent="0.25">
      <c r="F392" s="9"/>
      <c r="G392" s="9"/>
      <c r="H392" s="9"/>
      <c r="I392" s="9"/>
      <c r="J392" s="9"/>
      <c r="L392" s="9"/>
      <c r="N392" s="9"/>
      <c r="Q392" s="9"/>
      <c r="T392" s="9"/>
      <c r="U392" s="9"/>
    </row>
    <row r="393" spans="6:21" x14ac:dyDescent="0.25">
      <c r="F393" s="9"/>
      <c r="G393" s="9"/>
      <c r="H393" s="9"/>
      <c r="I393" s="9"/>
      <c r="J393" s="9"/>
      <c r="L393" s="9"/>
      <c r="N393" s="9"/>
      <c r="Q393" s="9"/>
      <c r="T393" s="9"/>
      <c r="U393" s="9"/>
    </row>
    <row r="394" spans="6:21" x14ac:dyDescent="0.25">
      <c r="F394" s="9"/>
      <c r="G394" s="9"/>
      <c r="H394" s="9"/>
      <c r="I394" s="9"/>
      <c r="J394" s="9"/>
      <c r="L394" s="9"/>
      <c r="N394" s="9"/>
      <c r="Q394" s="9"/>
      <c r="T394" s="9"/>
      <c r="U394" s="9"/>
    </row>
    <row r="395" spans="6:21" x14ac:dyDescent="0.25">
      <c r="F395" s="9"/>
      <c r="G395" s="9"/>
      <c r="H395" s="9"/>
      <c r="I395" s="9"/>
      <c r="J395" s="9"/>
      <c r="L395" s="9"/>
      <c r="N395" s="9"/>
      <c r="Q395" s="9"/>
      <c r="T395" s="9"/>
      <c r="U395" s="9"/>
    </row>
    <row r="396" spans="6:21" x14ac:dyDescent="0.25">
      <c r="F396" s="9"/>
      <c r="G396" s="9"/>
      <c r="H396" s="9"/>
      <c r="I396" s="9"/>
      <c r="J396" s="9"/>
      <c r="L396" s="9"/>
      <c r="N396" s="9"/>
      <c r="Q396" s="9"/>
      <c r="T396" s="9"/>
      <c r="U396" s="9"/>
    </row>
    <row r="397" spans="6:21" x14ac:dyDescent="0.25">
      <c r="F397" s="9"/>
      <c r="G397" s="9"/>
      <c r="H397" s="9"/>
      <c r="I397" s="9"/>
      <c r="J397" s="9"/>
      <c r="L397" s="9"/>
      <c r="N397" s="9"/>
      <c r="Q397" s="9"/>
      <c r="T397" s="9"/>
      <c r="U397" s="9"/>
    </row>
    <row r="398" spans="6:21" x14ac:dyDescent="0.25">
      <c r="F398" s="9"/>
      <c r="G398" s="9"/>
      <c r="H398" s="9"/>
      <c r="I398" s="9"/>
      <c r="J398" s="9"/>
      <c r="L398" s="9"/>
      <c r="N398" s="9"/>
      <c r="Q398" s="9"/>
      <c r="T398" s="9"/>
      <c r="U398" s="9"/>
    </row>
    <row r="399" spans="6:21" x14ac:dyDescent="0.25">
      <c r="F399" s="9"/>
      <c r="G399" s="9"/>
      <c r="H399" s="9"/>
      <c r="I399" s="9"/>
      <c r="J399" s="9"/>
      <c r="L399" s="9"/>
      <c r="N399" s="9"/>
      <c r="Q399" s="9"/>
      <c r="T399" s="9"/>
      <c r="U399" s="9"/>
    </row>
    <row r="400" spans="6:21" x14ac:dyDescent="0.25">
      <c r="F400" s="9"/>
      <c r="G400" s="9"/>
      <c r="H400" s="9"/>
      <c r="I400" s="9"/>
      <c r="J400" s="9"/>
      <c r="L400" s="9"/>
      <c r="N400" s="9"/>
      <c r="Q400" s="9"/>
      <c r="T400" s="9"/>
      <c r="U400" s="9"/>
    </row>
    <row r="401" spans="6:21" x14ac:dyDescent="0.25">
      <c r="F401" s="9"/>
      <c r="G401" s="9"/>
      <c r="H401" s="9"/>
      <c r="I401" s="9"/>
      <c r="J401" s="9"/>
      <c r="L401" s="9"/>
      <c r="N401" s="9"/>
      <c r="Q401" s="9"/>
      <c r="T401" s="9"/>
      <c r="U401" s="9"/>
    </row>
    <row r="402" spans="6:21" x14ac:dyDescent="0.25">
      <c r="F402" s="9"/>
      <c r="G402" s="9"/>
      <c r="H402" s="9"/>
      <c r="I402" s="9"/>
      <c r="J402" s="9"/>
      <c r="L402" s="9"/>
      <c r="N402" s="9"/>
      <c r="Q402" s="9"/>
      <c r="T402" s="9"/>
      <c r="U402" s="9"/>
    </row>
    <row r="403" spans="6:21" x14ac:dyDescent="0.25">
      <c r="F403" s="9"/>
      <c r="G403" s="9"/>
      <c r="H403" s="9"/>
      <c r="I403" s="9"/>
      <c r="J403" s="9"/>
      <c r="L403" s="9"/>
      <c r="N403" s="9"/>
      <c r="Q403" s="9"/>
      <c r="T403" s="9"/>
      <c r="U403" s="9"/>
    </row>
    <row r="404" spans="6:21" x14ac:dyDescent="0.25">
      <c r="F404" s="9"/>
      <c r="G404" s="9"/>
      <c r="H404" s="9"/>
      <c r="I404" s="9"/>
      <c r="J404" s="9"/>
      <c r="L404" s="9"/>
      <c r="N404" s="9"/>
      <c r="Q404" s="9"/>
      <c r="T404" s="9"/>
      <c r="U404" s="9"/>
    </row>
    <row r="405" spans="6:21" x14ac:dyDescent="0.25">
      <c r="F405" s="9"/>
      <c r="G405" s="9"/>
      <c r="H405" s="9"/>
      <c r="I405" s="9"/>
      <c r="J405" s="9"/>
      <c r="L405" s="9"/>
      <c r="N405" s="9"/>
      <c r="Q405" s="9"/>
      <c r="T405" s="9"/>
      <c r="U405" s="9"/>
    </row>
    <row r="406" spans="6:21" x14ac:dyDescent="0.25">
      <c r="F406" s="9"/>
      <c r="G406" s="9"/>
      <c r="H406" s="9"/>
      <c r="I406" s="9"/>
      <c r="J406" s="9"/>
      <c r="L406" s="9"/>
      <c r="N406" s="9"/>
      <c r="Q406" s="9"/>
      <c r="T406" s="9"/>
      <c r="U406" s="9"/>
    </row>
    <row r="407" spans="6:21" x14ac:dyDescent="0.25">
      <c r="F407" s="9"/>
      <c r="G407" s="9"/>
      <c r="H407" s="9"/>
      <c r="I407" s="9"/>
      <c r="J407" s="9"/>
      <c r="L407" s="9"/>
      <c r="N407" s="9"/>
      <c r="Q407" s="9"/>
      <c r="T407" s="9"/>
      <c r="U407" s="9"/>
    </row>
    <row r="408" spans="6:21" x14ac:dyDescent="0.25">
      <c r="F408" s="9"/>
      <c r="G408" s="9"/>
      <c r="H408" s="9"/>
      <c r="I408" s="9"/>
      <c r="J408" s="9"/>
      <c r="L408" s="9"/>
      <c r="N408" s="9"/>
      <c r="Q408" s="9"/>
      <c r="T408" s="9"/>
      <c r="U408" s="9"/>
    </row>
    <row r="409" spans="6:21" x14ac:dyDescent="0.25">
      <c r="F409" s="9"/>
      <c r="G409" s="9"/>
      <c r="H409" s="9"/>
      <c r="I409" s="9"/>
      <c r="J409" s="9"/>
      <c r="L409" s="9"/>
      <c r="N409" s="9"/>
      <c r="Q409" s="9"/>
      <c r="T409" s="9"/>
      <c r="U409" s="9"/>
    </row>
    <row r="410" spans="6:21" x14ac:dyDescent="0.25">
      <c r="F410" s="9"/>
      <c r="G410" s="9"/>
      <c r="H410" s="9"/>
      <c r="I410" s="9"/>
      <c r="J410" s="9"/>
      <c r="L410" s="9"/>
      <c r="N410" s="9"/>
      <c r="Q410" s="9"/>
      <c r="T410" s="9"/>
      <c r="U410" s="9"/>
    </row>
    <row r="411" spans="6:21" x14ac:dyDescent="0.25">
      <c r="F411" s="9"/>
      <c r="G411" s="9"/>
      <c r="H411" s="9"/>
      <c r="I411" s="9"/>
      <c r="J411" s="9"/>
      <c r="L411" s="9"/>
      <c r="N411" s="9"/>
      <c r="Q411" s="9"/>
      <c r="T411" s="9"/>
      <c r="U411" s="9"/>
    </row>
    <row r="412" spans="6:21" x14ac:dyDescent="0.25">
      <c r="F412" s="9"/>
      <c r="G412" s="9"/>
      <c r="H412" s="9"/>
      <c r="I412" s="9"/>
      <c r="J412" s="9"/>
      <c r="L412" s="9"/>
      <c r="N412" s="9"/>
      <c r="Q412" s="9"/>
      <c r="T412" s="9"/>
      <c r="U412" s="9"/>
    </row>
    <row r="413" spans="6:21" x14ac:dyDescent="0.25">
      <c r="F413" s="9"/>
      <c r="G413" s="9"/>
      <c r="H413" s="9"/>
      <c r="I413" s="9"/>
      <c r="J413" s="9"/>
      <c r="L413" s="9"/>
      <c r="N413" s="9"/>
      <c r="Q413" s="9"/>
      <c r="T413" s="9"/>
      <c r="U413" s="9"/>
    </row>
    <row r="414" spans="6:21" x14ac:dyDescent="0.25">
      <c r="F414" s="9"/>
      <c r="G414" s="9"/>
      <c r="H414" s="9"/>
      <c r="I414" s="9"/>
      <c r="J414" s="9"/>
      <c r="L414" s="9"/>
      <c r="N414" s="9"/>
      <c r="Q414" s="9"/>
      <c r="T414" s="9"/>
      <c r="U414" s="9"/>
    </row>
    <row r="415" spans="6:21" x14ac:dyDescent="0.25">
      <c r="F415" s="9"/>
      <c r="G415" s="9"/>
      <c r="H415" s="9"/>
      <c r="I415" s="9"/>
      <c r="J415" s="9"/>
      <c r="L415" s="9"/>
      <c r="N415" s="9"/>
      <c r="Q415" s="9"/>
      <c r="T415" s="9"/>
      <c r="U415" s="9"/>
    </row>
    <row r="416" spans="6:21" x14ac:dyDescent="0.25">
      <c r="F416" s="9"/>
      <c r="G416" s="9"/>
      <c r="H416" s="9"/>
      <c r="I416" s="9"/>
      <c r="J416" s="9"/>
      <c r="L416" s="9"/>
      <c r="N416" s="9"/>
      <c r="Q416" s="9"/>
      <c r="T416" s="9"/>
      <c r="U416" s="9"/>
    </row>
    <row r="417" spans="6:21" x14ac:dyDescent="0.25">
      <c r="F417" s="9"/>
      <c r="G417" s="9"/>
      <c r="H417" s="9"/>
      <c r="I417" s="9"/>
      <c r="J417" s="9"/>
      <c r="L417" s="9"/>
      <c r="N417" s="9"/>
      <c r="Q417" s="9"/>
      <c r="T417" s="9"/>
      <c r="U417" s="9"/>
    </row>
    <row r="418" spans="6:21" x14ac:dyDescent="0.25">
      <c r="F418" s="9"/>
      <c r="G418" s="9"/>
      <c r="H418" s="9"/>
      <c r="I418" s="9"/>
      <c r="J418" s="9"/>
      <c r="L418" s="9"/>
      <c r="N418" s="9"/>
      <c r="Q418" s="9"/>
      <c r="T418" s="9"/>
      <c r="U418" s="9"/>
    </row>
    <row r="419" spans="6:21" x14ac:dyDescent="0.25">
      <c r="F419" s="9"/>
      <c r="G419" s="9"/>
      <c r="H419" s="9"/>
      <c r="I419" s="9"/>
      <c r="J419" s="9"/>
      <c r="L419" s="9"/>
      <c r="N419" s="9"/>
      <c r="Q419" s="9"/>
      <c r="T419" s="9"/>
      <c r="U419" s="9"/>
    </row>
    <row r="420" spans="6:21" x14ac:dyDescent="0.25">
      <c r="F420" s="9"/>
      <c r="G420" s="9"/>
      <c r="H420" s="9"/>
      <c r="I420" s="9"/>
      <c r="J420" s="9"/>
      <c r="L420" s="9"/>
      <c r="N420" s="9"/>
      <c r="Q420" s="9"/>
      <c r="T420" s="9"/>
      <c r="U420" s="9"/>
    </row>
    <row r="421" spans="6:21" x14ac:dyDescent="0.25">
      <c r="F421" s="9"/>
      <c r="G421" s="9"/>
      <c r="H421" s="9"/>
      <c r="I421" s="9"/>
      <c r="J421" s="9"/>
      <c r="L421" s="9"/>
      <c r="N421" s="9"/>
      <c r="Q421" s="9"/>
      <c r="T421" s="9"/>
      <c r="U421" s="9"/>
    </row>
    <row r="422" spans="6:21" x14ac:dyDescent="0.25">
      <c r="F422" s="9"/>
      <c r="G422" s="9"/>
      <c r="H422" s="9"/>
      <c r="I422" s="9"/>
      <c r="J422" s="9"/>
      <c r="L422" s="9"/>
      <c r="N422" s="9"/>
      <c r="Q422" s="9"/>
      <c r="T422" s="9"/>
      <c r="U422" s="9"/>
    </row>
    <row r="423" spans="6:21" x14ac:dyDescent="0.25">
      <c r="F423" s="9"/>
      <c r="G423" s="9"/>
      <c r="H423" s="9"/>
      <c r="I423" s="9"/>
      <c r="J423" s="9"/>
      <c r="L423" s="9"/>
      <c r="N423" s="9"/>
      <c r="Q423" s="9"/>
      <c r="T423" s="9"/>
      <c r="U423" s="9"/>
    </row>
    <row r="424" spans="6:21" x14ac:dyDescent="0.25">
      <c r="F424" s="9"/>
      <c r="G424" s="9"/>
      <c r="H424" s="9"/>
      <c r="I424" s="9"/>
      <c r="J424" s="9"/>
      <c r="L424" s="9"/>
      <c r="N424" s="9"/>
      <c r="Q424" s="9"/>
      <c r="T424" s="9"/>
      <c r="U424" s="9"/>
    </row>
    <row r="425" spans="6:21" x14ac:dyDescent="0.25">
      <c r="F425" s="9"/>
      <c r="G425" s="9"/>
      <c r="H425" s="9"/>
      <c r="I425" s="9"/>
      <c r="J425" s="9"/>
      <c r="L425" s="9"/>
      <c r="N425" s="9"/>
      <c r="Q425" s="9"/>
      <c r="T425" s="9"/>
      <c r="U425" s="9"/>
    </row>
    <row r="426" spans="6:21" x14ac:dyDescent="0.25">
      <c r="F426" s="9"/>
      <c r="G426" s="9"/>
      <c r="H426" s="9"/>
      <c r="I426" s="9"/>
      <c r="J426" s="9"/>
      <c r="L426" s="9"/>
      <c r="N426" s="9"/>
      <c r="Q426" s="9"/>
      <c r="T426" s="9"/>
      <c r="U426" s="9"/>
    </row>
    <row r="427" spans="6:21" x14ac:dyDescent="0.25">
      <c r="F427" s="9"/>
      <c r="G427" s="9"/>
      <c r="H427" s="9"/>
      <c r="I427" s="9"/>
      <c r="J427" s="9"/>
      <c r="L427" s="9"/>
      <c r="N427" s="9"/>
      <c r="Q427" s="9"/>
      <c r="T427" s="9"/>
      <c r="U427" s="9"/>
    </row>
    <row r="428" spans="6:21" x14ac:dyDescent="0.25">
      <c r="F428" s="9"/>
      <c r="G428" s="9"/>
      <c r="H428" s="9"/>
      <c r="I428" s="9"/>
      <c r="J428" s="9"/>
      <c r="L428" s="9"/>
      <c r="N428" s="9"/>
      <c r="Q428" s="9"/>
      <c r="T428" s="9"/>
      <c r="U428" s="9"/>
    </row>
    <row r="429" spans="6:21" x14ac:dyDescent="0.25">
      <c r="F429" s="9"/>
      <c r="G429" s="9"/>
      <c r="H429" s="9"/>
      <c r="I429" s="9"/>
      <c r="J429" s="9"/>
      <c r="L429" s="9"/>
      <c r="N429" s="9"/>
      <c r="Q429" s="9"/>
      <c r="T429" s="9"/>
      <c r="U429" s="9"/>
    </row>
    <row r="430" spans="6:21" x14ac:dyDescent="0.25">
      <c r="F430" s="9"/>
      <c r="G430" s="9"/>
      <c r="H430" s="9"/>
      <c r="I430" s="9"/>
      <c r="J430" s="9"/>
      <c r="L430" s="9"/>
      <c r="N430" s="9"/>
      <c r="Q430" s="9"/>
      <c r="T430" s="9"/>
      <c r="U430" s="9"/>
    </row>
    <row r="431" spans="6:21" x14ac:dyDescent="0.25">
      <c r="F431" s="9"/>
      <c r="G431" s="9"/>
      <c r="H431" s="9"/>
      <c r="I431" s="9"/>
      <c r="J431" s="9"/>
      <c r="L431" s="9"/>
      <c r="N431" s="9"/>
      <c r="Q431" s="9"/>
      <c r="T431" s="9"/>
      <c r="U431" s="9"/>
    </row>
    <row r="432" spans="6:21" x14ac:dyDescent="0.25">
      <c r="F432" s="9"/>
      <c r="G432" s="9"/>
      <c r="H432" s="9"/>
      <c r="I432" s="9"/>
      <c r="J432" s="9"/>
      <c r="L432" s="9"/>
      <c r="N432" s="9"/>
      <c r="Q432" s="9"/>
      <c r="T432" s="9"/>
      <c r="U432" s="9"/>
    </row>
    <row r="433" spans="6:21" x14ac:dyDescent="0.25">
      <c r="F433" s="9"/>
      <c r="G433" s="9"/>
      <c r="H433" s="9"/>
      <c r="I433" s="9"/>
      <c r="J433" s="9"/>
      <c r="L433" s="9"/>
      <c r="N433" s="9"/>
      <c r="Q433" s="9"/>
      <c r="T433" s="9"/>
      <c r="U433" s="9"/>
    </row>
    <row r="434" spans="6:21" x14ac:dyDescent="0.25">
      <c r="F434" s="9"/>
      <c r="G434" s="9"/>
      <c r="H434" s="9"/>
      <c r="I434" s="9"/>
      <c r="J434" s="9"/>
      <c r="L434" s="9"/>
      <c r="N434" s="9"/>
      <c r="Q434" s="9"/>
      <c r="T434" s="9"/>
      <c r="U434" s="9"/>
    </row>
    <row r="435" spans="6:21" x14ac:dyDescent="0.25">
      <c r="F435" s="9"/>
      <c r="G435" s="9"/>
      <c r="H435" s="9"/>
      <c r="I435" s="9"/>
      <c r="J435" s="9"/>
      <c r="L435" s="9"/>
      <c r="N435" s="9"/>
      <c r="Q435" s="9"/>
      <c r="T435" s="9"/>
      <c r="U435" s="9"/>
    </row>
    <row r="436" spans="6:21" x14ac:dyDescent="0.25">
      <c r="F436" s="9"/>
      <c r="G436" s="9"/>
      <c r="H436" s="9"/>
      <c r="I436" s="9"/>
      <c r="J436" s="9"/>
      <c r="L436" s="9"/>
      <c r="N436" s="9"/>
      <c r="Q436" s="9"/>
      <c r="T436" s="9"/>
      <c r="U436" s="9"/>
    </row>
    <row r="437" spans="6:21" x14ac:dyDescent="0.25">
      <c r="F437" s="9"/>
      <c r="G437" s="9"/>
      <c r="H437" s="9"/>
      <c r="I437" s="9"/>
      <c r="J437" s="9"/>
      <c r="L437" s="9"/>
      <c r="N437" s="9"/>
      <c r="Q437" s="9"/>
      <c r="T437" s="9"/>
      <c r="U437" s="9"/>
    </row>
    <row r="438" spans="6:21" x14ac:dyDescent="0.25">
      <c r="F438" s="9"/>
      <c r="G438" s="9"/>
      <c r="H438" s="9"/>
      <c r="I438" s="9"/>
      <c r="J438" s="9"/>
      <c r="L438" s="9"/>
      <c r="N438" s="9"/>
      <c r="Q438" s="9"/>
      <c r="T438" s="9"/>
      <c r="U438" s="9"/>
    </row>
    <row r="439" spans="6:21" x14ac:dyDescent="0.25">
      <c r="F439" s="9"/>
      <c r="G439" s="9"/>
      <c r="H439" s="9"/>
      <c r="I439" s="9"/>
      <c r="J439" s="9"/>
      <c r="L439" s="9"/>
      <c r="N439" s="9"/>
      <c r="Q439" s="9"/>
      <c r="T439" s="9"/>
      <c r="U439" s="9"/>
    </row>
    <row r="440" spans="6:21" x14ac:dyDescent="0.25">
      <c r="F440" s="9"/>
      <c r="G440" s="9"/>
      <c r="H440" s="9"/>
      <c r="I440" s="9"/>
      <c r="J440" s="9"/>
      <c r="L440" s="9"/>
      <c r="N440" s="9"/>
      <c r="Q440" s="9"/>
      <c r="T440" s="9"/>
      <c r="U440" s="9"/>
    </row>
    <row r="441" spans="6:21" x14ac:dyDescent="0.25">
      <c r="F441" s="9"/>
      <c r="G441" s="9"/>
      <c r="H441" s="9"/>
      <c r="I441" s="9"/>
      <c r="J441" s="9"/>
      <c r="L441" s="9"/>
      <c r="N441" s="9"/>
      <c r="Q441" s="9"/>
      <c r="T441" s="9"/>
      <c r="U441" s="9"/>
    </row>
    <row r="442" spans="6:21" x14ac:dyDescent="0.25">
      <c r="F442" s="9"/>
      <c r="G442" s="9"/>
      <c r="H442" s="9"/>
      <c r="I442" s="9"/>
      <c r="J442" s="9"/>
      <c r="L442" s="9"/>
      <c r="N442" s="9"/>
      <c r="Q442" s="9"/>
      <c r="T442" s="9"/>
      <c r="U442" s="9"/>
    </row>
    <row r="443" spans="6:21" x14ac:dyDescent="0.25">
      <c r="F443" s="9"/>
      <c r="G443" s="9"/>
      <c r="H443" s="9"/>
      <c r="I443" s="9"/>
      <c r="J443" s="9"/>
      <c r="L443" s="9"/>
      <c r="N443" s="9"/>
      <c r="Q443" s="9"/>
      <c r="T443" s="9"/>
      <c r="U443" s="9"/>
    </row>
    <row r="444" spans="6:21" x14ac:dyDescent="0.25">
      <c r="F444" s="9"/>
      <c r="G444" s="9"/>
      <c r="H444" s="9"/>
      <c r="I444" s="9"/>
      <c r="J444" s="9"/>
      <c r="L444" s="9"/>
      <c r="N444" s="9"/>
      <c r="Q444" s="9"/>
      <c r="T444" s="9"/>
      <c r="U444" s="9"/>
    </row>
    <row r="445" spans="6:21" x14ac:dyDescent="0.25">
      <c r="F445" s="9"/>
      <c r="G445" s="9"/>
      <c r="H445" s="9"/>
      <c r="I445" s="9"/>
      <c r="J445" s="9"/>
      <c r="L445" s="9"/>
      <c r="N445" s="9"/>
      <c r="Q445" s="9"/>
      <c r="T445" s="9"/>
      <c r="U445" s="9"/>
    </row>
    <row r="446" spans="6:21" x14ac:dyDescent="0.25">
      <c r="F446" s="9"/>
      <c r="G446" s="9"/>
      <c r="H446" s="9"/>
      <c r="I446" s="9"/>
      <c r="J446" s="9"/>
      <c r="L446" s="9"/>
      <c r="N446" s="9"/>
      <c r="Q446" s="9"/>
      <c r="T446" s="9"/>
      <c r="U446" s="9"/>
    </row>
    <row r="447" spans="6:21" x14ac:dyDescent="0.25">
      <c r="F447" s="9"/>
      <c r="G447" s="9"/>
      <c r="H447" s="9"/>
      <c r="I447" s="9"/>
      <c r="J447" s="9"/>
      <c r="L447" s="9"/>
      <c r="N447" s="9"/>
      <c r="Q447" s="9"/>
      <c r="T447" s="9"/>
      <c r="U447" s="9"/>
    </row>
    <row r="448" spans="6:21" x14ac:dyDescent="0.25">
      <c r="F448" s="9"/>
      <c r="G448" s="9"/>
      <c r="H448" s="9"/>
      <c r="I448" s="9"/>
      <c r="J448" s="9"/>
      <c r="L448" s="9"/>
      <c r="N448" s="9"/>
      <c r="Q448" s="9"/>
      <c r="T448" s="9"/>
      <c r="U448" s="9"/>
    </row>
    <row r="449" spans="6:21" x14ac:dyDescent="0.25">
      <c r="F449" s="9"/>
      <c r="G449" s="9"/>
      <c r="H449" s="9"/>
      <c r="I449" s="9"/>
      <c r="J449" s="9"/>
      <c r="L449" s="9"/>
      <c r="N449" s="9"/>
      <c r="Q449" s="9"/>
      <c r="T449" s="9"/>
      <c r="U449" s="9"/>
    </row>
    <row r="450" spans="6:21" x14ac:dyDescent="0.25">
      <c r="F450" s="9"/>
      <c r="G450" s="9"/>
      <c r="H450" s="9"/>
      <c r="I450" s="9"/>
      <c r="J450" s="9"/>
      <c r="L450" s="9"/>
      <c r="N450" s="9"/>
      <c r="Q450" s="9"/>
      <c r="T450" s="9"/>
      <c r="U450" s="9"/>
    </row>
    <row r="451" spans="6:21" x14ac:dyDescent="0.25">
      <c r="F451" s="9"/>
      <c r="G451" s="9"/>
      <c r="H451" s="9"/>
      <c r="I451" s="9"/>
      <c r="J451" s="9"/>
      <c r="L451" s="9"/>
      <c r="N451" s="9"/>
      <c r="Q451" s="9"/>
      <c r="T451" s="9"/>
      <c r="U451" s="9"/>
    </row>
    <row r="452" spans="6:21" x14ac:dyDescent="0.25">
      <c r="F452" s="9"/>
      <c r="G452" s="9"/>
      <c r="H452" s="9"/>
      <c r="I452" s="9"/>
      <c r="J452" s="9"/>
      <c r="L452" s="9"/>
      <c r="N452" s="9"/>
      <c r="Q452" s="9"/>
      <c r="T452" s="9"/>
      <c r="U452" s="9"/>
    </row>
    <row r="453" spans="6:21" x14ac:dyDescent="0.25">
      <c r="F453" s="9"/>
      <c r="G453" s="9"/>
      <c r="H453" s="9"/>
      <c r="I453" s="9"/>
      <c r="J453" s="9"/>
      <c r="L453" s="9"/>
      <c r="N453" s="9"/>
      <c r="Q453" s="9"/>
      <c r="T453" s="9"/>
      <c r="U453" s="9"/>
    </row>
    <row r="454" spans="6:21" x14ac:dyDescent="0.25">
      <c r="F454" s="9"/>
      <c r="G454" s="9"/>
      <c r="H454" s="9"/>
      <c r="I454" s="9"/>
      <c r="J454" s="9"/>
      <c r="L454" s="9"/>
      <c r="N454" s="9"/>
      <c r="Q454" s="9"/>
      <c r="T454" s="9"/>
      <c r="U454" s="9"/>
    </row>
    <row r="455" spans="6:21" x14ac:dyDescent="0.25">
      <c r="F455" s="9"/>
      <c r="G455" s="9"/>
      <c r="H455" s="9"/>
      <c r="I455" s="9"/>
      <c r="J455" s="9"/>
      <c r="L455" s="9"/>
      <c r="N455" s="9"/>
      <c r="Q455" s="9"/>
      <c r="T455" s="9"/>
      <c r="U455" s="9"/>
    </row>
    <row r="456" spans="6:21" x14ac:dyDescent="0.25">
      <c r="F456" s="9"/>
      <c r="G456" s="9"/>
      <c r="H456" s="9"/>
      <c r="I456" s="9"/>
      <c r="J456" s="9"/>
      <c r="L456" s="9"/>
      <c r="N456" s="9"/>
      <c r="Q456" s="9"/>
      <c r="T456" s="9"/>
      <c r="U456" s="9"/>
    </row>
    <row r="457" spans="6:21" x14ac:dyDescent="0.25">
      <c r="F457" s="9"/>
      <c r="G457" s="9"/>
      <c r="H457" s="9"/>
      <c r="I457" s="9"/>
      <c r="J457" s="9"/>
      <c r="L457" s="9"/>
      <c r="N457" s="9"/>
      <c r="Q457" s="9"/>
      <c r="T457" s="9"/>
      <c r="U457" s="9"/>
    </row>
    <row r="458" spans="6:21" x14ac:dyDescent="0.25">
      <c r="F458" s="9"/>
      <c r="G458" s="9"/>
      <c r="H458" s="9"/>
      <c r="I458" s="9"/>
      <c r="J458" s="9"/>
      <c r="L458" s="9"/>
      <c r="N458" s="9"/>
      <c r="Q458" s="9"/>
      <c r="T458" s="9"/>
      <c r="U458" s="9"/>
    </row>
    <row r="459" spans="6:21" x14ac:dyDescent="0.25">
      <c r="F459" s="9"/>
      <c r="G459" s="9"/>
      <c r="H459" s="9"/>
      <c r="I459" s="9"/>
      <c r="J459" s="9"/>
      <c r="L459" s="9"/>
      <c r="N459" s="9"/>
      <c r="Q459" s="9"/>
      <c r="T459" s="9"/>
      <c r="U459" s="9"/>
    </row>
    <row r="460" spans="6:21" x14ac:dyDescent="0.25">
      <c r="F460" s="9"/>
      <c r="G460" s="9"/>
      <c r="H460" s="9"/>
      <c r="I460" s="9"/>
      <c r="J460" s="9"/>
      <c r="L460" s="9"/>
      <c r="N460" s="9"/>
      <c r="Q460" s="9"/>
      <c r="T460" s="9"/>
      <c r="U460" s="9"/>
    </row>
    <row r="461" spans="6:21" x14ac:dyDescent="0.25">
      <c r="F461" s="9"/>
      <c r="G461" s="9"/>
      <c r="H461" s="9"/>
      <c r="I461" s="9"/>
      <c r="J461" s="9"/>
      <c r="L461" s="9"/>
      <c r="N461" s="9"/>
      <c r="Q461" s="9"/>
      <c r="T461" s="9"/>
      <c r="U461" s="9"/>
    </row>
    <row r="462" spans="6:21" x14ac:dyDescent="0.25">
      <c r="F462" s="9"/>
      <c r="G462" s="9"/>
      <c r="H462" s="9"/>
      <c r="I462" s="9"/>
      <c r="J462" s="9"/>
      <c r="L462" s="9"/>
      <c r="N462" s="9"/>
      <c r="Q462" s="9"/>
      <c r="T462" s="9"/>
      <c r="U462" s="9"/>
    </row>
    <row r="463" spans="6:21" x14ac:dyDescent="0.25">
      <c r="F463" s="9"/>
      <c r="G463" s="9"/>
      <c r="H463" s="9"/>
      <c r="I463" s="9"/>
      <c r="J463" s="9"/>
      <c r="L463" s="9"/>
      <c r="N463" s="9"/>
      <c r="Q463" s="9"/>
      <c r="T463" s="9"/>
      <c r="U463" s="9"/>
    </row>
    <row r="464" spans="6:21" x14ac:dyDescent="0.25">
      <c r="F464" s="9"/>
      <c r="G464" s="9"/>
      <c r="H464" s="9"/>
      <c r="I464" s="9"/>
      <c r="J464" s="9"/>
      <c r="L464" s="9"/>
      <c r="N464" s="9"/>
      <c r="Q464" s="9"/>
      <c r="T464" s="9"/>
      <c r="U464" s="9"/>
    </row>
    <row r="465" spans="6:21" x14ac:dyDescent="0.25">
      <c r="F465" s="9"/>
      <c r="G465" s="9"/>
      <c r="H465" s="9"/>
      <c r="I465" s="9"/>
      <c r="J465" s="9"/>
      <c r="L465" s="9"/>
      <c r="N465" s="9"/>
      <c r="Q465" s="9"/>
      <c r="T465" s="9"/>
      <c r="U465" s="9"/>
    </row>
    <row r="466" spans="6:21" x14ac:dyDescent="0.25">
      <c r="F466" s="9"/>
      <c r="G466" s="9"/>
      <c r="H466" s="9"/>
      <c r="I466" s="9"/>
      <c r="J466" s="9"/>
      <c r="L466" s="9"/>
      <c r="N466" s="9"/>
      <c r="Q466" s="9"/>
      <c r="T466" s="9"/>
      <c r="U466" s="9"/>
    </row>
    <row r="467" spans="6:21" x14ac:dyDescent="0.25">
      <c r="F467" s="9"/>
      <c r="G467" s="9"/>
      <c r="H467" s="9"/>
      <c r="I467" s="9"/>
      <c r="J467" s="9"/>
      <c r="L467" s="9"/>
      <c r="N467" s="9"/>
      <c r="Q467" s="9"/>
      <c r="T467" s="9"/>
      <c r="U467" s="9"/>
    </row>
    <row r="468" spans="6:21" x14ac:dyDescent="0.25">
      <c r="F468" s="9"/>
      <c r="G468" s="9"/>
      <c r="H468" s="9"/>
      <c r="I468" s="9"/>
      <c r="J468" s="9"/>
      <c r="L468" s="9"/>
      <c r="N468" s="9"/>
      <c r="Q468" s="9"/>
      <c r="T468" s="9"/>
      <c r="U468" s="9"/>
    </row>
    <row r="469" spans="6:21" x14ac:dyDescent="0.25">
      <c r="F469" s="9"/>
      <c r="G469" s="9"/>
      <c r="H469" s="9"/>
      <c r="I469" s="9"/>
      <c r="J469" s="9"/>
      <c r="L469" s="9"/>
      <c r="N469" s="9"/>
      <c r="Q469" s="9"/>
      <c r="T469" s="9"/>
      <c r="U469" s="9"/>
    </row>
    <row r="470" spans="6:21" x14ac:dyDescent="0.25">
      <c r="F470" s="9"/>
      <c r="G470" s="9"/>
      <c r="H470" s="9"/>
      <c r="I470" s="9"/>
      <c r="J470" s="9"/>
      <c r="L470" s="9"/>
      <c r="N470" s="9"/>
      <c r="Q470" s="9"/>
      <c r="T470" s="9"/>
      <c r="U470" s="9"/>
    </row>
    <row r="471" spans="6:21" x14ac:dyDescent="0.25">
      <c r="F471" s="9"/>
      <c r="G471" s="9"/>
      <c r="H471" s="9"/>
      <c r="I471" s="9"/>
      <c r="J471" s="9"/>
      <c r="L471" s="9"/>
      <c r="N471" s="9"/>
      <c r="Q471" s="9"/>
      <c r="T471" s="9"/>
      <c r="U471" s="9"/>
    </row>
    <row r="472" spans="6:21" x14ac:dyDescent="0.25">
      <c r="F472" s="9"/>
      <c r="G472" s="9"/>
      <c r="H472" s="9"/>
      <c r="I472" s="9"/>
      <c r="J472" s="9"/>
      <c r="L472" s="9"/>
      <c r="N472" s="9"/>
      <c r="Q472" s="9"/>
      <c r="T472" s="9"/>
      <c r="U472" s="9"/>
    </row>
    <row r="473" spans="6:21" x14ac:dyDescent="0.25">
      <c r="F473" s="9"/>
      <c r="G473" s="9"/>
      <c r="H473" s="9"/>
      <c r="I473" s="9"/>
      <c r="J473" s="9"/>
      <c r="L473" s="9"/>
      <c r="N473" s="9"/>
      <c r="Q473" s="9"/>
      <c r="T473" s="9"/>
      <c r="U473" s="9"/>
    </row>
    <row r="474" spans="6:21" x14ac:dyDescent="0.25">
      <c r="F474" s="9"/>
      <c r="G474" s="9"/>
      <c r="H474" s="9"/>
      <c r="I474" s="9"/>
      <c r="J474" s="9"/>
      <c r="L474" s="9"/>
      <c r="N474" s="9"/>
      <c r="Q474" s="9"/>
      <c r="T474" s="9"/>
      <c r="U474" s="9"/>
    </row>
    <row r="475" spans="6:21" x14ac:dyDescent="0.25">
      <c r="F475" s="9"/>
      <c r="G475" s="9"/>
      <c r="H475" s="9"/>
      <c r="I475" s="9"/>
      <c r="J475" s="9"/>
      <c r="L475" s="9"/>
      <c r="N475" s="9"/>
      <c r="Q475" s="9"/>
      <c r="T475" s="9"/>
      <c r="U475" s="9"/>
    </row>
    <row r="476" spans="6:21" x14ac:dyDescent="0.25">
      <c r="F476" s="9"/>
      <c r="G476" s="9"/>
      <c r="H476" s="9"/>
      <c r="I476" s="9"/>
      <c r="J476" s="9"/>
      <c r="L476" s="9"/>
      <c r="N476" s="9"/>
      <c r="Q476" s="9"/>
      <c r="T476" s="9"/>
      <c r="U476" s="9"/>
    </row>
    <row r="477" spans="6:21" x14ac:dyDescent="0.25">
      <c r="F477" s="9"/>
      <c r="G477" s="9"/>
      <c r="H477" s="9"/>
      <c r="I477" s="9"/>
      <c r="J477" s="9"/>
      <c r="L477" s="9"/>
      <c r="N477" s="9"/>
      <c r="Q477" s="9"/>
      <c r="T477" s="9"/>
      <c r="U477" s="9"/>
    </row>
    <row r="478" spans="6:21" x14ac:dyDescent="0.25">
      <c r="F478" s="9"/>
      <c r="G478" s="9"/>
      <c r="H478" s="9"/>
      <c r="I478" s="9"/>
      <c r="J478" s="9"/>
      <c r="L478" s="9"/>
      <c r="N478" s="9"/>
      <c r="Q478" s="9"/>
      <c r="T478" s="9"/>
      <c r="U478" s="9"/>
    </row>
    <row r="479" spans="6:21" x14ac:dyDescent="0.25">
      <c r="F479" s="9"/>
      <c r="G479" s="9"/>
      <c r="H479" s="9"/>
      <c r="I479" s="9"/>
      <c r="J479" s="9"/>
      <c r="L479" s="9"/>
      <c r="N479" s="9"/>
      <c r="Q479" s="9"/>
      <c r="T479" s="9"/>
      <c r="U479" s="9"/>
    </row>
    <row r="480" spans="6:21" x14ac:dyDescent="0.25">
      <c r="F480" s="9"/>
      <c r="G480" s="9"/>
      <c r="H480" s="9"/>
      <c r="I480" s="9"/>
      <c r="J480" s="9"/>
      <c r="L480" s="9"/>
      <c r="N480" s="9"/>
      <c r="Q480" s="9"/>
      <c r="T480" s="9"/>
      <c r="U480" s="9"/>
    </row>
    <row r="481" spans="6:21" x14ac:dyDescent="0.25">
      <c r="F481" s="9"/>
      <c r="G481" s="9"/>
      <c r="H481" s="9"/>
      <c r="I481" s="9"/>
      <c r="J481" s="9"/>
      <c r="L481" s="9"/>
      <c r="N481" s="9"/>
      <c r="Q481" s="9"/>
      <c r="T481" s="9"/>
      <c r="U481" s="9"/>
    </row>
    <row r="482" spans="6:21" x14ac:dyDescent="0.25">
      <c r="F482" s="9"/>
      <c r="G482" s="9"/>
      <c r="H482" s="9"/>
      <c r="I482" s="9"/>
      <c r="J482" s="9"/>
      <c r="L482" s="9"/>
      <c r="N482" s="9"/>
      <c r="Q482" s="9"/>
      <c r="T482" s="9"/>
      <c r="U482" s="9"/>
    </row>
    <row r="483" spans="6:21" x14ac:dyDescent="0.25">
      <c r="F483" s="9"/>
      <c r="G483" s="9"/>
      <c r="H483" s="9"/>
      <c r="I483" s="9"/>
      <c r="J483" s="9"/>
      <c r="L483" s="9"/>
      <c r="N483" s="9"/>
      <c r="Q483" s="9"/>
      <c r="T483" s="9"/>
      <c r="U483" s="9"/>
    </row>
    <row r="484" spans="6:21" x14ac:dyDescent="0.25">
      <c r="F484" s="9"/>
      <c r="G484" s="9"/>
      <c r="H484" s="9"/>
      <c r="I484" s="9"/>
      <c r="J484" s="9"/>
      <c r="L484" s="9"/>
      <c r="N484" s="9"/>
      <c r="Q484" s="9"/>
      <c r="T484" s="9"/>
      <c r="U484" s="9"/>
    </row>
    <row r="485" spans="6:21" x14ac:dyDescent="0.25">
      <c r="F485" s="9"/>
      <c r="G485" s="9"/>
      <c r="H485" s="9"/>
      <c r="I485" s="9"/>
      <c r="J485" s="9"/>
      <c r="L485" s="9"/>
      <c r="N485" s="9"/>
      <c r="Q485" s="9"/>
      <c r="T485" s="9"/>
      <c r="U485" s="9"/>
    </row>
    <row r="486" spans="6:21" x14ac:dyDescent="0.25">
      <c r="F486" s="9"/>
      <c r="G486" s="9"/>
      <c r="H486" s="9"/>
      <c r="I486" s="9"/>
      <c r="J486" s="9"/>
      <c r="L486" s="9"/>
      <c r="N486" s="9"/>
      <c r="Q486" s="9"/>
      <c r="T486" s="9"/>
      <c r="U486" s="9"/>
    </row>
    <row r="487" spans="6:21" x14ac:dyDescent="0.25">
      <c r="F487" s="9"/>
      <c r="G487" s="9"/>
      <c r="H487" s="9"/>
      <c r="I487" s="9"/>
      <c r="J487" s="9"/>
      <c r="L487" s="9"/>
      <c r="N487" s="9"/>
      <c r="Q487" s="9"/>
      <c r="T487" s="9"/>
      <c r="U487" s="9"/>
    </row>
    <row r="488" spans="6:21" x14ac:dyDescent="0.25">
      <c r="F488" s="9"/>
      <c r="G488" s="9"/>
      <c r="H488" s="9"/>
      <c r="I488" s="9"/>
      <c r="J488" s="9"/>
      <c r="L488" s="9"/>
      <c r="N488" s="9"/>
      <c r="Q488" s="9"/>
      <c r="T488" s="9"/>
      <c r="U488" s="9"/>
    </row>
    <row r="489" spans="6:21" x14ac:dyDescent="0.25">
      <c r="F489" s="9"/>
      <c r="G489" s="9"/>
      <c r="H489" s="9"/>
      <c r="I489" s="9"/>
      <c r="J489" s="9"/>
      <c r="L489" s="9"/>
      <c r="N489" s="9"/>
      <c r="Q489" s="9"/>
      <c r="T489" s="9"/>
      <c r="U489" s="9"/>
    </row>
    <row r="490" spans="6:21" x14ac:dyDescent="0.25">
      <c r="F490" s="9"/>
      <c r="G490" s="9"/>
      <c r="H490" s="9"/>
      <c r="I490" s="9"/>
      <c r="J490" s="9"/>
      <c r="L490" s="9"/>
      <c r="N490" s="9"/>
      <c r="Q490" s="9"/>
      <c r="T490" s="9"/>
      <c r="U490" s="9"/>
    </row>
    <row r="491" spans="6:21" x14ac:dyDescent="0.25">
      <c r="F491" s="9"/>
      <c r="G491" s="9"/>
      <c r="H491" s="9"/>
      <c r="I491" s="9"/>
      <c r="J491" s="9"/>
      <c r="L491" s="9"/>
      <c r="N491" s="9"/>
      <c r="Q491" s="9"/>
      <c r="T491" s="9"/>
      <c r="U491" s="9"/>
    </row>
    <row r="492" spans="6:21" x14ac:dyDescent="0.25">
      <c r="F492" s="9"/>
      <c r="G492" s="9"/>
      <c r="H492" s="9"/>
      <c r="I492" s="9"/>
      <c r="J492" s="9"/>
      <c r="L492" s="9"/>
      <c r="N492" s="9"/>
      <c r="Q492" s="9"/>
      <c r="T492" s="9"/>
      <c r="U492" s="9"/>
    </row>
    <row r="493" spans="6:21" x14ac:dyDescent="0.25">
      <c r="F493" s="9"/>
      <c r="G493" s="9"/>
      <c r="H493" s="9"/>
      <c r="I493" s="9"/>
      <c r="J493" s="9"/>
      <c r="L493" s="9"/>
      <c r="N493" s="9"/>
      <c r="Q493" s="9"/>
      <c r="T493" s="9"/>
      <c r="U493" s="9"/>
    </row>
    <row r="494" spans="6:21" x14ac:dyDescent="0.25">
      <c r="F494" s="9"/>
      <c r="G494" s="9"/>
      <c r="H494" s="9"/>
      <c r="I494" s="9"/>
      <c r="J494" s="9"/>
      <c r="L494" s="9"/>
      <c r="N494" s="9"/>
      <c r="Q494" s="9"/>
      <c r="T494" s="9"/>
      <c r="U494" s="9"/>
    </row>
    <row r="495" spans="6:21" x14ac:dyDescent="0.25">
      <c r="F495" s="9"/>
      <c r="G495" s="9"/>
      <c r="H495" s="9"/>
      <c r="I495" s="9"/>
      <c r="J495" s="9"/>
      <c r="L495" s="9"/>
      <c r="N495" s="9"/>
      <c r="Q495" s="9"/>
      <c r="T495" s="9"/>
      <c r="U495" s="9"/>
    </row>
    <row r="496" spans="6:21" x14ac:dyDescent="0.25">
      <c r="F496" s="9"/>
      <c r="G496" s="9"/>
      <c r="H496" s="9"/>
      <c r="I496" s="9"/>
      <c r="J496" s="9"/>
      <c r="L496" s="9"/>
      <c r="N496" s="9"/>
      <c r="Q496" s="9"/>
      <c r="T496" s="9"/>
      <c r="U496" s="9"/>
    </row>
    <row r="497" spans="6:21" x14ac:dyDescent="0.25">
      <c r="F497" s="9"/>
      <c r="G497" s="9"/>
      <c r="H497" s="9"/>
      <c r="I497" s="9"/>
      <c r="J497" s="9"/>
      <c r="L497" s="9"/>
      <c r="N497" s="9"/>
      <c r="Q497" s="9"/>
      <c r="T497" s="9"/>
      <c r="U497" s="9"/>
    </row>
    <row r="498" spans="6:21" x14ac:dyDescent="0.25">
      <c r="F498" s="9"/>
      <c r="G498" s="9"/>
      <c r="H498" s="9"/>
      <c r="I498" s="9"/>
      <c r="J498" s="9"/>
      <c r="L498" s="9"/>
      <c r="N498" s="9"/>
      <c r="Q498" s="9"/>
      <c r="T498" s="9"/>
      <c r="U498" s="9"/>
    </row>
    <row r="499" spans="6:21" x14ac:dyDescent="0.25">
      <c r="F499" s="9"/>
      <c r="G499" s="9"/>
      <c r="H499" s="9"/>
      <c r="I499" s="9"/>
      <c r="J499" s="9"/>
      <c r="L499" s="9"/>
      <c r="N499" s="9"/>
      <c r="Q499" s="9"/>
      <c r="T499" s="9"/>
      <c r="U499" s="9"/>
    </row>
    <row r="500" spans="6:21" x14ac:dyDescent="0.25">
      <c r="F500" s="9"/>
      <c r="G500" s="9"/>
      <c r="H500" s="9"/>
      <c r="I500" s="9"/>
      <c r="J500" s="9"/>
      <c r="L500" s="9"/>
      <c r="N500" s="9"/>
      <c r="Q500" s="9"/>
      <c r="T500" s="9"/>
      <c r="U500" s="9"/>
    </row>
    <row r="501" spans="6:21" x14ac:dyDescent="0.25">
      <c r="F501" s="9"/>
      <c r="G501" s="9"/>
      <c r="H501" s="9"/>
      <c r="I501" s="9"/>
      <c r="J501" s="9"/>
      <c r="L501" s="9"/>
      <c r="N501" s="9"/>
      <c r="Q501" s="9"/>
      <c r="T501" s="9"/>
      <c r="U501" s="9"/>
    </row>
    <row r="502" spans="6:21" x14ac:dyDescent="0.25">
      <c r="F502" s="9"/>
      <c r="G502" s="9"/>
      <c r="H502" s="9"/>
      <c r="I502" s="9"/>
      <c r="J502" s="9"/>
      <c r="L502" s="9"/>
      <c r="N502" s="9"/>
      <c r="Q502" s="9"/>
      <c r="T502" s="9"/>
      <c r="U502" s="9"/>
    </row>
    <row r="503" spans="6:21" x14ac:dyDescent="0.25">
      <c r="F503" s="9"/>
      <c r="G503" s="9"/>
      <c r="H503" s="9"/>
      <c r="I503" s="9"/>
      <c r="J503" s="9"/>
      <c r="L503" s="9"/>
      <c r="N503" s="9"/>
      <c r="Q503" s="9"/>
      <c r="T503" s="9"/>
      <c r="U503" s="9"/>
    </row>
    <row r="504" spans="6:21" x14ac:dyDescent="0.25">
      <c r="F504" s="9"/>
      <c r="G504" s="9"/>
      <c r="H504" s="9"/>
      <c r="I504" s="9"/>
      <c r="J504" s="9"/>
      <c r="L504" s="9"/>
      <c r="N504" s="9"/>
      <c r="Q504" s="9"/>
      <c r="T504" s="9"/>
      <c r="U504" s="9"/>
    </row>
    <row r="505" spans="6:21" x14ac:dyDescent="0.25">
      <c r="F505" s="9"/>
      <c r="G505" s="9"/>
      <c r="H505" s="9"/>
      <c r="I505" s="9"/>
      <c r="J505" s="9"/>
      <c r="L505" s="9"/>
      <c r="N505" s="9"/>
      <c r="Q505" s="9"/>
      <c r="T505" s="9"/>
      <c r="U505" s="9"/>
    </row>
    <row r="506" spans="6:21" x14ac:dyDescent="0.25">
      <c r="F506" s="9"/>
      <c r="G506" s="9"/>
      <c r="H506" s="9"/>
      <c r="I506" s="9"/>
      <c r="J506" s="9"/>
      <c r="L506" s="9"/>
      <c r="N506" s="9"/>
      <c r="Q506" s="9"/>
      <c r="T506" s="9"/>
      <c r="U506" s="9"/>
    </row>
    <row r="507" spans="6:21" x14ac:dyDescent="0.25">
      <c r="F507" s="9"/>
      <c r="G507" s="9"/>
      <c r="H507" s="9"/>
      <c r="I507" s="9"/>
      <c r="J507" s="9"/>
      <c r="L507" s="9"/>
      <c r="N507" s="9"/>
      <c r="Q507" s="9"/>
      <c r="T507" s="9"/>
      <c r="U507" s="9"/>
    </row>
    <row r="508" spans="6:21" x14ac:dyDescent="0.25">
      <c r="F508" s="9"/>
      <c r="G508" s="9"/>
      <c r="H508" s="9"/>
      <c r="I508" s="9"/>
      <c r="J508" s="9"/>
      <c r="L508" s="9"/>
      <c r="N508" s="9"/>
      <c r="Q508" s="9"/>
      <c r="T508" s="9"/>
      <c r="U508" s="9"/>
    </row>
    <row r="509" spans="6:21" x14ac:dyDescent="0.25">
      <c r="F509" s="9"/>
      <c r="G509" s="9"/>
      <c r="H509" s="9"/>
      <c r="I509" s="9"/>
      <c r="J509" s="9"/>
      <c r="L509" s="9"/>
      <c r="N509" s="9"/>
      <c r="Q509" s="9"/>
      <c r="T509" s="9"/>
      <c r="U509" s="9"/>
    </row>
    <row r="510" spans="6:21" x14ac:dyDescent="0.25">
      <c r="F510" s="9"/>
      <c r="G510" s="9"/>
      <c r="H510" s="9"/>
      <c r="I510" s="9"/>
      <c r="J510" s="9"/>
      <c r="L510" s="9"/>
      <c r="N510" s="9"/>
      <c r="Q510" s="9"/>
      <c r="T510" s="9"/>
      <c r="U510" s="9"/>
    </row>
    <row r="511" spans="6:21" x14ac:dyDescent="0.25">
      <c r="F511" s="9"/>
      <c r="G511" s="9"/>
      <c r="H511" s="9"/>
      <c r="I511" s="9"/>
      <c r="J511" s="9"/>
      <c r="L511" s="9"/>
      <c r="N511" s="9"/>
      <c r="Q511" s="9"/>
      <c r="T511" s="9"/>
      <c r="U511" s="9"/>
    </row>
    <row r="512" spans="6:21" x14ac:dyDescent="0.25">
      <c r="F512" s="9"/>
      <c r="G512" s="9"/>
      <c r="H512" s="9"/>
      <c r="I512" s="9"/>
      <c r="J512" s="9"/>
      <c r="L512" s="9"/>
      <c r="N512" s="9"/>
      <c r="Q512" s="9"/>
      <c r="T512" s="9"/>
      <c r="U512" s="9"/>
    </row>
    <row r="513" spans="6:21" x14ac:dyDescent="0.25">
      <c r="F513" s="9"/>
      <c r="G513" s="9"/>
      <c r="H513" s="9"/>
      <c r="I513" s="9"/>
      <c r="J513" s="9"/>
      <c r="L513" s="9"/>
      <c r="N513" s="9"/>
      <c r="Q513" s="9"/>
      <c r="T513" s="9"/>
      <c r="U513" s="9"/>
    </row>
    <row r="514" spans="6:21" x14ac:dyDescent="0.25">
      <c r="F514" s="9"/>
      <c r="G514" s="9"/>
      <c r="H514" s="9"/>
      <c r="I514" s="9"/>
      <c r="J514" s="9"/>
      <c r="L514" s="9"/>
      <c r="N514" s="9"/>
      <c r="Q514" s="9"/>
      <c r="T514" s="9"/>
      <c r="U514" s="9"/>
    </row>
    <row r="515" spans="6:21" x14ac:dyDescent="0.25">
      <c r="F515" s="9"/>
      <c r="G515" s="9"/>
      <c r="H515" s="9"/>
      <c r="I515" s="9"/>
      <c r="J515" s="9"/>
      <c r="L515" s="9"/>
      <c r="N515" s="9"/>
      <c r="Q515" s="9"/>
      <c r="T515" s="9"/>
      <c r="U515" s="9"/>
    </row>
    <row r="516" spans="6:21" x14ac:dyDescent="0.25">
      <c r="F516" s="9"/>
      <c r="G516" s="9"/>
      <c r="H516" s="9"/>
      <c r="I516" s="9"/>
      <c r="J516" s="9"/>
      <c r="L516" s="9"/>
      <c r="N516" s="9"/>
      <c r="Q516" s="9"/>
      <c r="T516" s="9"/>
      <c r="U516" s="9"/>
    </row>
    <row r="517" spans="6:21" x14ac:dyDescent="0.25">
      <c r="F517" s="9"/>
      <c r="G517" s="9"/>
      <c r="H517" s="9"/>
      <c r="I517" s="9"/>
      <c r="J517" s="9"/>
      <c r="L517" s="9"/>
      <c r="N517" s="9"/>
      <c r="Q517" s="9"/>
      <c r="T517" s="9"/>
      <c r="U517" s="9"/>
    </row>
    <row r="518" spans="6:21" x14ac:dyDescent="0.25">
      <c r="F518" s="9"/>
      <c r="G518" s="9"/>
      <c r="H518" s="9"/>
      <c r="I518" s="9"/>
      <c r="J518" s="9"/>
      <c r="L518" s="9"/>
      <c r="N518" s="9"/>
      <c r="Q518" s="9"/>
      <c r="T518" s="9"/>
      <c r="U518" s="9"/>
    </row>
    <row r="519" spans="6:21" x14ac:dyDescent="0.25">
      <c r="F519" s="9"/>
      <c r="G519" s="9"/>
      <c r="H519" s="9"/>
      <c r="I519" s="9"/>
      <c r="J519" s="9"/>
      <c r="L519" s="9"/>
      <c r="N519" s="9"/>
      <c r="Q519" s="9"/>
      <c r="T519" s="9"/>
      <c r="U519" s="9"/>
    </row>
    <row r="520" spans="6:21" x14ac:dyDescent="0.25">
      <c r="F520" s="9"/>
      <c r="G520" s="9"/>
      <c r="H520" s="9"/>
      <c r="I520" s="9"/>
      <c r="J520" s="9"/>
      <c r="L520" s="9"/>
      <c r="N520" s="9"/>
      <c r="Q520" s="9"/>
      <c r="T520" s="9"/>
      <c r="U520" s="9"/>
    </row>
    <row r="521" spans="6:21" x14ac:dyDescent="0.25">
      <c r="F521" s="9"/>
      <c r="G521" s="9"/>
      <c r="H521" s="9"/>
      <c r="I521" s="9"/>
      <c r="J521" s="9"/>
      <c r="L521" s="9"/>
      <c r="N521" s="9"/>
      <c r="Q521" s="9"/>
      <c r="T521" s="9"/>
      <c r="U521" s="9"/>
    </row>
    <row r="522" spans="6:21" x14ac:dyDescent="0.25">
      <c r="F522" s="9"/>
      <c r="G522" s="9"/>
      <c r="H522" s="9"/>
      <c r="I522" s="9"/>
      <c r="J522" s="9"/>
      <c r="L522" s="9"/>
      <c r="N522" s="9"/>
      <c r="Q522" s="9"/>
      <c r="T522" s="9"/>
      <c r="U522" s="9"/>
    </row>
    <row r="523" spans="6:21" x14ac:dyDescent="0.25">
      <c r="F523" s="9"/>
      <c r="G523" s="9"/>
      <c r="H523" s="9"/>
      <c r="I523" s="9"/>
      <c r="J523" s="9"/>
      <c r="L523" s="9"/>
      <c r="N523" s="9"/>
      <c r="Q523" s="9"/>
      <c r="T523" s="9"/>
      <c r="U523" s="9"/>
    </row>
    <row r="524" spans="6:21" x14ac:dyDescent="0.25">
      <c r="F524" s="9"/>
      <c r="G524" s="9"/>
      <c r="H524" s="9"/>
      <c r="I524" s="9"/>
      <c r="J524" s="9"/>
      <c r="L524" s="9"/>
      <c r="N524" s="9"/>
      <c r="Q524" s="9"/>
      <c r="T524" s="9"/>
      <c r="U524" s="9"/>
    </row>
    <row r="525" spans="6:21" x14ac:dyDescent="0.25">
      <c r="F525" s="9"/>
      <c r="G525" s="9"/>
      <c r="H525" s="9"/>
      <c r="I525" s="9"/>
      <c r="J525" s="9"/>
      <c r="L525" s="9"/>
      <c r="N525" s="9"/>
      <c r="Q525" s="9"/>
      <c r="T525" s="9"/>
      <c r="U525" s="9"/>
    </row>
    <row r="526" spans="6:21" x14ac:dyDescent="0.25">
      <c r="F526" s="9"/>
      <c r="G526" s="9"/>
      <c r="H526" s="9"/>
      <c r="I526" s="9"/>
      <c r="J526" s="9"/>
      <c r="L526" s="9"/>
      <c r="N526" s="9"/>
      <c r="Q526" s="9"/>
      <c r="T526" s="9"/>
      <c r="U526" s="9"/>
    </row>
    <row r="527" spans="6:21" x14ac:dyDescent="0.25">
      <c r="F527" s="9"/>
      <c r="G527" s="9"/>
      <c r="H527" s="9"/>
      <c r="I527" s="9"/>
      <c r="J527" s="9"/>
      <c r="L527" s="9"/>
      <c r="N527" s="9"/>
      <c r="Q527" s="9"/>
      <c r="T527" s="9"/>
      <c r="U527" s="9"/>
    </row>
    <row r="528" spans="6:21" x14ac:dyDescent="0.25">
      <c r="F528" s="9"/>
      <c r="G528" s="9"/>
      <c r="H528" s="9"/>
      <c r="I528" s="9"/>
      <c r="J528" s="9"/>
      <c r="L528" s="9"/>
      <c r="N528" s="9"/>
      <c r="Q528" s="9"/>
      <c r="T528" s="9"/>
      <c r="U528" s="9"/>
    </row>
    <row r="529" spans="6:21" x14ac:dyDescent="0.25">
      <c r="F529" s="9"/>
      <c r="G529" s="9"/>
      <c r="H529" s="9"/>
      <c r="I529" s="9"/>
      <c r="J529" s="9"/>
      <c r="L529" s="9"/>
      <c r="N529" s="9"/>
      <c r="Q529" s="9"/>
      <c r="T529" s="9"/>
      <c r="U529" s="9"/>
    </row>
    <row r="530" spans="6:21" x14ac:dyDescent="0.25">
      <c r="F530" s="9"/>
      <c r="G530" s="9"/>
      <c r="H530" s="9"/>
      <c r="I530" s="9"/>
      <c r="J530" s="9"/>
      <c r="L530" s="9"/>
      <c r="N530" s="9"/>
      <c r="Q530" s="9"/>
      <c r="T530" s="9"/>
      <c r="U530" s="9"/>
    </row>
    <row r="531" spans="6:21" x14ac:dyDescent="0.25">
      <c r="F531" s="9"/>
      <c r="G531" s="9"/>
      <c r="H531" s="9"/>
      <c r="I531" s="9"/>
      <c r="J531" s="9"/>
      <c r="L531" s="9"/>
      <c r="N531" s="9"/>
      <c r="Q531" s="9"/>
      <c r="T531" s="9"/>
      <c r="U531" s="9"/>
    </row>
    <row r="532" spans="6:21" x14ac:dyDescent="0.25">
      <c r="F532" s="9"/>
      <c r="G532" s="9"/>
      <c r="H532" s="9"/>
      <c r="I532" s="9"/>
      <c r="J532" s="9"/>
      <c r="L532" s="9"/>
      <c r="N532" s="9"/>
      <c r="Q532" s="9"/>
      <c r="T532" s="9"/>
      <c r="U532" s="9"/>
    </row>
    <row r="533" spans="6:21" x14ac:dyDescent="0.25">
      <c r="F533" s="9"/>
      <c r="G533" s="9"/>
      <c r="H533" s="9"/>
      <c r="I533" s="9"/>
      <c r="J533" s="9"/>
      <c r="L533" s="9"/>
      <c r="N533" s="9"/>
      <c r="Q533" s="9"/>
      <c r="T533" s="9"/>
      <c r="U533" s="9"/>
    </row>
    <row r="534" spans="6:21" x14ac:dyDescent="0.25">
      <c r="F534" s="9"/>
      <c r="G534" s="9"/>
      <c r="H534" s="9"/>
      <c r="I534" s="9"/>
      <c r="J534" s="9"/>
      <c r="L534" s="9"/>
      <c r="N534" s="9"/>
      <c r="Q534" s="9"/>
      <c r="T534" s="9"/>
      <c r="U534" s="9"/>
    </row>
    <row r="535" spans="6:21" x14ac:dyDescent="0.25">
      <c r="F535" s="9"/>
      <c r="G535" s="9"/>
      <c r="H535" s="9"/>
      <c r="I535" s="9"/>
      <c r="J535" s="9"/>
      <c r="L535" s="9"/>
      <c r="N535" s="9"/>
      <c r="Q535" s="9"/>
      <c r="T535" s="9"/>
      <c r="U535" s="9"/>
    </row>
    <row r="536" spans="6:21" x14ac:dyDescent="0.25">
      <c r="F536" s="9"/>
      <c r="G536" s="9"/>
      <c r="H536" s="9"/>
      <c r="I536" s="9"/>
      <c r="J536" s="9"/>
      <c r="L536" s="9"/>
      <c r="N536" s="9"/>
      <c r="Q536" s="9"/>
      <c r="T536" s="9"/>
      <c r="U536" s="9"/>
    </row>
    <row r="537" spans="6:21" x14ac:dyDescent="0.25">
      <c r="F537" s="9"/>
      <c r="G537" s="9"/>
      <c r="H537" s="9"/>
      <c r="I537" s="9"/>
      <c r="J537" s="9"/>
      <c r="L537" s="9"/>
      <c r="N537" s="9"/>
      <c r="Q537" s="9"/>
      <c r="T537" s="9"/>
      <c r="U537" s="9"/>
    </row>
    <row r="538" spans="6:21" x14ac:dyDescent="0.25">
      <c r="F538" s="9"/>
      <c r="G538" s="9"/>
      <c r="H538" s="9"/>
      <c r="I538" s="9"/>
      <c r="J538" s="9"/>
      <c r="L538" s="9"/>
      <c r="N538" s="9"/>
      <c r="Q538" s="9"/>
      <c r="T538" s="9"/>
      <c r="U538" s="9"/>
    </row>
    <row r="539" spans="6:21" x14ac:dyDescent="0.25">
      <c r="F539" s="9"/>
      <c r="G539" s="9"/>
      <c r="H539" s="9"/>
      <c r="I539" s="9"/>
      <c r="J539" s="9"/>
      <c r="L539" s="9"/>
      <c r="N539" s="9"/>
      <c r="Q539" s="9"/>
      <c r="T539" s="9"/>
      <c r="U539" s="9"/>
    </row>
    <row r="540" spans="6:21" x14ac:dyDescent="0.25">
      <c r="F540" s="9"/>
      <c r="G540" s="9"/>
      <c r="H540" s="9"/>
      <c r="I540" s="9"/>
      <c r="J540" s="9"/>
      <c r="L540" s="9"/>
      <c r="N540" s="9"/>
      <c r="Q540" s="9"/>
      <c r="T540" s="9"/>
      <c r="U540" s="9"/>
    </row>
    <row r="541" spans="6:21" x14ac:dyDescent="0.25">
      <c r="F541" s="9"/>
      <c r="G541" s="9"/>
      <c r="H541" s="9"/>
      <c r="I541" s="9"/>
      <c r="J541" s="9"/>
      <c r="L541" s="9"/>
      <c r="N541" s="9"/>
      <c r="Q541" s="9"/>
      <c r="T541" s="9"/>
      <c r="U541" s="9"/>
    </row>
    <row r="542" spans="6:21" x14ac:dyDescent="0.25">
      <c r="F542" s="9"/>
      <c r="G542" s="9"/>
      <c r="H542" s="9"/>
      <c r="I542" s="9"/>
      <c r="J542" s="9"/>
      <c r="L542" s="9"/>
      <c r="N542" s="9"/>
      <c r="Q542" s="9"/>
      <c r="T542" s="9"/>
      <c r="U542" s="9"/>
    </row>
    <row r="543" spans="6:21" x14ac:dyDescent="0.25">
      <c r="F543" s="9"/>
      <c r="G543" s="9"/>
      <c r="H543" s="9"/>
      <c r="I543" s="9"/>
      <c r="J543" s="9"/>
      <c r="L543" s="9"/>
      <c r="N543" s="9"/>
      <c r="Q543" s="9"/>
      <c r="T543" s="9"/>
      <c r="U543" s="9"/>
    </row>
    <row r="544" spans="6:21" x14ac:dyDescent="0.25">
      <c r="F544" s="9"/>
      <c r="G544" s="9"/>
      <c r="H544" s="9"/>
      <c r="I544" s="9"/>
      <c r="J544" s="9"/>
      <c r="L544" s="9"/>
      <c r="N544" s="9"/>
      <c r="Q544" s="9"/>
      <c r="T544" s="9"/>
      <c r="U544" s="9"/>
    </row>
    <row r="545" spans="6:21" x14ac:dyDescent="0.25">
      <c r="F545" s="9"/>
      <c r="G545" s="9"/>
      <c r="H545" s="9"/>
      <c r="I545" s="9"/>
      <c r="J545" s="9"/>
      <c r="L545" s="9"/>
      <c r="N545" s="9"/>
      <c r="Q545" s="9"/>
      <c r="T545" s="9"/>
      <c r="U545" s="9"/>
    </row>
    <row r="546" spans="6:21" x14ac:dyDescent="0.25">
      <c r="F546" s="9"/>
      <c r="G546" s="9"/>
      <c r="H546" s="9"/>
      <c r="I546" s="9"/>
      <c r="J546" s="9"/>
      <c r="L546" s="9"/>
      <c r="N546" s="9"/>
      <c r="Q546" s="9"/>
      <c r="T546" s="9"/>
      <c r="U546" s="9"/>
    </row>
    <row r="547" spans="6:21" x14ac:dyDescent="0.25">
      <c r="F547" s="9"/>
      <c r="G547" s="9"/>
      <c r="H547" s="9"/>
      <c r="I547" s="9"/>
      <c r="J547" s="9"/>
      <c r="L547" s="9"/>
      <c r="N547" s="9"/>
      <c r="Q547" s="9"/>
      <c r="T547" s="9"/>
      <c r="U547" s="9"/>
    </row>
    <row r="548" spans="6:21" x14ac:dyDescent="0.25">
      <c r="F548" s="9"/>
      <c r="G548" s="9"/>
      <c r="H548" s="9"/>
      <c r="I548" s="9"/>
      <c r="J548" s="9"/>
      <c r="L548" s="9"/>
      <c r="N548" s="9"/>
      <c r="Q548" s="9"/>
      <c r="T548" s="9"/>
      <c r="U548" s="9"/>
    </row>
    <row r="549" spans="6:21" x14ac:dyDescent="0.25">
      <c r="F549" s="9"/>
      <c r="G549" s="9"/>
      <c r="H549" s="9"/>
      <c r="I549" s="9"/>
      <c r="J549" s="9"/>
      <c r="L549" s="9"/>
      <c r="N549" s="9"/>
      <c r="Q549" s="9"/>
      <c r="T549" s="9"/>
      <c r="U549" s="9"/>
    </row>
    <row r="550" spans="6:21" x14ac:dyDescent="0.25">
      <c r="F550" s="9"/>
      <c r="G550" s="9"/>
      <c r="H550" s="9"/>
      <c r="I550" s="9"/>
      <c r="J550" s="9"/>
      <c r="L550" s="9"/>
      <c r="N550" s="9"/>
      <c r="Q550" s="9"/>
      <c r="T550" s="9"/>
      <c r="U550" s="9"/>
    </row>
    <row r="551" spans="6:21" x14ac:dyDescent="0.25">
      <c r="F551" s="9"/>
      <c r="G551" s="9"/>
      <c r="H551" s="9"/>
      <c r="I551" s="9"/>
      <c r="J551" s="9"/>
      <c r="L551" s="9"/>
      <c r="N551" s="9"/>
      <c r="Q551" s="9"/>
      <c r="T551" s="9"/>
      <c r="U551" s="9"/>
    </row>
    <row r="552" spans="6:21" x14ac:dyDescent="0.25">
      <c r="F552" s="9"/>
      <c r="G552" s="9"/>
      <c r="H552" s="9"/>
      <c r="I552" s="9"/>
      <c r="J552" s="9"/>
      <c r="L552" s="9"/>
      <c r="N552" s="9"/>
      <c r="Q552" s="9"/>
      <c r="T552" s="9"/>
      <c r="U552" s="9"/>
    </row>
    <row r="553" spans="6:21" x14ac:dyDescent="0.25">
      <c r="F553" s="9"/>
      <c r="G553" s="9"/>
      <c r="H553" s="9"/>
      <c r="I553" s="9"/>
      <c r="J553" s="9"/>
      <c r="L553" s="9"/>
      <c r="N553" s="9"/>
      <c r="Q553" s="9"/>
      <c r="T553" s="9"/>
      <c r="U553" s="9"/>
    </row>
    <row r="554" spans="6:21" x14ac:dyDescent="0.25">
      <c r="F554" s="9"/>
      <c r="G554" s="9"/>
      <c r="H554" s="9"/>
      <c r="I554" s="9"/>
      <c r="J554" s="9"/>
      <c r="L554" s="9"/>
      <c r="N554" s="9"/>
      <c r="Q554" s="9"/>
      <c r="T554" s="9"/>
      <c r="U554" s="9"/>
    </row>
    <row r="555" spans="6:21" x14ac:dyDescent="0.25">
      <c r="F555" s="9"/>
      <c r="G555" s="9"/>
      <c r="H555" s="9"/>
      <c r="I555" s="9"/>
      <c r="J555" s="9"/>
      <c r="L555" s="9"/>
      <c r="N555" s="9"/>
      <c r="Q555" s="9"/>
      <c r="T555" s="9"/>
      <c r="U555" s="9"/>
    </row>
    <row r="556" spans="6:21" x14ac:dyDescent="0.25">
      <c r="F556" s="9"/>
      <c r="G556" s="9"/>
      <c r="H556" s="9"/>
      <c r="I556" s="9"/>
      <c r="J556" s="9"/>
      <c r="L556" s="9"/>
      <c r="N556" s="9"/>
      <c r="Q556" s="9"/>
      <c r="T556" s="9"/>
      <c r="U556" s="9"/>
    </row>
    <row r="557" spans="6:21" x14ac:dyDescent="0.25">
      <c r="F557" s="9"/>
      <c r="G557" s="9"/>
      <c r="H557" s="9"/>
      <c r="I557" s="9"/>
      <c r="J557" s="9"/>
      <c r="L557" s="9"/>
      <c r="N557" s="9"/>
      <c r="Q557" s="9"/>
      <c r="T557" s="9"/>
      <c r="U557" s="9"/>
    </row>
    <row r="558" spans="6:21" x14ac:dyDescent="0.25">
      <c r="F558" s="9"/>
      <c r="G558" s="9"/>
      <c r="H558" s="9"/>
      <c r="I558" s="9"/>
      <c r="J558" s="9"/>
      <c r="L558" s="9"/>
      <c r="N558" s="9"/>
      <c r="Q558" s="9"/>
      <c r="T558" s="9"/>
      <c r="U558" s="9"/>
    </row>
    <row r="559" spans="6:21" x14ac:dyDescent="0.25">
      <c r="F559" s="9"/>
      <c r="G559" s="9"/>
      <c r="H559" s="9"/>
      <c r="I559" s="9"/>
      <c r="J559" s="9"/>
      <c r="L559" s="9"/>
      <c r="N559" s="9"/>
      <c r="Q559" s="9"/>
      <c r="T559" s="9"/>
      <c r="U559" s="9"/>
    </row>
    <row r="560" spans="6:21" x14ac:dyDescent="0.25">
      <c r="F560" s="9"/>
      <c r="G560" s="9"/>
      <c r="H560" s="9"/>
      <c r="I560" s="9"/>
      <c r="J560" s="9"/>
      <c r="L560" s="9"/>
      <c r="N560" s="9"/>
      <c r="Q560" s="9"/>
      <c r="T560" s="9"/>
      <c r="U560" s="9"/>
    </row>
    <row r="561" spans="6:21" x14ac:dyDescent="0.25">
      <c r="F561" s="9"/>
      <c r="G561" s="9"/>
      <c r="H561" s="9"/>
      <c r="I561" s="9"/>
      <c r="J561" s="9"/>
      <c r="L561" s="9"/>
      <c r="N561" s="9"/>
      <c r="Q561" s="9"/>
      <c r="T561" s="9"/>
      <c r="U561" s="9"/>
    </row>
    <row r="562" spans="6:21" x14ac:dyDescent="0.25">
      <c r="F562" s="9"/>
      <c r="G562" s="9"/>
      <c r="H562" s="9"/>
      <c r="I562" s="9"/>
      <c r="J562" s="9"/>
      <c r="L562" s="9"/>
      <c r="N562" s="9"/>
      <c r="Q562" s="9"/>
      <c r="T562" s="9"/>
      <c r="U562" s="9"/>
    </row>
    <row r="563" spans="6:21" x14ac:dyDescent="0.25">
      <c r="F563" s="9"/>
      <c r="G563" s="9"/>
      <c r="H563" s="9"/>
      <c r="I563" s="9"/>
      <c r="J563" s="9"/>
      <c r="L563" s="9"/>
      <c r="N563" s="9"/>
      <c r="Q563" s="9"/>
      <c r="T563" s="9"/>
      <c r="U563" s="9"/>
    </row>
    <row r="564" spans="6:21" x14ac:dyDescent="0.25">
      <c r="F564" s="9"/>
      <c r="G564" s="9"/>
      <c r="H564" s="9"/>
      <c r="I564" s="9"/>
      <c r="J564" s="9"/>
      <c r="L564" s="9"/>
      <c r="N564" s="9"/>
      <c r="Q564" s="9"/>
      <c r="T564" s="9"/>
      <c r="U564" s="9"/>
    </row>
    <row r="565" spans="6:21" x14ac:dyDescent="0.25">
      <c r="F565" s="9"/>
      <c r="G565" s="9"/>
      <c r="H565" s="9"/>
      <c r="I565" s="9"/>
      <c r="J565" s="9"/>
      <c r="L565" s="9"/>
      <c r="N565" s="9"/>
      <c r="Q565" s="9"/>
      <c r="T565" s="9"/>
      <c r="U565" s="9"/>
    </row>
    <row r="566" spans="6:21" x14ac:dyDescent="0.25">
      <c r="F566" s="9"/>
      <c r="G566" s="9"/>
      <c r="H566" s="9"/>
      <c r="I566" s="9"/>
      <c r="J566" s="9"/>
      <c r="L566" s="9"/>
      <c r="N566" s="9"/>
      <c r="Q566" s="9"/>
      <c r="T566" s="9"/>
      <c r="U566" s="9"/>
    </row>
    <row r="567" spans="6:21" x14ac:dyDescent="0.25">
      <c r="F567" s="9"/>
      <c r="G567" s="9"/>
      <c r="H567" s="9"/>
      <c r="I567" s="9"/>
      <c r="J567" s="9"/>
      <c r="L567" s="9"/>
      <c r="N567" s="9"/>
      <c r="Q567" s="9"/>
      <c r="T567" s="9"/>
      <c r="U567" s="9"/>
    </row>
    <row r="568" spans="6:21" x14ac:dyDescent="0.25">
      <c r="F568" s="9"/>
      <c r="G568" s="9"/>
      <c r="H568" s="9"/>
      <c r="I568" s="9"/>
      <c r="J568" s="9"/>
      <c r="L568" s="9"/>
      <c r="N568" s="9"/>
      <c r="Q568" s="9"/>
      <c r="T568" s="9"/>
      <c r="U568" s="9"/>
    </row>
    <row r="569" spans="6:21" x14ac:dyDescent="0.25">
      <c r="F569" s="9"/>
      <c r="G569" s="9"/>
      <c r="H569" s="9"/>
      <c r="I569" s="9"/>
      <c r="J569" s="9"/>
      <c r="L569" s="9"/>
      <c r="N569" s="9"/>
      <c r="Q569" s="9"/>
      <c r="T569" s="9"/>
      <c r="U569" s="9"/>
    </row>
    <row r="570" spans="6:21" x14ac:dyDescent="0.25">
      <c r="F570" s="9"/>
      <c r="G570" s="9"/>
      <c r="H570" s="9"/>
      <c r="I570" s="9"/>
      <c r="J570" s="9"/>
      <c r="L570" s="9"/>
      <c r="N570" s="9"/>
      <c r="Q570" s="9"/>
      <c r="T570" s="9"/>
      <c r="U570" s="9"/>
    </row>
    <row r="571" spans="6:21" x14ac:dyDescent="0.25">
      <c r="F571" s="9"/>
      <c r="G571" s="9"/>
      <c r="H571" s="9"/>
      <c r="I571" s="9"/>
      <c r="J571" s="9"/>
      <c r="L571" s="9"/>
      <c r="N571" s="9"/>
      <c r="Q571" s="9"/>
      <c r="T571" s="9"/>
      <c r="U571" s="9"/>
    </row>
    <row r="572" spans="6:21" x14ac:dyDescent="0.25">
      <c r="F572" s="9"/>
      <c r="G572" s="9"/>
      <c r="H572" s="9"/>
      <c r="I572" s="9"/>
      <c r="J572" s="9"/>
      <c r="L572" s="9"/>
      <c r="N572" s="9"/>
      <c r="Q572" s="9"/>
      <c r="T572" s="9"/>
      <c r="U572" s="9"/>
    </row>
    <row r="573" spans="6:21" x14ac:dyDescent="0.25">
      <c r="F573" s="9"/>
      <c r="G573" s="9"/>
      <c r="H573" s="9"/>
      <c r="I573" s="9"/>
      <c r="J573" s="9"/>
      <c r="L573" s="9"/>
      <c r="N573" s="9"/>
      <c r="Q573" s="9"/>
      <c r="T573" s="9"/>
      <c r="U573" s="9"/>
    </row>
    <row r="574" spans="6:21" x14ac:dyDescent="0.25">
      <c r="F574" s="9"/>
      <c r="G574" s="9"/>
      <c r="H574" s="9"/>
      <c r="I574" s="9"/>
      <c r="J574" s="9"/>
      <c r="L574" s="9"/>
      <c r="N574" s="9"/>
      <c r="Q574" s="9"/>
      <c r="T574" s="9"/>
      <c r="U574" s="9"/>
    </row>
    <row r="575" spans="6:21" x14ac:dyDescent="0.25">
      <c r="F575" s="9"/>
      <c r="G575" s="9"/>
      <c r="H575" s="9"/>
      <c r="I575" s="9"/>
      <c r="J575" s="9"/>
      <c r="L575" s="9"/>
      <c r="N575" s="9"/>
      <c r="Q575" s="9"/>
      <c r="T575" s="9"/>
      <c r="U575" s="9"/>
    </row>
    <row r="576" spans="6:21" x14ac:dyDescent="0.25">
      <c r="F576" s="9"/>
      <c r="G576" s="9"/>
      <c r="H576" s="9"/>
      <c r="I576" s="9"/>
      <c r="J576" s="9"/>
      <c r="L576" s="9"/>
      <c r="N576" s="9"/>
      <c r="Q576" s="9"/>
      <c r="T576" s="9"/>
      <c r="U576" s="9"/>
    </row>
    <row r="577" spans="6:21" x14ac:dyDescent="0.25">
      <c r="F577" s="9"/>
      <c r="G577" s="9"/>
      <c r="H577" s="9"/>
      <c r="I577" s="9"/>
      <c r="J577" s="9"/>
      <c r="L577" s="9"/>
      <c r="N577" s="9"/>
      <c r="Q577" s="9"/>
      <c r="T577" s="9"/>
      <c r="U577" s="9"/>
    </row>
    <row r="578" spans="6:21" x14ac:dyDescent="0.25">
      <c r="F578" s="9"/>
      <c r="G578" s="9"/>
      <c r="H578" s="9"/>
      <c r="I578" s="9"/>
      <c r="J578" s="9"/>
      <c r="L578" s="9"/>
      <c r="N578" s="9"/>
      <c r="Q578" s="9"/>
      <c r="T578" s="9"/>
      <c r="U578" s="9"/>
    </row>
    <row r="579" spans="6:21" x14ac:dyDescent="0.25">
      <c r="F579" s="9"/>
      <c r="G579" s="9"/>
      <c r="H579" s="9"/>
      <c r="I579" s="9"/>
      <c r="J579" s="9"/>
      <c r="L579" s="9"/>
      <c r="N579" s="9"/>
      <c r="Q579" s="9"/>
      <c r="T579" s="9"/>
      <c r="U579" s="9"/>
    </row>
    <row r="580" spans="6:21" x14ac:dyDescent="0.25">
      <c r="F580" s="9"/>
      <c r="G580" s="9"/>
      <c r="H580" s="9"/>
      <c r="I580" s="9"/>
      <c r="J580" s="9"/>
      <c r="L580" s="9"/>
      <c r="N580" s="9"/>
      <c r="Q580" s="9"/>
      <c r="T580" s="9"/>
      <c r="U580" s="9"/>
    </row>
    <row r="581" spans="6:21" x14ac:dyDescent="0.25">
      <c r="F581" s="9"/>
      <c r="G581" s="9"/>
      <c r="H581" s="9"/>
      <c r="I581" s="9"/>
      <c r="J581" s="9"/>
      <c r="L581" s="9"/>
      <c r="N581" s="9"/>
      <c r="Q581" s="9"/>
      <c r="T581" s="9"/>
      <c r="U581" s="9"/>
    </row>
    <row r="582" spans="6:21" x14ac:dyDescent="0.25">
      <c r="F582" s="9"/>
      <c r="G582" s="9"/>
      <c r="H582" s="9"/>
      <c r="I582" s="9"/>
      <c r="J582" s="9"/>
      <c r="L582" s="9"/>
      <c r="N582" s="9"/>
      <c r="Q582" s="9"/>
      <c r="T582" s="9"/>
      <c r="U582" s="9"/>
    </row>
    <row r="583" spans="6:21" x14ac:dyDescent="0.25">
      <c r="F583" s="9"/>
      <c r="G583" s="9"/>
      <c r="H583" s="9"/>
      <c r="I583" s="9"/>
      <c r="J583" s="9"/>
      <c r="L583" s="9"/>
      <c r="N583" s="9"/>
      <c r="Q583" s="9"/>
      <c r="T583" s="9"/>
      <c r="U583" s="9"/>
    </row>
    <row r="584" spans="6:21" x14ac:dyDescent="0.25">
      <c r="F584" s="9"/>
      <c r="G584" s="9"/>
      <c r="H584" s="9"/>
      <c r="I584" s="9"/>
      <c r="J584" s="9"/>
      <c r="L584" s="9"/>
      <c r="N584" s="9"/>
      <c r="Q584" s="9"/>
      <c r="T584" s="9"/>
      <c r="U584" s="9"/>
    </row>
    <row r="585" spans="6:21" x14ac:dyDescent="0.25">
      <c r="F585" s="9"/>
      <c r="G585" s="9"/>
      <c r="H585" s="9"/>
      <c r="I585" s="9"/>
      <c r="J585" s="9"/>
      <c r="L585" s="9"/>
      <c r="N585" s="9"/>
      <c r="Q585" s="9"/>
      <c r="T585" s="9"/>
      <c r="U585" s="9"/>
    </row>
    <row r="586" spans="6:21" x14ac:dyDescent="0.25">
      <c r="F586" s="9"/>
      <c r="G586" s="9"/>
      <c r="H586" s="9"/>
      <c r="I586" s="9"/>
      <c r="J586" s="9"/>
      <c r="L586" s="9"/>
      <c r="N586" s="9"/>
      <c r="Q586" s="9"/>
      <c r="T586" s="9"/>
      <c r="U586" s="9"/>
    </row>
    <row r="587" spans="6:21" x14ac:dyDescent="0.25">
      <c r="F587" s="9"/>
      <c r="G587" s="9"/>
      <c r="H587" s="9"/>
      <c r="I587" s="9"/>
      <c r="J587" s="9"/>
      <c r="L587" s="9"/>
      <c r="N587" s="9"/>
      <c r="Q587" s="9"/>
      <c r="T587" s="9"/>
      <c r="U587" s="9"/>
    </row>
    <row r="588" spans="6:21" x14ac:dyDescent="0.25">
      <c r="F588" s="9"/>
      <c r="G588" s="9"/>
      <c r="H588" s="9"/>
      <c r="I588" s="9"/>
      <c r="J588" s="9"/>
      <c r="L588" s="9"/>
      <c r="N588" s="9"/>
      <c r="Q588" s="9"/>
      <c r="T588" s="9"/>
      <c r="U588" s="9"/>
    </row>
    <row r="589" spans="6:21" x14ac:dyDescent="0.25">
      <c r="F589" s="9"/>
      <c r="G589" s="9"/>
      <c r="H589" s="9"/>
      <c r="I589" s="9"/>
      <c r="J589" s="9"/>
      <c r="L589" s="9"/>
      <c r="N589" s="9"/>
      <c r="Q589" s="9"/>
      <c r="T589" s="9"/>
      <c r="U589" s="9"/>
    </row>
    <row r="590" spans="6:21" x14ac:dyDescent="0.25">
      <c r="F590" s="9"/>
      <c r="G590" s="9"/>
      <c r="H590" s="9"/>
      <c r="I590" s="9"/>
      <c r="J590" s="9"/>
      <c r="L590" s="9"/>
      <c r="N590" s="9"/>
      <c r="Q590" s="9"/>
      <c r="T590" s="9"/>
      <c r="U590" s="9"/>
    </row>
    <row r="591" spans="6:21" x14ac:dyDescent="0.25">
      <c r="F591" s="9"/>
      <c r="G591" s="9"/>
      <c r="H591" s="9"/>
      <c r="I591" s="9"/>
      <c r="J591" s="9"/>
      <c r="L591" s="9"/>
      <c r="N591" s="9"/>
      <c r="Q591" s="9"/>
      <c r="T591" s="9"/>
      <c r="U591" s="9"/>
    </row>
    <row r="592" spans="6:21" x14ac:dyDescent="0.25">
      <c r="F592" s="9"/>
      <c r="G592" s="9"/>
      <c r="H592" s="9"/>
      <c r="I592" s="9"/>
      <c r="J592" s="9"/>
      <c r="L592" s="9"/>
      <c r="N592" s="9"/>
      <c r="Q592" s="9"/>
      <c r="T592" s="9"/>
      <c r="U592" s="9"/>
    </row>
    <row r="593" spans="6:21" x14ac:dyDescent="0.25">
      <c r="F593" s="9"/>
      <c r="G593" s="9"/>
      <c r="H593" s="9"/>
      <c r="I593" s="9"/>
      <c r="J593" s="9"/>
      <c r="L593" s="9"/>
      <c r="N593" s="9"/>
      <c r="Q593" s="9"/>
      <c r="T593" s="9"/>
      <c r="U593" s="9"/>
    </row>
    <row r="594" spans="6:21" x14ac:dyDescent="0.25">
      <c r="F594" s="9"/>
      <c r="G594" s="9"/>
      <c r="H594" s="9"/>
      <c r="I594" s="9"/>
      <c r="J594" s="9"/>
      <c r="L594" s="9"/>
      <c r="N594" s="9"/>
      <c r="Q594" s="9"/>
      <c r="T594" s="9"/>
      <c r="U594" s="9"/>
    </row>
    <row r="595" spans="6:21" x14ac:dyDescent="0.25">
      <c r="F595" s="9"/>
      <c r="G595" s="9"/>
      <c r="H595" s="9"/>
      <c r="I595" s="9"/>
      <c r="J595" s="9"/>
      <c r="L595" s="9"/>
      <c r="N595" s="9"/>
      <c r="Q595" s="9"/>
      <c r="T595" s="9"/>
      <c r="U595" s="9"/>
    </row>
    <row r="596" spans="6:21" x14ac:dyDescent="0.25">
      <c r="F596" s="9"/>
      <c r="G596" s="9"/>
      <c r="H596" s="9"/>
      <c r="I596" s="9"/>
      <c r="J596" s="9"/>
      <c r="L596" s="9"/>
      <c r="N596" s="9"/>
      <c r="Q596" s="9"/>
      <c r="T596" s="9"/>
      <c r="U596" s="9"/>
    </row>
    <row r="597" spans="6:21" x14ac:dyDescent="0.25">
      <c r="F597" s="9"/>
      <c r="G597" s="9"/>
      <c r="H597" s="9"/>
      <c r="I597" s="9"/>
      <c r="J597" s="9"/>
      <c r="L597" s="9"/>
      <c r="N597" s="9"/>
      <c r="Q597" s="9"/>
      <c r="T597" s="9"/>
      <c r="U597" s="9"/>
    </row>
    <row r="598" spans="6:21" x14ac:dyDescent="0.25">
      <c r="F598" s="9"/>
      <c r="G598" s="9"/>
      <c r="H598" s="9"/>
      <c r="I598" s="9"/>
      <c r="J598" s="9"/>
      <c r="L598" s="9"/>
      <c r="N598" s="9"/>
      <c r="Q598" s="9"/>
      <c r="T598" s="9"/>
      <c r="U598" s="9"/>
    </row>
    <row r="599" spans="6:21" x14ac:dyDescent="0.25">
      <c r="F599" s="9"/>
      <c r="G599" s="9"/>
      <c r="H599" s="9"/>
      <c r="I599" s="9"/>
      <c r="J599" s="9"/>
      <c r="L599" s="9"/>
      <c r="N599" s="9"/>
      <c r="Q599" s="9"/>
      <c r="T599" s="9"/>
      <c r="U599" s="9"/>
    </row>
    <row r="600" spans="6:21" x14ac:dyDescent="0.25">
      <c r="F600" s="9"/>
      <c r="G600" s="9"/>
      <c r="H600" s="9"/>
      <c r="I600" s="9"/>
      <c r="J600" s="9"/>
      <c r="L600" s="9"/>
      <c r="N600" s="9"/>
      <c r="Q600" s="9"/>
      <c r="T600" s="9"/>
      <c r="U600" s="9"/>
    </row>
    <row r="601" spans="6:21" x14ac:dyDescent="0.25">
      <c r="F601" s="9"/>
      <c r="G601" s="9"/>
      <c r="H601" s="9"/>
      <c r="I601" s="9"/>
      <c r="J601" s="9"/>
      <c r="L601" s="9"/>
      <c r="N601" s="9"/>
      <c r="Q601" s="9"/>
      <c r="T601" s="9"/>
      <c r="U601" s="9"/>
    </row>
    <row r="602" spans="6:21" x14ac:dyDescent="0.25">
      <c r="F602" s="9"/>
      <c r="G602" s="9"/>
      <c r="H602" s="9"/>
      <c r="I602" s="9"/>
      <c r="J602" s="9"/>
      <c r="L602" s="9"/>
      <c r="N602" s="9"/>
      <c r="Q602" s="9"/>
      <c r="T602" s="9"/>
      <c r="U602" s="9"/>
    </row>
    <row r="603" spans="6:21" x14ac:dyDescent="0.25">
      <c r="F603" s="9"/>
      <c r="G603" s="9"/>
      <c r="H603" s="9"/>
      <c r="I603" s="9"/>
      <c r="J603" s="9"/>
      <c r="L603" s="9"/>
      <c r="N603" s="9"/>
      <c r="Q603" s="9"/>
      <c r="T603" s="9"/>
      <c r="U603" s="9"/>
    </row>
    <row r="604" spans="6:21" x14ac:dyDescent="0.25">
      <c r="F604" s="9"/>
      <c r="G604" s="9"/>
      <c r="H604" s="9"/>
      <c r="I604" s="9"/>
      <c r="J604" s="9"/>
      <c r="L604" s="9"/>
      <c r="N604" s="9"/>
      <c r="Q604" s="9"/>
      <c r="T604" s="9"/>
      <c r="U604" s="9"/>
    </row>
    <row r="605" spans="6:21" x14ac:dyDescent="0.25">
      <c r="F605" s="9"/>
      <c r="G605" s="9"/>
      <c r="H605" s="9"/>
      <c r="I605" s="9"/>
      <c r="J605" s="9"/>
      <c r="L605" s="9"/>
      <c r="N605" s="9"/>
      <c r="Q605" s="9"/>
      <c r="T605" s="9"/>
      <c r="U605" s="9"/>
    </row>
    <row r="606" spans="6:21" x14ac:dyDescent="0.25">
      <c r="F606" s="9"/>
      <c r="G606" s="9"/>
      <c r="H606" s="9"/>
      <c r="I606" s="9"/>
      <c r="J606" s="9"/>
      <c r="L606" s="9"/>
      <c r="N606" s="9"/>
      <c r="Q606" s="9"/>
      <c r="T606" s="9"/>
      <c r="U606" s="9"/>
    </row>
    <row r="607" spans="6:21" x14ac:dyDescent="0.25">
      <c r="F607" s="9"/>
      <c r="G607" s="9"/>
      <c r="H607" s="9"/>
      <c r="I607" s="9"/>
      <c r="J607" s="9"/>
      <c r="L607" s="9"/>
      <c r="N607" s="9"/>
      <c r="Q607" s="9"/>
      <c r="T607" s="9"/>
      <c r="U607" s="9"/>
    </row>
    <row r="608" spans="6:21" x14ac:dyDescent="0.25">
      <c r="F608" s="9"/>
      <c r="G608" s="9"/>
      <c r="H608" s="9"/>
      <c r="I608" s="9"/>
      <c r="J608" s="9"/>
      <c r="L608" s="9"/>
      <c r="N608" s="9"/>
      <c r="Q608" s="9"/>
      <c r="T608" s="9"/>
      <c r="U608" s="9"/>
    </row>
    <row r="609" spans="6:21" x14ac:dyDescent="0.25">
      <c r="F609" s="9"/>
      <c r="G609" s="9"/>
      <c r="H609" s="9"/>
      <c r="I609" s="9"/>
      <c r="J609" s="9"/>
      <c r="L609" s="9"/>
      <c r="N609" s="9"/>
      <c r="Q609" s="9"/>
      <c r="T609" s="9"/>
      <c r="U609" s="9"/>
    </row>
    <row r="610" spans="6:21" x14ac:dyDescent="0.25">
      <c r="F610" s="9"/>
      <c r="G610" s="9"/>
      <c r="H610" s="9"/>
      <c r="I610" s="9"/>
      <c r="J610" s="9"/>
      <c r="L610" s="9"/>
      <c r="N610" s="9"/>
      <c r="Q610" s="9"/>
      <c r="T610" s="9"/>
      <c r="U610" s="9"/>
    </row>
    <row r="611" spans="6:21" x14ac:dyDescent="0.25">
      <c r="F611" s="9"/>
      <c r="G611" s="9"/>
      <c r="H611" s="9"/>
      <c r="I611" s="9"/>
      <c r="J611" s="9"/>
      <c r="L611" s="9"/>
      <c r="N611" s="9"/>
      <c r="Q611" s="9"/>
      <c r="T611" s="9"/>
      <c r="U611" s="9"/>
    </row>
    <row r="612" spans="6:21" x14ac:dyDescent="0.25">
      <c r="F612" s="9"/>
      <c r="G612" s="9"/>
      <c r="H612" s="9"/>
      <c r="I612" s="9"/>
      <c r="J612" s="9"/>
      <c r="L612" s="9"/>
      <c r="N612" s="9"/>
      <c r="Q612" s="9"/>
      <c r="T612" s="9"/>
      <c r="U612" s="9"/>
    </row>
    <row r="613" spans="6:21" x14ac:dyDescent="0.25">
      <c r="F613" s="9"/>
      <c r="G613" s="9"/>
      <c r="H613" s="9"/>
      <c r="I613" s="9"/>
      <c r="J613" s="9"/>
      <c r="L613" s="9"/>
      <c r="N613" s="9"/>
      <c r="Q613" s="9"/>
      <c r="T613" s="9"/>
      <c r="U613" s="9"/>
    </row>
    <row r="614" spans="6:21" x14ac:dyDescent="0.25">
      <c r="F614" s="9"/>
      <c r="G614" s="9"/>
      <c r="H614" s="9"/>
      <c r="I614" s="9"/>
      <c r="J614" s="9"/>
      <c r="L614" s="9"/>
      <c r="N614" s="9"/>
      <c r="Q614" s="9"/>
      <c r="T614" s="9"/>
      <c r="U614" s="9"/>
    </row>
    <row r="615" spans="6:21" x14ac:dyDescent="0.25">
      <c r="F615" s="9"/>
      <c r="G615" s="9"/>
      <c r="H615" s="9"/>
      <c r="I615" s="9"/>
      <c r="J615" s="9"/>
      <c r="L615" s="9"/>
      <c r="N615" s="9"/>
      <c r="Q615" s="9"/>
      <c r="T615" s="9"/>
      <c r="U615" s="9"/>
    </row>
    <row r="616" spans="6:21" x14ac:dyDescent="0.25">
      <c r="F616" s="9"/>
      <c r="G616" s="9"/>
      <c r="H616" s="9"/>
      <c r="I616" s="9"/>
      <c r="J616" s="9"/>
      <c r="L616" s="9"/>
      <c r="N616" s="9"/>
      <c r="Q616" s="9"/>
      <c r="T616" s="9"/>
      <c r="U616" s="9"/>
    </row>
    <row r="617" spans="6:21" x14ac:dyDescent="0.25">
      <c r="F617" s="9"/>
      <c r="G617" s="9"/>
      <c r="H617" s="9"/>
      <c r="I617" s="9"/>
      <c r="J617" s="9"/>
      <c r="L617" s="9"/>
      <c r="N617" s="9"/>
      <c r="Q617" s="9"/>
      <c r="T617" s="9"/>
      <c r="U617" s="9"/>
    </row>
    <row r="618" spans="6:21" x14ac:dyDescent="0.25">
      <c r="F618" s="9"/>
      <c r="G618" s="9"/>
      <c r="H618" s="9"/>
      <c r="I618" s="9"/>
      <c r="J618" s="9"/>
      <c r="L618" s="9"/>
      <c r="N618" s="9"/>
      <c r="Q618" s="9"/>
      <c r="T618" s="9"/>
      <c r="U618" s="9"/>
    </row>
    <row r="619" spans="6:21" x14ac:dyDescent="0.25">
      <c r="F619" s="9"/>
      <c r="G619" s="9"/>
      <c r="H619" s="9"/>
      <c r="I619" s="9"/>
      <c r="J619" s="9"/>
      <c r="L619" s="9"/>
      <c r="N619" s="9"/>
      <c r="Q619" s="9"/>
      <c r="T619" s="9"/>
      <c r="U619" s="9"/>
    </row>
    <row r="620" spans="6:21" x14ac:dyDescent="0.25">
      <c r="F620" s="9"/>
      <c r="G620" s="9"/>
      <c r="H620" s="9"/>
      <c r="I620" s="9"/>
      <c r="J620" s="9"/>
      <c r="L620" s="9"/>
      <c r="N620" s="9"/>
      <c r="Q620" s="9"/>
      <c r="T620" s="9"/>
      <c r="U620" s="9"/>
    </row>
    <row r="621" spans="6:21" x14ac:dyDescent="0.25">
      <c r="F621" s="9"/>
      <c r="G621" s="9"/>
      <c r="H621" s="9"/>
      <c r="I621" s="9"/>
      <c r="J621" s="9"/>
      <c r="L621" s="9"/>
      <c r="N621" s="9"/>
      <c r="Q621" s="9"/>
      <c r="T621" s="9"/>
      <c r="U621" s="9"/>
    </row>
    <row r="622" spans="6:21" x14ac:dyDescent="0.25">
      <c r="F622" s="9"/>
      <c r="G622" s="9"/>
      <c r="H622" s="9"/>
      <c r="I622" s="9"/>
      <c r="J622" s="9"/>
      <c r="L622" s="9"/>
      <c r="N622" s="9"/>
      <c r="Q622" s="9"/>
      <c r="T622" s="9"/>
      <c r="U622" s="9"/>
    </row>
    <row r="623" spans="6:21" x14ac:dyDescent="0.25">
      <c r="F623" s="9"/>
      <c r="G623" s="9"/>
      <c r="H623" s="9"/>
      <c r="I623" s="9"/>
      <c r="J623" s="9"/>
      <c r="L623" s="9"/>
      <c r="N623" s="9"/>
      <c r="Q623" s="9"/>
      <c r="T623" s="9"/>
      <c r="U623" s="9"/>
    </row>
    <row r="624" spans="6:21" x14ac:dyDescent="0.25">
      <c r="F624" s="9"/>
      <c r="G624" s="9"/>
      <c r="H624" s="9"/>
      <c r="I624" s="9"/>
      <c r="J624" s="9"/>
      <c r="L624" s="9"/>
      <c r="N624" s="9"/>
      <c r="Q624" s="9"/>
      <c r="T624" s="9"/>
      <c r="U624" s="9"/>
    </row>
    <row r="625" spans="6:21" x14ac:dyDescent="0.25">
      <c r="F625" s="9"/>
      <c r="G625" s="9"/>
      <c r="H625" s="9"/>
      <c r="I625" s="9"/>
      <c r="J625" s="9"/>
      <c r="L625" s="9"/>
      <c r="N625" s="9"/>
      <c r="Q625" s="9"/>
      <c r="T625" s="9"/>
      <c r="U625" s="9"/>
    </row>
    <row r="626" spans="6:21" x14ac:dyDescent="0.25">
      <c r="F626" s="9"/>
      <c r="G626" s="9"/>
      <c r="H626" s="9"/>
      <c r="I626" s="9"/>
      <c r="J626" s="9"/>
      <c r="L626" s="9"/>
      <c r="N626" s="9"/>
      <c r="Q626" s="9"/>
      <c r="T626" s="9"/>
      <c r="U626" s="9"/>
    </row>
    <row r="627" spans="6:21" x14ac:dyDescent="0.25">
      <c r="F627" s="9"/>
      <c r="G627" s="9"/>
      <c r="H627" s="9"/>
      <c r="I627" s="9"/>
      <c r="J627" s="9"/>
      <c r="L627" s="9"/>
      <c r="N627" s="9"/>
      <c r="Q627" s="9"/>
      <c r="T627" s="9"/>
      <c r="U627" s="9"/>
    </row>
    <row r="628" spans="6:21" x14ac:dyDescent="0.25">
      <c r="F628" s="9"/>
      <c r="G628" s="9"/>
      <c r="H628" s="9"/>
      <c r="I628" s="9"/>
      <c r="J628" s="9"/>
      <c r="L628" s="9"/>
      <c r="N628" s="9"/>
      <c r="Q628" s="9"/>
      <c r="T628" s="9"/>
      <c r="U628" s="9"/>
    </row>
    <row r="629" spans="6:21" x14ac:dyDescent="0.25">
      <c r="F629" s="9"/>
      <c r="G629" s="9"/>
      <c r="H629" s="9"/>
      <c r="I629" s="9"/>
      <c r="J629" s="9"/>
      <c r="L629" s="9"/>
      <c r="N629" s="9"/>
      <c r="Q629" s="9"/>
      <c r="T629" s="9"/>
      <c r="U629" s="9"/>
    </row>
    <row r="630" spans="6:21" x14ac:dyDescent="0.25">
      <c r="F630" s="9"/>
      <c r="G630" s="9"/>
      <c r="H630" s="9"/>
      <c r="I630" s="9"/>
      <c r="J630" s="9"/>
      <c r="L630" s="9"/>
      <c r="N630" s="9"/>
      <c r="Q630" s="9"/>
      <c r="T630" s="9"/>
      <c r="U630" s="9"/>
    </row>
    <row r="631" spans="6:21" x14ac:dyDescent="0.25">
      <c r="F631" s="9"/>
      <c r="G631" s="9"/>
      <c r="H631" s="9"/>
      <c r="I631" s="9"/>
      <c r="J631" s="9"/>
      <c r="L631" s="9"/>
      <c r="N631" s="9"/>
      <c r="Q631" s="9"/>
      <c r="T631" s="9"/>
      <c r="U631" s="9"/>
    </row>
    <row r="632" spans="6:21" x14ac:dyDescent="0.25">
      <c r="F632" s="9"/>
      <c r="G632" s="9"/>
      <c r="H632" s="9"/>
      <c r="I632" s="9"/>
      <c r="J632" s="9"/>
      <c r="L632" s="9"/>
      <c r="N632" s="9"/>
      <c r="Q632" s="9"/>
      <c r="T632" s="9"/>
      <c r="U632" s="9"/>
    </row>
    <row r="633" spans="6:21" x14ac:dyDescent="0.25">
      <c r="F633" s="9"/>
      <c r="G633" s="9"/>
      <c r="H633" s="9"/>
      <c r="I633" s="9"/>
      <c r="J633" s="9"/>
      <c r="L633" s="9"/>
      <c r="N633" s="9"/>
      <c r="Q633" s="9"/>
      <c r="T633" s="9"/>
      <c r="U633" s="9"/>
    </row>
    <row r="634" spans="6:21" x14ac:dyDescent="0.25">
      <c r="F634" s="9"/>
      <c r="G634" s="9"/>
      <c r="H634" s="9"/>
      <c r="I634" s="9"/>
      <c r="J634" s="9"/>
      <c r="L634" s="9"/>
      <c r="N634" s="9"/>
      <c r="Q634" s="9"/>
      <c r="T634" s="9"/>
      <c r="U634" s="9"/>
    </row>
    <row r="635" spans="6:21" x14ac:dyDescent="0.25">
      <c r="F635" s="9"/>
      <c r="G635" s="9"/>
      <c r="H635" s="9"/>
      <c r="I635" s="9"/>
      <c r="J635" s="9"/>
      <c r="L635" s="9"/>
      <c r="N635" s="9"/>
      <c r="Q635" s="9"/>
      <c r="T635" s="9"/>
      <c r="U635" s="9"/>
    </row>
    <row r="636" spans="6:21" x14ac:dyDescent="0.25">
      <c r="F636" s="9"/>
      <c r="G636" s="9"/>
      <c r="H636" s="9"/>
      <c r="I636" s="9"/>
      <c r="J636" s="9"/>
      <c r="L636" s="9"/>
      <c r="N636" s="9"/>
      <c r="Q636" s="9"/>
      <c r="T636" s="9"/>
      <c r="U636" s="9"/>
    </row>
    <row r="637" spans="6:21" x14ac:dyDescent="0.25">
      <c r="F637" s="9"/>
      <c r="G637" s="9"/>
      <c r="H637" s="9"/>
      <c r="I637" s="9"/>
      <c r="J637" s="9"/>
      <c r="L637" s="9"/>
      <c r="N637" s="9"/>
      <c r="Q637" s="9"/>
      <c r="T637" s="9"/>
      <c r="U637" s="9"/>
    </row>
    <row r="638" spans="6:21" x14ac:dyDescent="0.25">
      <c r="F638" s="9"/>
      <c r="G638" s="9"/>
      <c r="H638" s="9"/>
      <c r="I638" s="9"/>
      <c r="J638" s="9"/>
      <c r="L638" s="9"/>
      <c r="N638" s="9"/>
      <c r="Q638" s="9"/>
      <c r="T638" s="9"/>
      <c r="U638" s="9"/>
    </row>
    <row r="639" spans="6:21" x14ac:dyDescent="0.25">
      <c r="F639" s="9"/>
      <c r="G639" s="9"/>
      <c r="H639" s="9"/>
      <c r="I639" s="9"/>
      <c r="J639" s="9"/>
      <c r="L639" s="9"/>
      <c r="N639" s="9"/>
      <c r="Q639" s="9"/>
      <c r="T639" s="9"/>
      <c r="U639" s="9"/>
    </row>
    <row r="640" spans="6:21" x14ac:dyDescent="0.25">
      <c r="F640" s="9"/>
      <c r="G640" s="9"/>
      <c r="H640" s="9"/>
      <c r="I640" s="9"/>
      <c r="J640" s="9"/>
      <c r="L640" s="9"/>
      <c r="N640" s="9"/>
      <c r="Q640" s="9"/>
      <c r="T640" s="9"/>
      <c r="U640" s="9"/>
    </row>
    <row r="641" spans="6:21" x14ac:dyDescent="0.25">
      <c r="F641" s="9"/>
      <c r="G641" s="9"/>
      <c r="H641" s="9"/>
      <c r="I641" s="9"/>
      <c r="J641" s="9"/>
      <c r="L641" s="9"/>
      <c r="N641" s="9"/>
      <c r="Q641" s="9"/>
      <c r="T641" s="9"/>
      <c r="U641" s="9"/>
    </row>
    <row r="642" spans="6:21" x14ac:dyDescent="0.25">
      <c r="F642" s="9"/>
      <c r="G642" s="9"/>
      <c r="H642" s="9"/>
      <c r="I642" s="9"/>
      <c r="J642" s="9"/>
      <c r="L642" s="9"/>
      <c r="N642" s="9"/>
      <c r="Q642" s="9"/>
      <c r="T642" s="9"/>
      <c r="U642" s="9"/>
    </row>
    <row r="643" spans="6:21" x14ac:dyDescent="0.25">
      <c r="F643" s="9"/>
      <c r="G643" s="9"/>
      <c r="H643" s="9"/>
      <c r="I643" s="9"/>
      <c r="J643" s="9"/>
      <c r="L643" s="9"/>
      <c r="N643" s="9"/>
      <c r="Q643" s="9"/>
      <c r="T643" s="9"/>
      <c r="U643" s="9"/>
    </row>
    <row r="644" spans="6:21" x14ac:dyDescent="0.25">
      <c r="F644" s="9"/>
      <c r="G644" s="9"/>
      <c r="H644" s="9"/>
      <c r="I644" s="9"/>
      <c r="J644" s="9"/>
      <c r="L644" s="9"/>
      <c r="N644" s="9"/>
      <c r="Q644" s="9"/>
      <c r="T644" s="9"/>
      <c r="U644" s="9"/>
    </row>
    <row r="645" spans="6:21" x14ac:dyDescent="0.25">
      <c r="F645" s="9"/>
      <c r="G645" s="9"/>
      <c r="H645" s="9"/>
      <c r="I645" s="9"/>
      <c r="J645" s="9"/>
      <c r="L645" s="9"/>
      <c r="N645" s="9"/>
      <c r="Q645" s="9"/>
      <c r="T645" s="9"/>
      <c r="U645" s="9"/>
    </row>
    <row r="646" spans="6:21" x14ac:dyDescent="0.25">
      <c r="F646" s="9"/>
      <c r="G646" s="9"/>
      <c r="H646" s="9"/>
      <c r="I646" s="9"/>
      <c r="J646" s="9"/>
      <c r="L646" s="9"/>
      <c r="N646" s="9"/>
      <c r="Q646" s="9"/>
      <c r="T646" s="9"/>
      <c r="U646" s="9"/>
    </row>
    <row r="647" spans="6:21" x14ac:dyDescent="0.25">
      <c r="F647" s="9"/>
      <c r="G647" s="9"/>
      <c r="H647" s="9"/>
      <c r="I647" s="9"/>
      <c r="J647" s="9"/>
      <c r="L647" s="9"/>
      <c r="N647" s="9"/>
      <c r="Q647" s="9"/>
      <c r="T647" s="9"/>
      <c r="U647" s="9"/>
    </row>
    <row r="648" spans="6:21" x14ac:dyDescent="0.25">
      <c r="F648" s="9"/>
      <c r="G648" s="9"/>
      <c r="H648" s="9"/>
      <c r="I648" s="9"/>
      <c r="J648" s="9"/>
      <c r="L648" s="9"/>
      <c r="N648" s="9"/>
      <c r="Q648" s="9"/>
      <c r="T648" s="9"/>
      <c r="U648" s="9"/>
    </row>
    <row r="649" spans="6:21" x14ac:dyDescent="0.25">
      <c r="F649" s="9"/>
      <c r="G649" s="9"/>
      <c r="H649" s="9"/>
      <c r="I649" s="9"/>
      <c r="J649" s="9"/>
      <c r="L649" s="9"/>
      <c r="N649" s="9"/>
      <c r="Q649" s="9"/>
      <c r="T649" s="9"/>
      <c r="U649" s="9"/>
    </row>
    <row r="650" spans="6:21" x14ac:dyDescent="0.25">
      <c r="F650" s="9"/>
      <c r="G650" s="9"/>
      <c r="H650" s="9"/>
      <c r="I650" s="9"/>
      <c r="J650" s="9"/>
      <c r="L650" s="9"/>
      <c r="N650" s="9"/>
      <c r="Q650" s="9"/>
      <c r="T650" s="9"/>
      <c r="U650" s="9"/>
    </row>
    <row r="651" spans="6:21" x14ac:dyDescent="0.25">
      <c r="F651" s="9"/>
      <c r="G651" s="9"/>
      <c r="H651" s="9"/>
      <c r="I651" s="9"/>
      <c r="J651" s="9"/>
      <c r="L651" s="9"/>
      <c r="N651" s="9"/>
      <c r="Q651" s="9"/>
      <c r="T651" s="9"/>
      <c r="U651" s="9"/>
    </row>
    <row r="652" spans="6:21" x14ac:dyDescent="0.25">
      <c r="F652" s="9"/>
      <c r="G652" s="9"/>
      <c r="H652" s="9"/>
      <c r="I652" s="9"/>
      <c r="J652" s="9"/>
      <c r="L652" s="9"/>
      <c r="N652" s="9"/>
      <c r="Q652" s="9"/>
      <c r="T652" s="9"/>
      <c r="U652" s="9"/>
    </row>
    <row r="653" spans="6:21" x14ac:dyDescent="0.25">
      <c r="F653" s="9"/>
      <c r="G653" s="9"/>
      <c r="H653" s="9"/>
      <c r="I653" s="9"/>
      <c r="J653" s="9"/>
      <c r="L653" s="9"/>
      <c r="N653" s="9"/>
      <c r="Q653" s="9"/>
      <c r="T653" s="9"/>
      <c r="U653" s="9"/>
    </row>
    <row r="654" spans="6:21" x14ac:dyDescent="0.25">
      <c r="F654" s="9"/>
      <c r="G654" s="9"/>
      <c r="H654" s="9"/>
      <c r="I654" s="9"/>
      <c r="J654" s="9"/>
      <c r="L654" s="9"/>
      <c r="N654" s="9"/>
      <c r="Q654" s="9"/>
      <c r="T654" s="9"/>
      <c r="U654" s="9"/>
    </row>
    <row r="655" spans="6:21" x14ac:dyDescent="0.25">
      <c r="F655" s="9"/>
      <c r="G655" s="9"/>
      <c r="H655" s="9"/>
      <c r="I655" s="9"/>
      <c r="J655" s="9"/>
      <c r="L655" s="9"/>
      <c r="N655" s="9"/>
      <c r="Q655" s="9"/>
      <c r="T655" s="9"/>
      <c r="U655" s="9"/>
    </row>
    <row r="656" spans="6:21" x14ac:dyDescent="0.25">
      <c r="F656" s="9"/>
      <c r="G656" s="9"/>
      <c r="H656" s="9"/>
      <c r="I656" s="9"/>
      <c r="J656" s="9"/>
      <c r="L656" s="9"/>
      <c r="N656" s="9"/>
      <c r="Q656" s="9"/>
      <c r="T656" s="9"/>
      <c r="U656" s="9"/>
    </row>
    <row r="657" spans="6:21" x14ac:dyDescent="0.25">
      <c r="F657" s="9"/>
      <c r="G657" s="9"/>
      <c r="H657" s="9"/>
      <c r="I657" s="9"/>
      <c r="J657" s="9"/>
      <c r="L657" s="9"/>
      <c r="N657" s="9"/>
      <c r="Q657" s="9"/>
      <c r="T657" s="9"/>
      <c r="U657" s="9"/>
    </row>
    <row r="658" spans="6:21" x14ac:dyDescent="0.25">
      <c r="F658" s="9"/>
      <c r="G658" s="9"/>
      <c r="H658" s="9"/>
      <c r="I658" s="9"/>
      <c r="J658" s="9"/>
      <c r="L658" s="9"/>
      <c r="N658" s="9"/>
      <c r="Q658" s="9"/>
      <c r="T658" s="9"/>
      <c r="U658" s="9"/>
    </row>
    <row r="659" spans="6:21" x14ac:dyDescent="0.25">
      <c r="F659" s="9"/>
      <c r="G659" s="9"/>
      <c r="H659" s="9"/>
      <c r="I659" s="9"/>
      <c r="J659" s="9"/>
      <c r="L659" s="9"/>
      <c r="N659" s="9"/>
      <c r="Q659" s="9"/>
      <c r="T659" s="9"/>
      <c r="U659" s="9"/>
    </row>
    <row r="660" spans="6:21" x14ac:dyDescent="0.25">
      <c r="F660" s="9"/>
      <c r="G660" s="9"/>
      <c r="H660" s="9"/>
      <c r="I660" s="9"/>
      <c r="J660" s="9"/>
      <c r="L660" s="9"/>
      <c r="N660" s="9"/>
      <c r="Q660" s="9"/>
      <c r="T660" s="9"/>
      <c r="U660" s="9"/>
    </row>
    <row r="661" spans="6:21" x14ac:dyDescent="0.25">
      <c r="F661" s="9"/>
      <c r="G661" s="9"/>
      <c r="H661" s="9"/>
      <c r="I661" s="9"/>
      <c r="J661" s="9"/>
      <c r="L661" s="9"/>
      <c r="N661" s="9"/>
      <c r="Q661" s="9"/>
      <c r="T661" s="9"/>
      <c r="U661" s="9"/>
    </row>
    <row r="662" spans="6:21" x14ac:dyDescent="0.25">
      <c r="F662" s="9"/>
      <c r="G662" s="9"/>
      <c r="H662" s="9"/>
      <c r="I662" s="9"/>
      <c r="J662" s="9"/>
      <c r="L662" s="9"/>
      <c r="N662" s="9"/>
      <c r="Q662" s="9"/>
      <c r="T662" s="9"/>
      <c r="U662" s="9"/>
    </row>
    <row r="663" spans="6:21" x14ac:dyDescent="0.25">
      <c r="F663" s="9"/>
      <c r="G663" s="9"/>
      <c r="H663" s="9"/>
      <c r="I663" s="9"/>
      <c r="J663" s="9"/>
      <c r="L663" s="9"/>
      <c r="N663" s="9"/>
      <c r="Q663" s="9"/>
      <c r="T663" s="9"/>
      <c r="U663" s="9"/>
    </row>
    <row r="664" spans="6:21" x14ac:dyDescent="0.25">
      <c r="F664" s="9"/>
      <c r="G664" s="9"/>
      <c r="H664" s="9"/>
      <c r="I664" s="9"/>
      <c r="J664" s="9"/>
      <c r="L664" s="9"/>
      <c r="N664" s="9"/>
      <c r="Q664" s="9"/>
      <c r="T664" s="9"/>
      <c r="U664" s="9"/>
    </row>
    <row r="665" spans="6:21" x14ac:dyDescent="0.25">
      <c r="F665" s="9"/>
      <c r="G665" s="9"/>
      <c r="H665" s="9"/>
      <c r="I665" s="9"/>
      <c r="J665" s="9"/>
      <c r="L665" s="9"/>
      <c r="N665" s="9"/>
      <c r="Q665" s="9"/>
      <c r="T665" s="9"/>
      <c r="U665" s="9"/>
    </row>
    <row r="666" spans="6:21" x14ac:dyDescent="0.25">
      <c r="F666" s="9"/>
      <c r="G666" s="9"/>
      <c r="H666" s="9"/>
      <c r="I666" s="9"/>
      <c r="J666" s="9"/>
      <c r="L666" s="9"/>
      <c r="N666" s="9"/>
      <c r="Q666" s="9"/>
      <c r="T666" s="9"/>
      <c r="U666" s="9"/>
    </row>
    <row r="667" spans="6:21" x14ac:dyDescent="0.25">
      <c r="F667" s="9"/>
      <c r="G667" s="9"/>
      <c r="H667" s="9"/>
      <c r="I667" s="9"/>
      <c r="J667" s="9"/>
      <c r="L667" s="9"/>
      <c r="N667" s="9"/>
      <c r="Q667" s="9"/>
      <c r="T667" s="9"/>
      <c r="U667" s="9"/>
    </row>
    <row r="668" spans="6:21" x14ac:dyDescent="0.25">
      <c r="F668" s="9"/>
      <c r="G668" s="9"/>
      <c r="H668" s="9"/>
      <c r="I668" s="9"/>
      <c r="J668" s="9"/>
      <c r="L668" s="9"/>
      <c r="N668" s="9"/>
      <c r="Q668" s="9"/>
      <c r="T668" s="9"/>
      <c r="U668" s="9"/>
    </row>
    <row r="669" spans="6:21" x14ac:dyDescent="0.25">
      <c r="F669" s="9"/>
      <c r="G669" s="9"/>
      <c r="H669" s="9"/>
      <c r="I669" s="9"/>
      <c r="J669" s="9"/>
      <c r="L669" s="9"/>
      <c r="N669" s="9"/>
      <c r="Q669" s="9"/>
      <c r="T669" s="9"/>
      <c r="U669" s="9"/>
    </row>
    <row r="670" spans="6:21" x14ac:dyDescent="0.25">
      <c r="F670" s="9"/>
      <c r="G670" s="9"/>
      <c r="H670" s="9"/>
      <c r="I670" s="9"/>
      <c r="J670" s="9"/>
      <c r="L670" s="9"/>
      <c r="N670" s="9"/>
      <c r="Q670" s="9"/>
      <c r="T670" s="9"/>
      <c r="U670" s="9"/>
    </row>
    <row r="671" spans="6:21" x14ac:dyDescent="0.25">
      <c r="F671" s="9"/>
      <c r="G671" s="9"/>
      <c r="H671" s="9"/>
      <c r="I671" s="9"/>
      <c r="J671" s="9"/>
      <c r="L671" s="9"/>
      <c r="N671" s="9"/>
      <c r="Q671" s="9"/>
      <c r="T671" s="9"/>
      <c r="U671" s="9"/>
    </row>
    <row r="672" spans="6:21" x14ac:dyDescent="0.25">
      <c r="F672" s="9"/>
      <c r="G672" s="9"/>
      <c r="H672" s="9"/>
      <c r="I672" s="9"/>
      <c r="J672" s="9"/>
      <c r="L672" s="9"/>
      <c r="N672" s="9"/>
      <c r="Q672" s="9"/>
      <c r="T672" s="9"/>
      <c r="U672" s="9"/>
    </row>
    <row r="673" spans="6:21" x14ac:dyDescent="0.25">
      <c r="F673" s="9"/>
      <c r="G673" s="9"/>
      <c r="H673" s="9"/>
      <c r="I673" s="9"/>
      <c r="J673" s="9"/>
      <c r="L673" s="9"/>
      <c r="N673" s="9"/>
      <c r="Q673" s="9"/>
      <c r="T673" s="9"/>
      <c r="U673" s="9"/>
    </row>
    <row r="674" spans="6:21" x14ac:dyDescent="0.25">
      <c r="F674" s="9"/>
      <c r="G674" s="9"/>
      <c r="H674" s="9"/>
      <c r="I674" s="9"/>
      <c r="J674" s="9"/>
      <c r="L674" s="9"/>
      <c r="N674" s="9"/>
      <c r="Q674" s="9"/>
      <c r="T674" s="9"/>
      <c r="U674" s="9"/>
    </row>
    <row r="675" spans="6:21" x14ac:dyDescent="0.25">
      <c r="F675" s="9"/>
      <c r="G675" s="9"/>
      <c r="H675" s="9"/>
      <c r="I675" s="9"/>
      <c r="J675" s="9"/>
      <c r="L675" s="9"/>
      <c r="N675" s="9"/>
      <c r="Q675" s="9"/>
      <c r="T675" s="9"/>
      <c r="U675" s="9"/>
    </row>
    <row r="676" spans="6:21" x14ac:dyDescent="0.25">
      <c r="F676" s="9"/>
      <c r="G676" s="9"/>
      <c r="H676" s="9"/>
      <c r="I676" s="9"/>
      <c r="J676" s="9"/>
      <c r="L676" s="9"/>
      <c r="N676" s="9"/>
      <c r="Q676" s="9"/>
      <c r="T676" s="9"/>
      <c r="U676" s="9"/>
    </row>
    <row r="677" spans="6:21" x14ac:dyDescent="0.25">
      <c r="F677" s="9"/>
      <c r="G677" s="9"/>
      <c r="H677" s="9"/>
      <c r="I677" s="9"/>
      <c r="J677" s="9"/>
      <c r="L677" s="9"/>
      <c r="N677" s="9"/>
      <c r="Q677" s="9"/>
      <c r="T677" s="9"/>
      <c r="U677" s="9"/>
    </row>
    <row r="678" spans="6:21" x14ac:dyDescent="0.25">
      <c r="F678" s="9"/>
      <c r="G678" s="9"/>
      <c r="H678" s="9"/>
      <c r="I678" s="9"/>
      <c r="J678" s="9"/>
      <c r="L678" s="9"/>
      <c r="N678" s="9"/>
      <c r="Q678" s="9"/>
      <c r="T678" s="9"/>
      <c r="U678" s="9"/>
    </row>
    <row r="679" spans="6:21" x14ac:dyDescent="0.25">
      <c r="F679" s="9"/>
      <c r="G679" s="9"/>
      <c r="H679" s="9"/>
      <c r="I679" s="9"/>
      <c r="J679" s="9"/>
      <c r="L679" s="9"/>
      <c r="N679" s="9"/>
      <c r="Q679" s="9"/>
      <c r="T679" s="9"/>
      <c r="U679" s="9"/>
    </row>
    <row r="680" spans="6:21" x14ac:dyDescent="0.25">
      <c r="F680" s="9"/>
      <c r="G680" s="9"/>
      <c r="H680" s="9"/>
      <c r="I680" s="9"/>
      <c r="J680" s="9"/>
      <c r="L680" s="9"/>
      <c r="N680" s="9"/>
      <c r="Q680" s="9"/>
      <c r="T680" s="9"/>
      <c r="U680" s="9"/>
    </row>
    <row r="681" spans="6:21" x14ac:dyDescent="0.25">
      <c r="F681" s="9"/>
      <c r="G681" s="9"/>
      <c r="H681" s="9"/>
      <c r="I681" s="9"/>
      <c r="J681" s="9"/>
      <c r="L681" s="9"/>
      <c r="N681" s="9"/>
      <c r="Q681" s="9"/>
      <c r="T681" s="9"/>
      <c r="U681" s="9"/>
    </row>
    <row r="682" spans="6:21" x14ac:dyDescent="0.25">
      <c r="F682" s="9"/>
      <c r="G682" s="9"/>
      <c r="H682" s="9"/>
      <c r="I682" s="9"/>
      <c r="J682" s="9"/>
      <c r="L682" s="9"/>
      <c r="N682" s="9"/>
      <c r="Q682" s="9"/>
      <c r="T682" s="9"/>
      <c r="U682" s="9"/>
    </row>
    <row r="683" spans="6:21" x14ac:dyDescent="0.25">
      <c r="F683" s="9"/>
      <c r="G683" s="9"/>
      <c r="H683" s="9"/>
      <c r="I683" s="9"/>
      <c r="J683" s="9"/>
      <c r="L683" s="9"/>
      <c r="N683" s="9"/>
      <c r="Q683" s="9"/>
      <c r="T683" s="9"/>
      <c r="U683" s="9"/>
    </row>
    <row r="684" spans="6:21" x14ac:dyDescent="0.25">
      <c r="F684" s="9"/>
      <c r="G684" s="9"/>
      <c r="H684" s="9"/>
      <c r="I684" s="9"/>
      <c r="J684" s="9"/>
      <c r="L684" s="9"/>
      <c r="N684" s="9"/>
      <c r="Q684" s="9"/>
      <c r="T684" s="9"/>
      <c r="U684" s="9"/>
    </row>
    <row r="685" spans="6:21" x14ac:dyDescent="0.25">
      <c r="F685" s="9"/>
      <c r="G685" s="9"/>
      <c r="H685" s="9"/>
      <c r="I685" s="9"/>
      <c r="J685" s="9"/>
      <c r="L685" s="9"/>
      <c r="N685" s="9"/>
      <c r="Q685" s="9"/>
      <c r="T685" s="9"/>
      <c r="U685" s="9"/>
    </row>
    <row r="686" spans="6:21" x14ac:dyDescent="0.25">
      <c r="F686" s="9"/>
      <c r="G686" s="9"/>
      <c r="H686" s="9"/>
      <c r="I686" s="9"/>
      <c r="J686" s="9"/>
      <c r="L686" s="9"/>
      <c r="N686" s="9"/>
      <c r="Q686" s="9"/>
      <c r="T686" s="9"/>
      <c r="U686" s="9"/>
    </row>
    <row r="687" spans="6:21" x14ac:dyDescent="0.25">
      <c r="F687" s="9"/>
      <c r="G687" s="9"/>
      <c r="H687" s="9"/>
      <c r="I687" s="9"/>
      <c r="J687" s="9"/>
      <c r="L687" s="9"/>
      <c r="N687" s="9"/>
      <c r="Q687" s="9"/>
      <c r="T687" s="9"/>
      <c r="U687" s="9"/>
    </row>
    <row r="688" spans="6:21" x14ac:dyDescent="0.25">
      <c r="F688" s="9"/>
      <c r="G688" s="9"/>
      <c r="H688" s="9"/>
      <c r="I688" s="9"/>
      <c r="J688" s="9"/>
      <c r="L688" s="9"/>
      <c r="N688" s="9"/>
      <c r="Q688" s="9"/>
      <c r="T688" s="9"/>
      <c r="U688" s="9"/>
    </row>
    <row r="689" spans="6:21" x14ac:dyDescent="0.25">
      <c r="F689" s="9"/>
      <c r="G689" s="9"/>
      <c r="H689" s="9"/>
      <c r="I689" s="9"/>
      <c r="J689" s="9"/>
      <c r="L689" s="9"/>
      <c r="N689" s="9"/>
      <c r="Q689" s="9"/>
      <c r="T689" s="9"/>
      <c r="U689" s="9"/>
    </row>
    <row r="690" spans="6:21" x14ac:dyDescent="0.25">
      <c r="F690" s="9"/>
      <c r="G690" s="9"/>
      <c r="H690" s="9"/>
      <c r="I690" s="9"/>
      <c r="J690" s="9"/>
      <c r="L690" s="9"/>
      <c r="N690" s="9"/>
      <c r="Q690" s="9"/>
      <c r="T690" s="9"/>
      <c r="U690" s="9"/>
    </row>
    <row r="691" spans="6:21" x14ac:dyDescent="0.25">
      <c r="F691" s="9"/>
      <c r="G691" s="9"/>
      <c r="H691" s="9"/>
      <c r="I691" s="9"/>
      <c r="J691" s="9"/>
      <c r="L691" s="9"/>
      <c r="N691" s="9"/>
      <c r="Q691" s="9"/>
      <c r="T691" s="9"/>
      <c r="U691" s="9"/>
    </row>
    <row r="692" spans="6:21" x14ac:dyDescent="0.25">
      <c r="F692" s="9"/>
      <c r="G692" s="9"/>
      <c r="H692" s="9"/>
      <c r="I692" s="9"/>
      <c r="J692" s="9"/>
      <c r="L692" s="9"/>
      <c r="N692" s="9"/>
      <c r="Q692" s="9"/>
      <c r="T692" s="9"/>
      <c r="U692" s="9"/>
    </row>
    <row r="693" spans="6:21" x14ac:dyDescent="0.25">
      <c r="F693" s="9"/>
      <c r="G693" s="9"/>
      <c r="H693" s="9"/>
      <c r="I693" s="9"/>
      <c r="J693" s="9"/>
      <c r="L693" s="9"/>
      <c r="N693" s="9"/>
      <c r="Q693" s="9"/>
      <c r="T693" s="9"/>
      <c r="U693" s="9"/>
    </row>
    <row r="694" spans="6:21" x14ac:dyDescent="0.25">
      <c r="F694" s="9"/>
      <c r="G694" s="9"/>
      <c r="H694" s="9"/>
      <c r="I694" s="9"/>
      <c r="J694" s="9"/>
      <c r="L694" s="9"/>
      <c r="N694" s="9"/>
      <c r="Q694" s="9"/>
      <c r="T694" s="9"/>
      <c r="U694" s="9"/>
    </row>
    <row r="695" spans="6:21" x14ac:dyDescent="0.25">
      <c r="F695" s="9"/>
      <c r="G695" s="9"/>
      <c r="H695" s="9"/>
      <c r="I695" s="9"/>
      <c r="J695" s="9"/>
      <c r="L695" s="9"/>
      <c r="N695" s="9"/>
      <c r="Q695" s="9"/>
      <c r="T695" s="9"/>
      <c r="U695" s="9"/>
    </row>
    <row r="696" spans="6:21" x14ac:dyDescent="0.25">
      <c r="F696" s="9"/>
      <c r="G696" s="9"/>
      <c r="H696" s="9"/>
      <c r="I696" s="9"/>
      <c r="J696" s="9"/>
      <c r="L696" s="9"/>
      <c r="N696" s="9"/>
      <c r="Q696" s="9"/>
      <c r="T696" s="9"/>
      <c r="U696" s="9"/>
    </row>
    <row r="697" spans="6:21" x14ac:dyDescent="0.25">
      <c r="F697" s="9"/>
      <c r="G697" s="9"/>
      <c r="H697" s="9"/>
      <c r="I697" s="9"/>
      <c r="J697" s="9"/>
      <c r="L697" s="9"/>
      <c r="N697" s="9"/>
      <c r="Q697" s="9"/>
      <c r="T697" s="9"/>
      <c r="U697" s="9"/>
    </row>
    <row r="698" spans="6:21" x14ac:dyDescent="0.25">
      <c r="F698" s="9"/>
      <c r="G698" s="9"/>
      <c r="H698" s="9"/>
      <c r="I698" s="9"/>
      <c r="J698" s="9"/>
      <c r="L698" s="9"/>
      <c r="N698" s="9"/>
      <c r="Q698" s="9"/>
      <c r="T698" s="9"/>
      <c r="U698" s="9"/>
    </row>
    <row r="699" spans="6:21" x14ac:dyDescent="0.25">
      <c r="F699" s="9"/>
      <c r="G699" s="9"/>
      <c r="H699" s="9"/>
      <c r="I699" s="9"/>
      <c r="J699" s="9"/>
      <c r="L699" s="9"/>
      <c r="N699" s="9"/>
      <c r="Q699" s="9"/>
      <c r="T699" s="9"/>
      <c r="U699" s="9"/>
    </row>
    <row r="700" spans="6:21" x14ac:dyDescent="0.25">
      <c r="F700" s="9"/>
      <c r="G700" s="9"/>
      <c r="H700" s="9"/>
      <c r="I700" s="9"/>
      <c r="J700" s="9"/>
      <c r="L700" s="9"/>
      <c r="N700" s="9"/>
      <c r="Q700" s="9"/>
      <c r="T700" s="9"/>
      <c r="U700" s="9"/>
    </row>
    <row r="701" spans="6:21" x14ac:dyDescent="0.25">
      <c r="F701" s="9"/>
      <c r="G701" s="9"/>
      <c r="H701" s="9"/>
      <c r="I701" s="9"/>
      <c r="J701" s="9"/>
      <c r="L701" s="9"/>
      <c r="N701" s="9"/>
      <c r="Q701" s="9"/>
      <c r="T701" s="9"/>
      <c r="U701" s="9"/>
    </row>
    <row r="702" spans="6:21" x14ac:dyDescent="0.25">
      <c r="F702" s="9"/>
      <c r="G702" s="9"/>
      <c r="H702" s="9"/>
      <c r="I702" s="9"/>
      <c r="J702" s="9"/>
      <c r="L702" s="9"/>
      <c r="N702" s="9"/>
      <c r="Q702" s="9"/>
      <c r="T702" s="9"/>
      <c r="U702" s="9"/>
    </row>
    <row r="703" spans="6:21" x14ac:dyDescent="0.25">
      <c r="F703" s="9"/>
      <c r="G703" s="9"/>
      <c r="H703" s="9"/>
      <c r="I703" s="9"/>
      <c r="J703" s="9"/>
      <c r="L703" s="9"/>
      <c r="N703" s="9"/>
      <c r="Q703" s="9"/>
      <c r="T703" s="9"/>
      <c r="U703" s="9"/>
    </row>
    <row r="704" spans="6:21" x14ac:dyDescent="0.25">
      <c r="F704" s="9"/>
      <c r="G704" s="9"/>
      <c r="H704" s="9"/>
      <c r="I704" s="9"/>
      <c r="J704" s="9"/>
      <c r="L704" s="9"/>
      <c r="N704" s="9"/>
      <c r="Q704" s="9"/>
      <c r="T704" s="9"/>
      <c r="U704" s="9"/>
    </row>
    <row r="705" spans="6:21" x14ac:dyDescent="0.25">
      <c r="F705" s="9"/>
      <c r="G705" s="9"/>
      <c r="H705" s="9"/>
      <c r="I705" s="9"/>
      <c r="J705" s="9"/>
      <c r="L705" s="9"/>
      <c r="N705" s="9"/>
      <c r="Q705" s="9"/>
      <c r="T705" s="9"/>
      <c r="U705" s="9"/>
    </row>
    <row r="706" spans="6:21" x14ac:dyDescent="0.25">
      <c r="F706" s="9"/>
      <c r="G706" s="9"/>
      <c r="H706" s="9"/>
      <c r="I706" s="9"/>
      <c r="J706" s="9"/>
      <c r="L706" s="9"/>
      <c r="N706" s="9"/>
      <c r="Q706" s="9"/>
      <c r="T706" s="9"/>
      <c r="U706" s="9"/>
    </row>
    <row r="707" spans="6:21" x14ac:dyDescent="0.25">
      <c r="F707" s="9"/>
      <c r="G707" s="9"/>
      <c r="H707" s="9"/>
      <c r="I707" s="9"/>
      <c r="J707" s="9"/>
      <c r="L707" s="9"/>
      <c r="N707" s="9"/>
      <c r="Q707" s="9"/>
      <c r="T707" s="9"/>
      <c r="U707" s="9"/>
    </row>
    <row r="708" spans="6:21" x14ac:dyDescent="0.25">
      <c r="F708" s="9"/>
      <c r="G708" s="9"/>
      <c r="H708" s="9"/>
      <c r="I708" s="9"/>
      <c r="J708" s="9"/>
      <c r="L708" s="9"/>
      <c r="N708" s="9"/>
      <c r="Q708" s="9"/>
      <c r="T708" s="9"/>
      <c r="U708" s="9"/>
    </row>
    <row r="709" spans="6:21" x14ac:dyDescent="0.25">
      <c r="F709" s="9"/>
      <c r="G709" s="9"/>
      <c r="H709" s="9"/>
      <c r="I709" s="9"/>
      <c r="J709" s="9"/>
      <c r="L709" s="9"/>
      <c r="N709" s="9"/>
      <c r="Q709" s="9"/>
      <c r="T709" s="9"/>
      <c r="U709" s="9"/>
    </row>
    <row r="710" spans="6:21" x14ac:dyDescent="0.25">
      <c r="F710" s="9"/>
      <c r="G710" s="9"/>
      <c r="H710" s="9"/>
      <c r="I710" s="9"/>
      <c r="J710" s="9"/>
      <c r="L710" s="9"/>
      <c r="N710" s="9"/>
      <c r="Q710" s="9"/>
      <c r="T710" s="9"/>
      <c r="U710" s="9"/>
    </row>
    <row r="711" spans="6:21" x14ac:dyDescent="0.25">
      <c r="F711" s="9"/>
      <c r="G711" s="9"/>
      <c r="H711" s="9"/>
      <c r="I711" s="9"/>
      <c r="J711" s="9"/>
      <c r="L711" s="9"/>
      <c r="N711" s="9"/>
      <c r="Q711" s="9"/>
      <c r="T711" s="9"/>
      <c r="U711" s="9"/>
    </row>
    <row r="712" spans="6:21" x14ac:dyDescent="0.25">
      <c r="F712" s="9"/>
      <c r="G712" s="9"/>
      <c r="H712" s="9"/>
      <c r="I712" s="9"/>
      <c r="J712" s="9"/>
      <c r="L712" s="9"/>
      <c r="N712" s="9"/>
      <c r="Q712" s="9"/>
      <c r="T712" s="9"/>
      <c r="U712" s="9"/>
    </row>
    <row r="713" spans="6:21" x14ac:dyDescent="0.25">
      <c r="F713" s="9"/>
      <c r="G713" s="9"/>
      <c r="H713" s="9"/>
      <c r="I713" s="9"/>
      <c r="J713" s="9"/>
      <c r="L713" s="9"/>
      <c r="N713" s="9"/>
      <c r="Q713" s="9"/>
      <c r="T713" s="9"/>
      <c r="U713" s="9"/>
    </row>
    <row r="714" spans="6:21" x14ac:dyDescent="0.25">
      <c r="F714" s="9"/>
      <c r="G714" s="9"/>
      <c r="H714" s="9"/>
      <c r="I714" s="9"/>
      <c r="J714" s="9"/>
      <c r="L714" s="9"/>
      <c r="N714" s="9"/>
      <c r="Q714" s="9"/>
      <c r="T714" s="9"/>
      <c r="U714" s="9"/>
    </row>
    <row r="715" spans="6:21" x14ac:dyDescent="0.25">
      <c r="F715" s="9"/>
      <c r="G715" s="9"/>
      <c r="H715" s="9"/>
      <c r="I715" s="9"/>
      <c r="J715" s="9"/>
      <c r="L715" s="9"/>
      <c r="N715" s="9"/>
      <c r="Q715" s="9"/>
      <c r="T715" s="9"/>
      <c r="U715" s="9"/>
    </row>
    <row r="716" spans="6:21" x14ac:dyDescent="0.25">
      <c r="F716" s="9"/>
      <c r="G716" s="9"/>
      <c r="H716" s="9"/>
      <c r="I716" s="9"/>
      <c r="J716" s="9"/>
      <c r="L716" s="9"/>
      <c r="N716" s="9"/>
      <c r="Q716" s="9"/>
      <c r="T716" s="9"/>
      <c r="U716" s="9"/>
    </row>
    <row r="717" spans="6:21" x14ac:dyDescent="0.25">
      <c r="F717" s="9"/>
      <c r="G717" s="9"/>
      <c r="H717" s="9"/>
      <c r="I717" s="9"/>
      <c r="J717" s="9"/>
      <c r="L717" s="9"/>
      <c r="N717" s="9"/>
      <c r="Q717" s="9"/>
      <c r="T717" s="9"/>
      <c r="U717" s="9"/>
    </row>
    <row r="718" spans="6:21" x14ac:dyDescent="0.25">
      <c r="F718" s="9"/>
      <c r="G718" s="9"/>
      <c r="H718" s="9"/>
      <c r="I718" s="9"/>
      <c r="J718" s="9"/>
      <c r="L718" s="9"/>
      <c r="N718" s="9"/>
      <c r="Q718" s="9"/>
      <c r="T718" s="9"/>
      <c r="U718" s="9"/>
    </row>
    <row r="719" spans="6:21" x14ac:dyDescent="0.25">
      <c r="F719" s="9"/>
      <c r="G719" s="9"/>
      <c r="H719" s="9"/>
      <c r="I719" s="9"/>
      <c r="J719" s="9"/>
      <c r="L719" s="9"/>
      <c r="N719" s="9"/>
      <c r="Q719" s="9"/>
      <c r="T719" s="9"/>
      <c r="U719" s="9"/>
    </row>
    <row r="720" spans="6:21" x14ac:dyDescent="0.25">
      <c r="F720" s="9"/>
      <c r="G720" s="9"/>
      <c r="H720" s="9"/>
      <c r="I720" s="9"/>
      <c r="J720" s="9"/>
      <c r="L720" s="9"/>
      <c r="N720" s="9"/>
      <c r="Q720" s="9"/>
      <c r="T720" s="9"/>
      <c r="U720" s="9"/>
    </row>
    <row r="721" spans="6:21" x14ac:dyDescent="0.25">
      <c r="F721" s="9"/>
      <c r="G721" s="9"/>
      <c r="H721" s="9"/>
      <c r="I721" s="9"/>
      <c r="J721" s="9"/>
      <c r="L721" s="9"/>
      <c r="N721" s="9"/>
      <c r="Q721" s="9"/>
      <c r="T721" s="9"/>
      <c r="U721" s="9"/>
    </row>
    <row r="722" spans="6:21" x14ac:dyDescent="0.25">
      <c r="F722" s="9"/>
      <c r="G722" s="9"/>
      <c r="H722" s="9"/>
      <c r="I722" s="9"/>
      <c r="J722" s="9"/>
      <c r="L722" s="9"/>
      <c r="N722" s="9"/>
      <c r="Q722" s="9"/>
      <c r="T722" s="9"/>
      <c r="U722" s="9"/>
    </row>
    <row r="723" spans="6:21" x14ac:dyDescent="0.25">
      <c r="F723" s="9"/>
      <c r="G723" s="9"/>
      <c r="H723" s="9"/>
      <c r="I723" s="9"/>
      <c r="J723" s="9"/>
      <c r="L723" s="9"/>
      <c r="N723" s="9"/>
      <c r="Q723" s="9"/>
      <c r="T723" s="9"/>
      <c r="U723" s="9"/>
    </row>
    <row r="724" spans="6:21" x14ac:dyDescent="0.25">
      <c r="F724" s="9"/>
      <c r="G724" s="9"/>
      <c r="H724" s="9"/>
      <c r="I724" s="9"/>
      <c r="J724" s="9"/>
      <c r="L724" s="9"/>
      <c r="N724" s="9"/>
      <c r="Q724" s="9"/>
      <c r="T724" s="9"/>
      <c r="U724" s="9"/>
    </row>
    <row r="725" spans="6:21" x14ac:dyDescent="0.25">
      <c r="F725" s="9"/>
      <c r="G725" s="9"/>
      <c r="H725" s="9"/>
      <c r="I725" s="9"/>
      <c r="J725" s="9"/>
      <c r="L725" s="9"/>
      <c r="N725" s="9"/>
      <c r="Q725" s="9"/>
      <c r="T725" s="9"/>
      <c r="U725" s="9"/>
    </row>
    <row r="726" spans="6:21" x14ac:dyDescent="0.25">
      <c r="F726" s="9"/>
      <c r="G726" s="9"/>
      <c r="H726" s="9"/>
      <c r="I726" s="9"/>
      <c r="J726" s="9"/>
      <c r="L726" s="9"/>
      <c r="N726" s="9"/>
      <c r="Q726" s="9"/>
      <c r="T726" s="9"/>
      <c r="U726" s="9"/>
    </row>
    <row r="727" spans="6:21" x14ac:dyDescent="0.25">
      <c r="F727" s="9"/>
      <c r="G727" s="9"/>
      <c r="H727" s="9"/>
      <c r="I727" s="9"/>
      <c r="J727" s="9"/>
      <c r="L727" s="9"/>
      <c r="N727" s="9"/>
      <c r="Q727" s="9"/>
      <c r="T727" s="9"/>
      <c r="U727" s="9"/>
    </row>
    <row r="728" spans="6:21" x14ac:dyDescent="0.25">
      <c r="F728" s="9"/>
      <c r="G728" s="9"/>
      <c r="H728" s="9"/>
      <c r="I728" s="9"/>
      <c r="J728" s="9"/>
      <c r="L728" s="9"/>
      <c r="N728" s="9"/>
      <c r="Q728" s="9"/>
      <c r="T728" s="9"/>
      <c r="U728" s="9"/>
    </row>
    <row r="729" spans="6:21" x14ac:dyDescent="0.25">
      <c r="F729" s="9"/>
      <c r="G729" s="9"/>
      <c r="H729" s="9"/>
      <c r="I729" s="9"/>
      <c r="J729" s="9"/>
      <c r="L729" s="9"/>
      <c r="N729" s="9"/>
      <c r="Q729" s="9"/>
      <c r="T729" s="9"/>
      <c r="U729" s="9"/>
    </row>
    <row r="730" spans="6:21" x14ac:dyDescent="0.25">
      <c r="F730" s="9"/>
      <c r="G730" s="9"/>
      <c r="H730" s="9"/>
      <c r="I730" s="9"/>
      <c r="J730" s="9"/>
      <c r="L730" s="9"/>
      <c r="N730" s="9"/>
      <c r="Q730" s="9"/>
      <c r="T730" s="9"/>
      <c r="U730" s="9"/>
    </row>
    <row r="731" spans="6:21" x14ac:dyDescent="0.25">
      <c r="F731" s="9"/>
      <c r="G731" s="9"/>
      <c r="H731" s="9"/>
      <c r="I731" s="9"/>
      <c r="J731" s="9"/>
      <c r="L731" s="9"/>
      <c r="N731" s="9"/>
      <c r="Q731" s="9"/>
      <c r="T731" s="9"/>
      <c r="U731" s="9"/>
    </row>
    <row r="732" spans="6:21" x14ac:dyDescent="0.25">
      <c r="F732" s="9"/>
      <c r="G732" s="9"/>
      <c r="H732" s="9"/>
      <c r="I732" s="9"/>
      <c r="J732" s="9"/>
      <c r="L732" s="9"/>
      <c r="N732" s="9"/>
      <c r="Q732" s="9"/>
      <c r="T732" s="9"/>
      <c r="U732" s="9"/>
    </row>
    <row r="733" spans="6:21" x14ac:dyDescent="0.25">
      <c r="F733" s="9"/>
      <c r="G733" s="9"/>
      <c r="H733" s="9"/>
      <c r="I733" s="9"/>
      <c r="J733" s="9"/>
      <c r="L733" s="9"/>
      <c r="N733" s="9"/>
      <c r="Q733" s="9"/>
      <c r="T733" s="9"/>
      <c r="U733" s="9"/>
    </row>
    <row r="734" spans="6:21" x14ac:dyDescent="0.25">
      <c r="F734" s="9"/>
      <c r="G734" s="9"/>
      <c r="H734" s="9"/>
      <c r="I734" s="9"/>
      <c r="J734" s="9"/>
      <c r="L734" s="9"/>
      <c r="N734" s="9"/>
      <c r="Q734" s="9"/>
      <c r="T734" s="9"/>
      <c r="U734" s="9"/>
    </row>
    <row r="735" spans="6:21" x14ac:dyDescent="0.25">
      <c r="F735" s="9"/>
      <c r="G735" s="9"/>
      <c r="H735" s="9"/>
      <c r="I735" s="9"/>
      <c r="J735" s="9"/>
      <c r="L735" s="9"/>
      <c r="N735" s="9"/>
      <c r="Q735" s="9"/>
      <c r="T735" s="9"/>
      <c r="U735" s="9"/>
    </row>
    <row r="736" spans="6:21" x14ac:dyDescent="0.25">
      <c r="F736" s="9"/>
      <c r="G736" s="9"/>
      <c r="H736" s="9"/>
      <c r="I736" s="9"/>
      <c r="J736" s="9"/>
      <c r="L736" s="9"/>
      <c r="N736" s="9"/>
      <c r="Q736" s="9"/>
      <c r="T736" s="9"/>
      <c r="U736" s="9"/>
    </row>
    <row r="737" spans="6:21" x14ac:dyDescent="0.25">
      <c r="F737" s="9"/>
      <c r="G737" s="9"/>
      <c r="H737" s="9"/>
      <c r="I737" s="9"/>
      <c r="J737" s="9"/>
      <c r="L737" s="9"/>
      <c r="N737" s="9"/>
      <c r="Q737" s="9"/>
      <c r="T737" s="9"/>
      <c r="U737" s="9"/>
    </row>
    <row r="738" spans="6:21" x14ac:dyDescent="0.25">
      <c r="F738" s="9"/>
      <c r="G738" s="9"/>
      <c r="H738" s="9"/>
      <c r="I738" s="9"/>
      <c r="J738" s="9"/>
      <c r="L738" s="9"/>
      <c r="N738" s="9"/>
      <c r="Q738" s="9"/>
      <c r="T738" s="9"/>
      <c r="U738" s="9"/>
    </row>
    <row r="739" spans="6:21" x14ac:dyDescent="0.25">
      <c r="F739" s="9"/>
      <c r="G739" s="9"/>
      <c r="H739" s="9"/>
      <c r="I739" s="9"/>
      <c r="J739" s="9"/>
      <c r="L739" s="9"/>
      <c r="N739" s="9"/>
      <c r="Q739" s="9"/>
      <c r="T739" s="9"/>
      <c r="U739" s="9"/>
    </row>
    <row r="740" spans="6:21" x14ac:dyDescent="0.25">
      <c r="F740" s="9"/>
      <c r="G740" s="9"/>
      <c r="H740" s="9"/>
      <c r="I740" s="9"/>
      <c r="J740" s="9"/>
      <c r="L740" s="9"/>
      <c r="N740" s="9"/>
      <c r="Q740" s="9"/>
      <c r="T740" s="9"/>
      <c r="U740" s="9"/>
    </row>
    <row r="741" spans="6:21" x14ac:dyDescent="0.25">
      <c r="F741" s="9"/>
      <c r="G741" s="9"/>
      <c r="H741" s="9"/>
      <c r="I741" s="9"/>
      <c r="J741" s="9"/>
      <c r="L741" s="9"/>
      <c r="N741" s="9"/>
      <c r="Q741" s="9"/>
      <c r="T741" s="9"/>
      <c r="U741" s="9"/>
    </row>
  </sheetData>
  <mergeCells count="7">
    <mergeCell ref="F2:J2"/>
    <mergeCell ref="K2:L2"/>
    <mergeCell ref="B1:V1"/>
    <mergeCell ref="M2:U2"/>
    <mergeCell ref="N3:O3"/>
    <mergeCell ref="Q3:R3"/>
    <mergeCell ref="A2:E2"/>
  </mergeCells>
  <conditionalFormatting sqref="R5:U40 O5:O40">
    <cfRule type="expression" dxfId="6" priority="3" stopIfTrue="1">
      <formula>OR(ISNUMBER(SEARCH("D",O5)),ISNUMBER(SEARCH("E",O5)))</formula>
    </cfRule>
  </conditionalFormatting>
  <conditionalFormatting sqref="A5:J40">
    <cfRule type="expression" dxfId="5" priority="1" stopIfTrue="1">
      <formula>NOT(ISBLANK(A5))</formula>
    </cfRule>
  </conditionalFormatting>
  <conditionalFormatting sqref="A5:J7">
    <cfRule type="expression" dxfId="4" priority="2" stopIfTrue="1">
      <formula>NOT($A5="ZZZZZ")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Group Box 5">
              <controlPr defaultSize="0" autoFill="0" autoPict="0">
                <anchor moveWithCells="1">
                  <from>
                    <xdr:col>0</xdr:col>
                    <xdr:colOff>104775</xdr:colOff>
                    <xdr:row>40</xdr:row>
                    <xdr:rowOff>133350</xdr:rowOff>
                  </from>
                  <to>
                    <xdr:col>3</xdr:col>
                    <xdr:colOff>495300</xdr:colOff>
                    <xdr:row>45</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8D41C18-78D6-4B05-9C70-575BADF15FCF}">
          <x14:formula1>
            <xm:f>GradeScheme!$B$2:$B$18</xm:f>
          </x14:formula1>
          <xm:sqref>T5:T40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CCA05-5FC1-4FFD-8FF0-520F3B449C38}">
  <sheetPr codeName="Sheet3">
    <tabColor theme="2" tint="-9.9978637043366805E-2"/>
  </sheetPr>
  <dimension ref="A1:F28"/>
  <sheetViews>
    <sheetView zoomScaleNormal="100" workbookViewId="0">
      <selection activeCell="A17" sqref="A17"/>
    </sheetView>
  </sheetViews>
  <sheetFormatPr defaultRowHeight="15" x14ac:dyDescent="0.25"/>
  <cols>
    <col min="1" max="1" width="11" bestFit="1" customWidth="1"/>
    <col min="2" max="3" width="11.5703125" bestFit="1" customWidth="1"/>
    <col min="6" max="9" width="9.140625" customWidth="1"/>
  </cols>
  <sheetData>
    <row r="1" spans="1:5" x14ac:dyDescent="0.25">
      <c r="A1" s="4" t="s">
        <v>0</v>
      </c>
      <c r="B1" s="5" t="s">
        <v>1</v>
      </c>
      <c r="C1" s="6" t="s">
        <v>2</v>
      </c>
    </row>
    <row r="2" spans="1:5" x14ac:dyDescent="0.25">
      <c r="A2" s="23"/>
      <c r="B2" s="2"/>
      <c r="C2" s="16"/>
    </row>
    <row r="3" spans="1:5" x14ac:dyDescent="0.25">
      <c r="A3" s="24">
        <v>0</v>
      </c>
      <c r="B3" s="1" t="s">
        <v>3</v>
      </c>
      <c r="C3" s="3">
        <v>1</v>
      </c>
    </row>
    <row r="4" spans="1:5" x14ac:dyDescent="0.25">
      <c r="A4" s="24">
        <v>0.09</v>
      </c>
      <c r="B4" s="1" t="s">
        <v>4</v>
      </c>
      <c r="C4" s="3">
        <v>2</v>
      </c>
      <c r="D4" s="18"/>
      <c r="E4" s="27"/>
    </row>
    <row r="5" spans="1:5" x14ac:dyDescent="0.25">
      <c r="A5" s="24">
        <v>0.17</v>
      </c>
      <c r="B5" s="1" t="s">
        <v>5</v>
      </c>
      <c r="C5" s="3">
        <v>3</v>
      </c>
      <c r="D5" s="18"/>
    </row>
    <row r="6" spans="1:5" x14ac:dyDescent="0.25">
      <c r="A6" s="24">
        <v>0.25</v>
      </c>
      <c r="B6" s="1" t="s">
        <v>6</v>
      </c>
      <c r="C6" s="3">
        <v>4</v>
      </c>
      <c r="D6" s="18"/>
    </row>
    <row r="7" spans="1:5" x14ac:dyDescent="0.25">
      <c r="A7" s="24">
        <v>0.32</v>
      </c>
      <c r="B7" s="1" t="s">
        <v>7</v>
      </c>
      <c r="C7" s="3">
        <v>5</v>
      </c>
      <c r="D7" s="18"/>
    </row>
    <row r="8" spans="1:5" x14ac:dyDescent="0.25">
      <c r="A8" s="24">
        <v>0.38</v>
      </c>
      <c r="B8" s="1" t="s">
        <v>8</v>
      </c>
      <c r="C8" s="3">
        <v>6</v>
      </c>
      <c r="D8" s="18"/>
    </row>
    <row r="9" spans="1:5" x14ac:dyDescent="0.25">
      <c r="A9" s="24">
        <v>0.45</v>
      </c>
      <c r="B9" s="1" t="s">
        <v>9</v>
      </c>
      <c r="C9" s="3">
        <v>7</v>
      </c>
      <c r="D9" s="18"/>
    </row>
    <row r="10" spans="1:5" x14ac:dyDescent="0.25">
      <c r="A10" s="24">
        <v>0.52</v>
      </c>
      <c r="B10" s="1" t="s">
        <v>10</v>
      </c>
      <c r="C10" s="3">
        <v>8</v>
      </c>
      <c r="D10" s="18"/>
    </row>
    <row r="11" spans="1:5" x14ac:dyDescent="0.25">
      <c r="A11" s="24">
        <v>0.59</v>
      </c>
      <c r="B11" s="1" t="s">
        <v>11</v>
      </c>
      <c r="C11" s="3">
        <v>9</v>
      </c>
      <c r="D11" s="18"/>
    </row>
    <row r="12" spans="1:5" x14ac:dyDescent="0.25">
      <c r="A12" s="24">
        <v>0.65</v>
      </c>
      <c r="B12" s="1" t="s">
        <v>12</v>
      </c>
      <c r="C12" s="3">
        <v>10</v>
      </c>
      <c r="D12" s="18"/>
    </row>
    <row r="13" spans="1:5" x14ac:dyDescent="0.25">
      <c r="A13" s="24">
        <v>0.7</v>
      </c>
      <c r="B13" s="1" t="s">
        <v>13</v>
      </c>
      <c r="C13" s="3">
        <v>11</v>
      </c>
      <c r="D13" s="18"/>
    </row>
    <row r="14" spans="1:5" x14ac:dyDescent="0.25">
      <c r="A14" s="24">
        <v>0.75</v>
      </c>
      <c r="B14" s="1" t="s">
        <v>14</v>
      </c>
      <c r="C14" s="3">
        <v>12</v>
      </c>
      <c r="D14" s="18"/>
    </row>
    <row r="15" spans="1:5" x14ac:dyDescent="0.25">
      <c r="A15" s="24">
        <v>0.8</v>
      </c>
      <c r="B15" s="1" t="s">
        <v>15</v>
      </c>
      <c r="C15" s="3">
        <v>13</v>
      </c>
      <c r="D15" s="18"/>
    </row>
    <row r="16" spans="1:5" x14ac:dyDescent="0.25">
      <c r="A16" s="24">
        <v>0.87</v>
      </c>
      <c r="B16" s="1" t="s">
        <v>16</v>
      </c>
      <c r="C16" s="3">
        <v>14</v>
      </c>
      <c r="D16" s="18"/>
    </row>
    <row r="17" spans="1:6" x14ac:dyDescent="0.25">
      <c r="A17" s="24">
        <v>0.94</v>
      </c>
      <c r="B17" s="1" t="s">
        <v>17</v>
      </c>
      <c r="C17" s="3">
        <v>15</v>
      </c>
      <c r="D17" s="18"/>
    </row>
    <row r="18" spans="1:6" x14ac:dyDescent="0.25">
      <c r="A18" s="25" t="s">
        <v>18</v>
      </c>
      <c r="B18" s="7" t="s">
        <v>18</v>
      </c>
      <c r="C18" s="8" t="s">
        <v>18</v>
      </c>
    </row>
    <row r="28" spans="1:6" x14ac:dyDescent="0.25">
      <c r="F28" s="109"/>
    </row>
  </sheetData>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2C8739-4020-40C2-BFF2-F5E62DC02287}">
  <sheetPr codeName="Sheet4">
    <tabColor theme="0" tint="-0.499984740745262"/>
  </sheetPr>
  <dimension ref="A1:G100"/>
  <sheetViews>
    <sheetView tabSelected="1" topLeftCell="A7" zoomScaleNormal="100" workbookViewId="0">
      <selection activeCell="E23" sqref="E23"/>
    </sheetView>
  </sheetViews>
  <sheetFormatPr defaultColWidth="9.140625" defaultRowHeight="15" x14ac:dyDescent="0.25"/>
  <cols>
    <col min="1" max="1" width="9.140625" style="34"/>
    <col min="2" max="2" width="16.42578125" style="35" bestFit="1" customWidth="1"/>
    <col min="3" max="3" width="9.28515625" style="35" bestFit="1" customWidth="1"/>
    <col min="4" max="4" width="10.7109375" style="35" bestFit="1" customWidth="1"/>
    <col min="5" max="5" width="63.5703125" style="36" customWidth="1"/>
    <col min="6" max="6" width="9.140625" style="34"/>
    <col min="7" max="7" width="20.28515625" style="34" bestFit="1" customWidth="1"/>
    <col min="8" max="8" width="1.5703125" style="34" customWidth="1"/>
    <col min="9" max="16384" width="9.140625" style="34"/>
  </cols>
  <sheetData>
    <row r="1" spans="2:7" ht="15.75" thickBot="1" x14ac:dyDescent="0.3"/>
    <row r="2" spans="2:7" ht="15.75" thickBot="1" x14ac:dyDescent="0.3">
      <c r="B2" s="37" t="s">
        <v>39</v>
      </c>
      <c r="C2" s="38" t="s">
        <v>42</v>
      </c>
      <c r="D2" s="38" t="s">
        <v>40</v>
      </c>
      <c r="E2" s="39" t="s">
        <v>41</v>
      </c>
      <c r="G2" s="40"/>
    </row>
    <row r="3" spans="2:7" ht="75" x14ac:dyDescent="0.25">
      <c r="B3" s="41" t="s">
        <v>45</v>
      </c>
      <c r="C3" s="42" t="s">
        <v>43</v>
      </c>
      <c r="D3" s="43">
        <v>43641</v>
      </c>
      <c r="E3" s="44" t="s">
        <v>46</v>
      </c>
    </row>
    <row r="4" spans="2:7" ht="45" x14ac:dyDescent="0.25">
      <c r="B4" s="45" t="s">
        <v>44</v>
      </c>
      <c r="C4" s="45" t="s">
        <v>43</v>
      </c>
      <c r="D4" s="46">
        <v>43643</v>
      </c>
      <c r="E4" s="47" t="s">
        <v>47</v>
      </c>
    </row>
    <row r="5" spans="2:7" ht="135" x14ac:dyDescent="0.25">
      <c r="B5" s="45" t="s">
        <v>52</v>
      </c>
      <c r="C5" s="45" t="s">
        <v>43</v>
      </c>
      <c r="D5" s="46">
        <v>43655</v>
      </c>
      <c r="E5" s="47" t="s">
        <v>51</v>
      </c>
    </row>
    <row r="6" spans="2:7" x14ac:dyDescent="0.25">
      <c r="B6" s="45" t="s">
        <v>53</v>
      </c>
      <c r="C6" s="45" t="s">
        <v>43</v>
      </c>
      <c r="D6" s="46">
        <v>43663</v>
      </c>
      <c r="E6" s="47" t="s">
        <v>54</v>
      </c>
    </row>
    <row r="7" spans="2:7" ht="60" x14ac:dyDescent="0.25">
      <c r="B7" s="45" t="s">
        <v>55</v>
      </c>
      <c r="C7" s="45" t="s">
        <v>43</v>
      </c>
      <c r="D7" s="46">
        <v>43678</v>
      </c>
      <c r="E7" s="47" t="s">
        <v>56</v>
      </c>
    </row>
    <row r="8" spans="2:7" x14ac:dyDescent="0.25">
      <c r="B8" s="45" t="s">
        <v>57</v>
      </c>
      <c r="C8" s="45" t="s">
        <v>43</v>
      </c>
      <c r="D8" s="46">
        <v>43679</v>
      </c>
      <c r="E8" s="47" t="s">
        <v>58</v>
      </c>
    </row>
    <row r="9" spans="2:7" x14ac:dyDescent="0.25">
      <c r="B9" s="45" t="s">
        <v>59</v>
      </c>
      <c r="C9" s="45" t="s">
        <v>43</v>
      </c>
      <c r="D9" s="46">
        <v>43684</v>
      </c>
      <c r="E9" s="47" t="s">
        <v>60</v>
      </c>
    </row>
    <row r="10" spans="2:7" ht="30" x14ac:dyDescent="0.25">
      <c r="B10" s="45" t="s">
        <v>61</v>
      </c>
      <c r="C10" s="45" t="s">
        <v>43</v>
      </c>
      <c r="D10" s="46">
        <v>43738</v>
      </c>
      <c r="E10" s="47" t="s">
        <v>62</v>
      </c>
    </row>
    <row r="11" spans="2:7" ht="45" x14ac:dyDescent="0.25">
      <c r="B11" s="45" t="s">
        <v>63</v>
      </c>
      <c r="C11" s="45" t="s">
        <v>43</v>
      </c>
      <c r="D11" s="46">
        <v>43742</v>
      </c>
      <c r="E11" s="47" t="s">
        <v>64</v>
      </c>
    </row>
    <row r="12" spans="2:7" x14ac:dyDescent="0.25">
      <c r="B12" s="45" t="s">
        <v>68</v>
      </c>
      <c r="C12" s="45" t="s">
        <v>43</v>
      </c>
      <c r="D12" s="45" t="s">
        <v>69</v>
      </c>
      <c r="E12" s="47" t="s">
        <v>69</v>
      </c>
    </row>
    <row r="13" spans="2:7" ht="30" x14ac:dyDescent="0.25">
      <c r="B13" s="45" t="s">
        <v>70</v>
      </c>
      <c r="C13" s="45" t="s">
        <v>43</v>
      </c>
      <c r="D13" s="69">
        <v>43810</v>
      </c>
      <c r="E13" s="47" t="s">
        <v>71</v>
      </c>
    </row>
    <row r="14" spans="2:7" ht="60" x14ac:dyDescent="0.25">
      <c r="B14" s="45" t="s">
        <v>75</v>
      </c>
      <c r="C14" s="45" t="s">
        <v>43</v>
      </c>
      <c r="D14" s="69">
        <v>43811</v>
      </c>
      <c r="E14" s="47" t="s">
        <v>76</v>
      </c>
    </row>
    <row r="15" spans="2:7" ht="45" x14ac:dyDescent="0.25">
      <c r="B15" s="45" t="s">
        <v>79</v>
      </c>
      <c r="C15" s="45" t="s">
        <v>43</v>
      </c>
      <c r="D15" s="69">
        <v>43895</v>
      </c>
      <c r="E15" s="47" t="s">
        <v>83</v>
      </c>
    </row>
    <row r="16" spans="2:7" x14ac:dyDescent="0.25">
      <c r="B16" s="45" t="s">
        <v>78</v>
      </c>
      <c r="C16" s="45" t="s">
        <v>43</v>
      </c>
      <c r="D16" s="69">
        <v>43895</v>
      </c>
      <c r="E16" s="47" t="s">
        <v>84</v>
      </c>
    </row>
    <row r="17" spans="2:5" ht="90" x14ac:dyDescent="0.25">
      <c r="B17" s="45" t="s">
        <v>86</v>
      </c>
      <c r="C17" s="45" t="s">
        <v>43</v>
      </c>
      <c r="D17" s="69">
        <v>43896</v>
      </c>
      <c r="E17" s="47" t="s">
        <v>85</v>
      </c>
    </row>
    <row r="18" spans="2:5" x14ac:dyDescent="0.25">
      <c r="B18" s="45" t="s">
        <v>88</v>
      </c>
      <c r="C18" s="45" t="s">
        <v>43</v>
      </c>
      <c r="D18" s="69">
        <v>43898</v>
      </c>
      <c r="E18" s="47" t="s">
        <v>89</v>
      </c>
    </row>
    <row r="19" spans="2:5" x14ac:dyDescent="0.25">
      <c r="B19" s="45" t="s">
        <v>91</v>
      </c>
      <c r="C19" s="45" t="s">
        <v>43</v>
      </c>
      <c r="D19" s="69">
        <v>44099</v>
      </c>
      <c r="E19" s="47" t="s">
        <v>92</v>
      </c>
    </row>
    <row r="20" spans="2:5" ht="30" x14ac:dyDescent="0.25">
      <c r="B20" s="45" t="s">
        <v>90</v>
      </c>
      <c r="C20" s="45" t="s">
        <v>43</v>
      </c>
      <c r="D20" s="69">
        <v>44099</v>
      </c>
      <c r="E20" s="47" t="s">
        <v>93</v>
      </c>
    </row>
    <row r="21" spans="2:5" x14ac:dyDescent="0.25">
      <c r="B21" s="45" t="s">
        <v>94</v>
      </c>
      <c r="C21" s="45" t="s">
        <v>43</v>
      </c>
      <c r="D21" s="69">
        <v>44099</v>
      </c>
      <c r="E21" s="47" t="s">
        <v>95</v>
      </c>
    </row>
    <row r="22" spans="2:5" x14ac:dyDescent="0.25">
      <c r="B22" s="45" t="s">
        <v>99</v>
      </c>
      <c r="C22" s="45" t="s">
        <v>100</v>
      </c>
      <c r="D22" s="69">
        <v>44103</v>
      </c>
      <c r="E22" s="47" t="s">
        <v>101</v>
      </c>
    </row>
    <row r="23" spans="2:5" x14ac:dyDescent="0.25">
      <c r="B23" s="45"/>
      <c r="C23" s="45"/>
      <c r="D23" s="45"/>
      <c r="E23" s="47"/>
    </row>
    <row r="24" spans="2:5" x14ac:dyDescent="0.25">
      <c r="B24" s="45"/>
      <c r="C24" s="45"/>
      <c r="D24" s="45"/>
      <c r="E24" s="47"/>
    </row>
    <row r="25" spans="2:5" x14ac:dyDescent="0.25">
      <c r="B25" s="45"/>
      <c r="C25" s="45"/>
      <c r="D25" s="45"/>
      <c r="E25" s="47"/>
    </row>
    <row r="26" spans="2:5" x14ac:dyDescent="0.25">
      <c r="B26" s="45"/>
      <c r="C26" s="45"/>
      <c r="D26" s="45"/>
      <c r="E26" s="47"/>
    </row>
    <row r="27" spans="2:5" x14ac:dyDescent="0.25">
      <c r="B27" s="45"/>
      <c r="C27" s="45"/>
      <c r="D27" s="45"/>
      <c r="E27" s="47"/>
    </row>
    <row r="28" spans="2:5" x14ac:dyDescent="0.25">
      <c r="B28" s="45"/>
      <c r="C28" s="45"/>
      <c r="D28" s="45"/>
      <c r="E28" s="47"/>
    </row>
    <row r="29" spans="2:5" x14ac:dyDescent="0.25">
      <c r="B29" s="45"/>
      <c r="C29" s="45"/>
      <c r="D29" s="45"/>
      <c r="E29" s="47"/>
    </row>
    <row r="30" spans="2:5" x14ac:dyDescent="0.25">
      <c r="B30" s="45"/>
      <c r="C30" s="45"/>
      <c r="D30" s="45"/>
      <c r="E30" s="47"/>
    </row>
    <row r="31" spans="2:5" x14ac:dyDescent="0.25">
      <c r="B31" s="45"/>
      <c r="C31" s="45"/>
      <c r="D31" s="45"/>
      <c r="E31" s="47"/>
    </row>
    <row r="32" spans="2:5" x14ac:dyDescent="0.25">
      <c r="B32" s="45"/>
      <c r="C32" s="45"/>
      <c r="D32" s="45"/>
      <c r="E32" s="47"/>
    </row>
    <row r="33" spans="2:5" x14ac:dyDescent="0.25">
      <c r="B33" s="45"/>
      <c r="C33" s="45"/>
      <c r="D33" s="45"/>
      <c r="E33" s="47"/>
    </row>
    <row r="34" spans="2:5" x14ac:dyDescent="0.25">
      <c r="B34" s="45"/>
      <c r="C34" s="45"/>
      <c r="D34" s="45"/>
      <c r="E34" s="47"/>
    </row>
    <row r="35" spans="2:5" x14ac:dyDescent="0.25">
      <c r="B35" s="45"/>
      <c r="C35" s="45"/>
      <c r="D35" s="45"/>
      <c r="E35" s="47"/>
    </row>
    <row r="36" spans="2:5" x14ac:dyDescent="0.25">
      <c r="B36" s="45"/>
      <c r="C36" s="45"/>
      <c r="D36" s="45"/>
      <c r="E36" s="47"/>
    </row>
    <row r="37" spans="2:5" x14ac:dyDescent="0.25">
      <c r="B37" s="45"/>
      <c r="C37" s="45"/>
      <c r="D37" s="45"/>
      <c r="E37" s="47"/>
    </row>
    <row r="100" spans="1:1" x14ac:dyDescent="0.25">
      <c r="A100" s="33" t="s">
        <v>48</v>
      </c>
    </row>
  </sheetData>
  <sheetProtection sheet="1" formatCells="0" formatColumns="0" formatRows="0" insertColumns="0" insertRows="0" insertHyperlinks="0" deleteColumns="0" deleteRows="0" sort="0" autoFilter="0" pivotTables="0"/>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ClassInformation</vt:lpstr>
      <vt:lpstr>Semester1</vt:lpstr>
      <vt:lpstr>Semester2</vt:lpstr>
      <vt:lpstr>AssessmentTemplate</vt:lpstr>
      <vt:lpstr>EOSTemplate</vt:lpstr>
      <vt:lpstr>TemplateInstruction</vt:lpstr>
      <vt:lpstr>GradeScheme</vt:lpstr>
      <vt:lpstr>Changelog</vt:lpstr>
    </vt:vector>
  </TitlesOfParts>
  <Manager>D.Tran</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Markbook</dc:title>
  <dc:creator>D.Tran</dc:creator>
  <cp:keywords>Mark, book, sheet</cp:keywords>
  <dc:description>Version 1.2.0</dc:description>
  <cp:lastModifiedBy>Tran, Danny</cp:lastModifiedBy>
  <dcterms:created xsi:type="dcterms:W3CDTF">2019-06-24T12:42:24Z</dcterms:created>
  <dcterms:modified xsi:type="dcterms:W3CDTF">2020-09-29T04:06:59Z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ate completed">
    <vt:lpwstr>27/06/2019</vt:lpwstr>
  </property>
  <property fmtid="{D5CDD505-2E9C-101B-9397-08002B2CF9AE}" pid="3" name="Editor">
    <vt:lpwstr>D.Tran</vt:lpwstr>
  </property>
  <property fmtid="{D5CDD505-2E9C-101B-9397-08002B2CF9AE}" pid="4" name="Owner">
    <vt:lpwstr>D.Tran</vt:lpwstr>
  </property>
</Properties>
</file>