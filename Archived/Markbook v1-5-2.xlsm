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danny\OneDrive\Tutor Work\Nam\Markbooks\"/>
    </mc:Choice>
  </mc:AlternateContent>
  <xr:revisionPtr revIDLastSave="501" documentId="8_{9841AC5B-E36D-4B97-B61E-3B05D0536260}" xr6:coauthVersionLast="41" xr6:coauthVersionMax="41" xr10:uidLastSave="{2A9E7DF0-A402-4E4F-AF1D-7EE673781154}"/>
  <bookViews>
    <workbookView xWindow="1170" yWindow="1170" windowWidth="12825" windowHeight="11055" tabRatio="723" xr2:uid="{819FE5EB-A8BE-46E7-8C57-623FF87BA6E9}"/>
  </bookViews>
  <sheets>
    <sheet name="ClassInformation" sheetId="3" r:id="rId1"/>
    <sheet name="Semester1" sheetId="4" r:id="rId2"/>
    <sheet name="Semester2" sheetId="13" r:id="rId3"/>
    <sheet name="AssessmentTemplate" sheetId="8" r:id="rId4"/>
    <sheet name="TemplateInstruction" sheetId="9" r:id="rId5"/>
    <sheet name="GradeScheme" sheetId="2" r:id="rId6"/>
    <sheet name="Changelog" sheetId="11" r:id="rId7"/>
  </sheets>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I25" i="4" l="1"/>
  <c r="DI16" i="4"/>
  <c r="DI8" i="4"/>
  <c r="DQ4" i="4"/>
  <c r="DL4" i="4"/>
  <c r="DI4" i="4"/>
  <c r="DM3" i="4"/>
  <c r="DL3" i="4"/>
  <c r="DJ3" i="4"/>
  <c r="DI40" i="4" s="1"/>
  <c r="DK40" i="4" s="1"/>
  <c r="DI3" i="4"/>
  <c r="DG3" i="4"/>
  <c r="DE3" i="4"/>
  <c r="DC3" i="4"/>
  <c r="DA3" i="4"/>
  <c r="CY3" i="4"/>
  <c r="CW3" i="4"/>
  <c r="CU3" i="4"/>
  <c r="CS3" i="4"/>
  <c r="CQ3" i="4"/>
  <c r="CO3" i="4"/>
  <c r="CE40" i="4"/>
  <c r="CG40" i="4" s="1"/>
  <c r="CE39" i="4"/>
  <c r="CG39" i="4" s="1"/>
  <c r="CE38" i="4"/>
  <c r="CG38" i="4" s="1"/>
  <c r="CE37" i="4"/>
  <c r="CG37" i="4" s="1"/>
  <c r="CE36" i="4"/>
  <c r="CG36" i="4" s="1"/>
  <c r="CE35" i="4"/>
  <c r="CG35" i="4" s="1"/>
  <c r="CE34" i="4"/>
  <c r="CG34" i="4" s="1"/>
  <c r="CE33" i="4"/>
  <c r="CG33" i="4" s="1"/>
  <c r="CE32" i="4"/>
  <c r="CG32" i="4" s="1"/>
  <c r="CE31" i="4"/>
  <c r="CG31" i="4" s="1"/>
  <c r="CE30" i="4"/>
  <c r="CG30" i="4" s="1"/>
  <c r="CE29" i="4"/>
  <c r="CG29" i="4" s="1"/>
  <c r="CE28" i="4"/>
  <c r="CG28" i="4" s="1"/>
  <c r="CE27" i="4"/>
  <c r="CG27" i="4" s="1"/>
  <c r="CE26" i="4"/>
  <c r="CG26" i="4" s="1"/>
  <c r="CE25" i="4"/>
  <c r="CG25" i="4" s="1"/>
  <c r="CE24" i="4"/>
  <c r="CG24" i="4" s="1"/>
  <c r="CE23" i="4"/>
  <c r="CG23" i="4" s="1"/>
  <c r="CE22" i="4"/>
  <c r="CG22" i="4" s="1"/>
  <c r="CE21" i="4"/>
  <c r="CG21" i="4" s="1"/>
  <c r="CE20" i="4"/>
  <c r="CG20" i="4" s="1"/>
  <c r="CE19" i="4"/>
  <c r="CG19" i="4" s="1"/>
  <c r="CE18" i="4"/>
  <c r="CG18" i="4" s="1"/>
  <c r="CE17" i="4"/>
  <c r="CG17" i="4" s="1"/>
  <c r="CE16" i="4"/>
  <c r="CG16" i="4" s="1"/>
  <c r="CE15" i="4"/>
  <c r="CG15" i="4" s="1"/>
  <c r="CE14" i="4"/>
  <c r="CG14" i="4" s="1"/>
  <c r="CE13" i="4"/>
  <c r="CG13" i="4" s="1"/>
  <c r="CE12" i="4"/>
  <c r="CG12" i="4" s="1"/>
  <c r="CE11" i="4"/>
  <c r="CG11" i="4" s="1"/>
  <c r="CE10" i="4"/>
  <c r="CE9" i="4"/>
  <c r="CE8" i="4"/>
  <c r="CE7" i="4"/>
  <c r="CE6" i="4"/>
  <c r="CE5" i="4"/>
  <c r="CF5" i="4" s="1"/>
  <c r="CM4" i="4"/>
  <c r="CH4" i="4"/>
  <c r="CE4" i="4"/>
  <c r="CI3" i="4"/>
  <c r="CH3" i="4"/>
  <c r="CF3" i="4"/>
  <c r="CE3" i="4"/>
  <c r="CC3" i="4"/>
  <c r="CA3" i="4"/>
  <c r="BY3" i="4"/>
  <c r="BW3" i="4"/>
  <c r="BU3" i="4"/>
  <c r="BS3" i="4"/>
  <c r="BQ3" i="4"/>
  <c r="BO3" i="4"/>
  <c r="BM3" i="4"/>
  <c r="BK3" i="4"/>
  <c r="BI4" i="4"/>
  <c r="BD4" i="4"/>
  <c r="BA4" i="4"/>
  <c r="BE3" i="4"/>
  <c r="BD3" i="4"/>
  <c r="BB3" i="4"/>
  <c r="BA40" i="4" s="1"/>
  <c r="BC40" i="4" s="1"/>
  <c r="BA3" i="4"/>
  <c r="AY3" i="4"/>
  <c r="AW3" i="4"/>
  <c r="AU3" i="4"/>
  <c r="AS3" i="4"/>
  <c r="AQ3" i="4"/>
  <c r="AO3" i="4"/>
  <c r="AM3" i="4"/>
  <c r="AK3" i="4"/>
  <c r="AI3" i="4"/>
  <c r="AG3" i="4"/>
  <c r="AE4" i="4"/>
  <c r="Z4" i="4"/>
  <c r="W4" i="4"/>
  <c r="AA3" i="4"/>
  <c r="Z3" i="4"/>
  <c r="X3" i="4"/>
  <c r="W40" i="4" s="1"/>
  <c r="Y40" i="4" s="1"/>
  <c r="W3" i="4"/>
  <c r="U3" i="4"/>
  <c r="S3" i="4"/>
  <c r="Q3" i="4"/>
  <c r="O3" i="4"/>
  <c r="M3" i="4"/>
  <c r="K3" i="4"/>
  <c r="I3" i="4"/>
  <c r="G3" i="4"/>
  <c r="E3" i="4"/>
  <c r="C3" i="4"/>
  <c r="BI4" i="13"/>
  <c r="BD4" i="13"/>
  <c r="BA4" i="13"/>
  <c r="BE3" i="13"/>
  <c r="BD3" i="13"/>
  <c r="BB3" i="13"/>
  <c r="BA40" i="13" s="1"/>
  <c r="BC40" i="13" s="1"/>
  <c r="BA3" i="13"/>
  <c r="AY3" i="13"/>
  <c r="AW3" i="13"/>
  <c r="AU3" i="13"/>
  <c r="AS3" i="13"/>
  <c r="AQ3" i="13"/>
  <c r="AO3" i="13"/>
  <c r="AM3" i="13"/>
  <c r="AK3" i="13"/>
  <c r="AI3" i="13"/>
  <c r="AG3" i="13"/>
  <c r="AE4" i="13"/>
  <c r="Z4" i="13"/>
  <c r="W4" i="13"/>
  <c r="AA3" i="13"/>
  <c r="Z3" i="13"/>
  <c r="X3" i="13"/>
  <c r="W40" i="13" s="1"/>
  <c r="W3" i="13"/>
  <c r="U3" i="13"/>
  <c r="S3" i="13"/>
  <c r="Q3" i="13"/>
  <c r="O3" i="13"/>
  <c r="M3" i="13"/>
  <c r="K3" i="13"/>
  <c r="I3" i="13"/>
  <c r="G3" i="13"/>
  <c r="E3" i="13"/>
  <c r="C3" i="13"/>
  <c r="DI9" i="4" l="1"/>
  <c r="DJ9" i="4" s="1"/>
  <c r="DK9" i="4" s="1"/>
  <c r="DI17" i="4"/>
  <c r="DI29" i="4"/>
  <c r="DI12" i="4"/>
  <c r="DJ12" i="4" s="1"/>
  <c r="DI20" i="4"/>
  <c r="DJ20" i="4" s="1"/>
  <c r="DI33" i="4"/>
  <c r="DK33" i="4" s="1"/>
  <c r="DI5" i="4"/>
  <c r="DJ5" i="4" s="1"/>
  <c r="DI13" i="4"/>
  <c r="DJ13" i="4" s="1"/>
  <c r="DI21" i="4"/>
  <c r="DJ21" i="4" s="1"/>
  <c r="DI37" i="4"/>
  <c r="DK37" i="4" s="1"/>
  <c r="DI6" i="4"/>
  <c r="DI10" i="4"/>
  <c r="DI14" i="4"/>
  <c r="DJ14" i="4" s="1"/>
  <c r="DI18" i="4"/>
  <c r="DI22" i="4"/>
  <c r="DI26" i="4"/>
  <c r="DJ26" i="4" s="1"/>
  <c r="DI30" i="4"/>
  <c r="DK30" i="4" s="1"/>
  <c r="DI34" i="4"/>
  <c r="DK34" i="4" s="1"/>
  <c r="DI38" i="4"/>
  <c r="DK38" i="4" s="1"/>
  <c r="DI7" i="4"/>
  <c r="DI11" i="4"/>
  <c r="DI15" i="4"/>
  <c r="DI19" i="4"/>
  <c r="DI23" i="4"/>
  <c r="DI27" i="4"/>
  <c r="DJ27" i="4" s="1"/>
  <c r="DI31" i="4"/>
  <c r="DK31" i="4" s="1"/>
  <c r="DI35" i="4"/>
  <c r="DK35" i="4" s="1"/>
  <c r="DI39" i="4"/>
  <c r="DK39" i="4" s="1"/>
  <c r="DI24" i="4"/>
  <c r="DJ24" i="4" s="1"/>
  <c r="DI28" i="4"/>
  <c r="DI32" i="4"/>
  <c r="DK32" i="4" s="1"/>
  <c r="DI36" i="4"/>
  <c r="DK36" i="4" s="1"/>
  <c r="DJ8" i="4"/>
  <c r="DK8" i="4" s="1"/>
  <c r="DK6" i="4"/>
  <c r="DJ6" i="4"/>
  <c r="DL40" i="4"/>
  <c r="DL39" i="4"/>
  <c r="DL38" i="4"/>
  <c r="DL37" i="4"/>
  <c r="DL36" i="4"/>
  <c r="DL35" i="4"/>
  <c r="DL34" i="4"/>
  <c r="DL33" i="4"/>
  <c r="DL32" i="4"/>
  <c r="DL31" i="4"/>
  <c r="DL30" i="4"/>
  <c r="DL29" i="4"/>
  <c r="DL28" i="4"/>
  <c r="DL27" i="4"/>
  <c r="DL26" i="4"/>
  <c r="DL25" i="4"/>
  <c r="DL24" i="4"/>
  <c r="DL23" i="4"/>
  <c r="DL22" i="4"/>
  <c r="DL21" i="4"/>
  <c r="DL20" i="4"/>
  <c r="DL19" i="4"/>
  <c r="DL18" i="4"/>
  <c r="DL17" i="4"/>
  <c r="DL16" i="4"/>
  <c r="DL15" i="4"/>
  <c r="DL14" i="4"/>
  <c r="DL13" i="4"/>
  <c r="DL12" i="4"/>
  <c r="DL11" i="4"/>
  <c r="DL10" i="4"/>
  <c r="DL9" i="4"/>
  <c r="DL8" i="4"/>
  <c r="DL7" i="4"/>
  <c r="DL6" i="4"/>
  <c r="DL5" i="4"/>
  <c r="DM5" i="4" s="1"/>
  <c r="DN5" i="4" s="1"/>
  <c r="DK5" i="4"/>
  <c r="DJ11" i="4"/>
  <c r="DJ16" i="4"/>
  <c r="DK16" i="4" s="1"/>
  <c r="DJ25" i="4"/>
  <c r="DK25" i="4" s="1"/>
  <c r="DJ28" i="4"/>
  <c r="DJ29" i="4"/>
  <c r="DJ30" i="4"/>
  <c r="DJ33" i="4"/>
  <c r="DJ35" i="4"/>
  <c r="DJ36" i="4"/>
  <c r="DJ37" i="4"/>
  <c r="DJ40" i="4"/>
  <c r="CG5" i="4"/>
  <c r="CG7" i="4"/>
  <c r="CF7" i="4"/>
  <c r="CG6" i="4"/>
  <c r="CF6" i="4"/>
  <c r="CG8" i="4"/>
  <c r="CF8" i="4"/>
  <c r="CG10" i="4"/>
  <c r="CF10" i="4"/>
  <c r="CH40" i="4"/>
  <c r="CH39" i="4"/>
  <c r="CH38" i="4"/>
  <c r="CH37" i="4"/>
  <c r="CH36" i="4"/>
  <c r="CH35" i="4"/>
  <c r="CH34" i="4"/>
  <c r="CH33" i="4"/>
  <c r="CH32" i="4"/>
  <c r="CH31" i="4"/>
  <c r="CH30" i="4"/>
  <c r="CH29" i="4"/>
  <c r="CH28" i="4"/>
  <c r="CH27" i="4"/>
  <c r="CH26" i="4"/>
  <c r="CH25" i="4"/>
  <c r="CH24" i="4"/>
  <c r="CH23" i="4"/>
  <c r="CH22" i="4"/>
  <c r="CH21" i="4"/>
  <c r="CH20" i="4"/>
  <c r="CH19" i="4"/>
  <c r="CH18" i="4"/>
  <c r="CH17" i="4"/>
  <c r="CH16" i="4"/>
  <c r="CH15" i="4"/>
  <c r="CH14" i="4"/>
  <c r="CH13" i="4"/>
  <c r="CH12" i="4"/>
  <c r="CH11" i="4"/>
  <c r="CH10" i="4"/>
  <c r="CH9" i="4"/>
  <c r="CH8" i="4"/>
  <c r="CH7" i="4"/>
  <c r="CH6" i="4"/>
  <c r="CH5" i="4"/>
  <c r="CI5" i="4" s="1"/>
  <c r="CJ5" i="4" s="1"/>
  <c r="CG9" i="4"/>
  <c r="CF9" i="4"/>
  <c r="CF11" i="4"/>
  <c r="CF12" i="4"/>
  <c r="CF13" i="4"/>
  <c r="CF14" i="4"/>
  <c r="CF15" i="4"/>
  <c r="CF16" i="4"/>
  <c r="CF17" i="4"/>
  <c r="CF18" i="4"/>
  <c r="CF19" i="4"/>
  <c r="CF20" i="4"/>
  <c r="CF21" i="4"/>
  <c r="CF22" i="4"/>
  <c r="CF23" i="4"/>
  <c r="CF24" i="4"/>
  <c r="CF25" i="4"/>
  <c r="CF26" i="4"/>
  <c r="CF27" i="4"/>
  <c r="CF28" i="4"/>
  <c r="CF29" i="4"/>
  <c r="CF30" i="4"/>
  <c r="CF31" i="4"/>
  <c r="CF32" i="4"/>
  <c r="CF33" i="4"/>
  <c r="CF34" i="4"/>
  <c r="CF35" i="4"/>
  <c r="CF36" i="4"/>
  <c r="CF37" i="4"/>
  <c r="CF38" i="4"/>
  <c r="CF39" i="4"/>
  <c r="CF40" i="4"/>
  <c r="BA5" i="4"/>
  <c r="BB5" i="4" s="1"/>
  <c r="BA9" i="4"/>
  <c r="BB9" i="4" s="1"/>
  <c r="BA13" i="4"/>
  <c r="BA21" i="4"/>
  <c r="BA29" i="4"/>
  <c r="BA37" i="4"/>
  <c r="BC37" i="4" s="1"/>
  <c r="BA6" i="4"/>
  <c r="BA10" i="4"/>
  <c r="BA14" i="4"/>
  <c r="BA18" i="4"/>
  <c r="BA22" i="4"/>
  <c r="BA26" i="4"/>
  <c r="BA30" i="4"/>
  <c r="BC30" i="4" s="1"/>
  <c r="BA34" i="4"/>
  <c r="BC34" i="4" s="1"/>
  <c r="BA38" i="4"/>
  <c r="BC38" i="4" s="1"/>
  <c r="BA7" i="4"/>
  <c r="BC7" i="4" s="1"/>
  <c r="BA11" i="4"/>
  <c r="BA15" i="4"/>
  <c r="BA19" i="4"/>
  <c r="BA23" i="4"/>
  <c r="BA27" i="4"/>
  <c r="BA31" i="4"/>
  <c r="BC31" i="4" s="1"/>
  <c r="BA35" i="4"/>
  <c r="BC35" i="4" s="1"/>
  <c r="BA39" i="4"/>
  <c r="BC39" i="4" s="1"/>
  <c r="BA17" i="4"/>
  <c r="BA25" i="4"/>
  <c r="BA33" i="4"/>
  <c r="BC33" i="4" s="1"/>
  <c r="BA8" i="4"/>
  <c r="BA12" i="4"/>
  <c r="BA16" i="4"/>
  <c r="BB16" i="4" s="1"/>
  <c r="BA20" i="4"/>
  <c r="BA24" i="4"/>
  <c r="BA28" i="4"/>
  <c r="BA32" i="4"/>
  <c r="BC32" i="4" s="1"/>
  <c r="BA36" i="4"/>
  <c r="BC36" i="4" s="1"/>
  <c r="BC5" i="4"/>
  <c r="BD40" i="4"/>
  <c r="BD39" i="4"/>
  <c r="BD38" i="4"/>
  <c r="BD37" i="4"/>
  <c r="BD36" i="4"/>
  <c r="BD35" i="4"/>
  <c r="BD34" i="4"/>
  <c r="BD33" i="4"/>
  <c r="BD32" i="4"/>
  <c r="BD31" i="4"/>
  <c r="BD30" i="4"/>
  <c r="BD29" i="4"/>
  <c r="BD28" i="4"/>
  <c r="BD27" i="4"/>
  <c r="BD26" i="4"/>
  <c r="BD25" i="4"/>
  <c r="BD24" i="4"/>
  <c r="BD23" i="4"/>
  <c r="BD22" i="4"/>
  <c r="BD21" i="4"/>
  <c r="BD20" i="4"/>
  <c r="BD19" i="4"/>
  <c r="BD18" i="4"/>
  <c r="BD17" i="4"/>
  <c r="BD16" i="4"/>
  <c r="BD15" i="4"/>
  <c r="BD14" i="4"/>
  <c r="BD13" i="4"/>
  <c r="BD12" i="4"/>
  <c r="BD11" i="4"/>
  <c r="BD10" i="4"/>
  <c r="BD9" i="4"/>
  <c r="BD8" i="4"/>
  <c r="BD7" i="4"/>
  <c r="BD6" i="4"/>
  <c r="BD5" i="4"/>
  <c r="BE5" i="4" s="1"/>
  <c r="BF5" i="4" s="1"/>
  <c r="BB11" i="4"/>
  <c r="BB12" i="4"/>
  <c r="BB14" i="4"/>
  <c r="BB17" i="4"/>
  <c r="BB25" i="4"/>
  <c r="BB27" i="4"/>
  <c r="BB28" i="4"/>
  <c r="BB29" i="4"/>
  <c r="BB30" i="4"/>
  <c r="BB32" i="4"/>
  <c r="BB33" i="4"/>
  <c r="BB37" i="4"/>
  <c r="BB40" i="4"/>
  <c r="W5" i="4"/>
  <c r="X5" i="4" s="1"/>
  <c r="W9" i="4"/>
  <c r="X9" i="4" s="1"/>
  <c r="Y9" i="4" s="1"/>
  <c r="W13" i="4"/>
  <c r="X13" i="4" s="1"/>
  <c r="Y13" i="4" s="1"/>
  <c r="W17" i="4"/>
  <c r="X17" i="4" s="1"/>
  <c r="Y17" i="4" s="1"/>
  <c r="W25" i="4"/>
  <c r="X25" i="4" s="1"/>
  <c r="Y25" i="4" s="1"/>
  <c r="W37" i="4"/>
  <c r="Y37" i="4" s="1"/>
  <c r="W6" i="4"/>
  <c r="X6" i="4" s="1"/>
  <c r="Y6" i="4" s="1"/>
  <c r="W10" i="4"/>
  <c r="X10" i="4" s="1"/>
  <c r="Y10" i="4" s="1"/>
  <c r="W14" i="4"/>
  <c r="W18" i="4"/>
  <c r="X18" i="4" s="1"/>
  <c r="Y18" i="4" s="1"/>
  <c r="W22" i="4"/>
  <c r="X22" i="4" s="1"/>
  <c r="Y22" i="4" s="1"/>
  <c r="W26" i="4"/>
  <c r="X26" i="4" s="1"/>
  <c r="Y26" i="4" s="1"/>
  <c r="W30" i="4"/>
  <c r="Y30" i="4" s="1"/>
  <c r="W34" i="4"/>
  <c r="Y34" i="4" s="1"/>
  <c r="W38" i="4"/>
  <c r="Y38" i="4" s="1"/>
  <c r="W7" i="4"/>
  <c r="X7" i="4" s="1"/>
  <c r="Y7" i="4" s="1"/>
  <c r="W11" i="4"/>
  <c r="X11" i="4" s="1"/>
  <c r="Y11" i="4" s="1"/>
  <c r="W15" i="4"/>
  <c r="W19" i="4"/>
  <c r="W23" i="4"/>
  <c r="X23" i="4" s="1"/>
  <c r="Y23" i="4" s="1"/>
  <c r="W27" i="4"/>
  <c r="X27" i="4" s="1"/>
  <c r="Y27" i="4" s="1"/>
  <c r="W31" i="4"/>
  <c r="Y31" i="4" s="1"/>
  <c r="W35" i="4"/>
  <c r="Y35" i="4" s="1"/>
  <c r="W39" i="4"/>
  <c r="Y39" i="4" s="1"/>
  <c r="W21" i="4"/>
  <c r="W29" i="4"/>
  <c r="W33" i="4"/>
  <c r="Y33" i="4" s="1"/>
  <c r="W8" i="4"/>
  <c r="X8" i="4" s="1"/>
  <c r="Y8" i="4" s="1"/>
  <c r="W12" i="4"/>
  <c r="X12" i="4" s="1"/>
  <c r="Y12" i="4" s="1"/>
  <c r="W16" i="4"/>
  <c r="W20" i="4"/>
  <c r="X20" i="4" s="1"/>
  <c r="Y20" i="4" s="1"/>
  <c r="W24" i="4"/>
  <c r="X24" i="4" s="1"/>
  <c r="Y24" i="4" s="1"/>
  <c r="W28" i="4"/>
  <c r="X28" i="4" s="1"/>
  <c r="Y28" i="4" s="1"/>
  <c r="W32" i="4"/>
  <c r="Y32" i="4" s="1"/>
  <c r="W36" i="4"/>
  <c r="Y36" i="4" s="1"/>
  <c r="Z40" i="4"/>
  <c r="Z39" i="4"/>
  <c r="Z38" i="4"/>
  <c r="Z37" i="4"/>
  <c r="Z36" i="4"/>
  <c r="Z35" i="4"/>
  <c r="Z34" i="4"/>
  <c r="Z33" i="4"/>
  <c r="Z32" i="4"/>
  <c r="Z31" i="4"/>
  <c r="Z30" i="4"/>
  <c r="Z29" i="4"/>
  <c r="Z28" i="4"/>
  <c r="Z27" i="4"/>
  <c r="Z26" i="4"/>
  <c r="Z25" i="4"/>
  <c r="Z24" i="4"/>
  <c r="Z23" i="4"/>
  <c r="Z22" i="4"/>
  <c r="Z21" i="4"/>
  <c r="Z20" i="4"/>
  <c r="Z19" i="4"/>
  <c r="Z18" i="4"/>
  <c r="Z17" i="4"/>
  <c r="Z16" i="4"/>
  <c r="Z15" i="4"/>
  <c r="Z14" i="4"/>
  <c r="Z13" i="4"/>
  <c r="Z12" i="4"/>
  <c r="Z11" i="4"/>
  <c r="Z10" i="4"/>
  <c r="Z9" i="4"/>
  <c r="Z8" i="4"/>
  <c r="Z7" i="4"/>
  <c r="Z6" i="4"/>
  <c r="Z5" i="4"/>
  <c r="AA5" i="4" s="1"/>
  <c r="AB5" i="4" s="1"/>
  <c r="X15" i="4"/>
  <c r="Y15" i="4" s="1"/>
  <c r="X19" i="4"/>
  <c r="Y19" i="4" s="1"/>
  <c r="Y5" i="4"/>
  <c r="X16" i="4"/>
  <c r="Y16" i="4" s="1"/>
  <c r="X29" i="4"/>
  <c r="Y29" i="4" s="1"/>
  <c r="X31" i="4"/>
  <c r="X36" i="4"/>
  <c r="X40" i="4"/>
  <c r="BA5" i="13"/>
  <c r="BB5" i="13" s="1"/>
  <c r="BA9" i="13"/>
  <c r="BA13" i="13"/>
  <c r="BA17" i="13"/>
  <c r="BB17" i="13" s="1"/>
  <c r="BC17" i="13" s="1"/>
  <c r="BA25" i="13"/>
  <c r="BA33" i="13"/>
  <c r="BC33" i="13" s="1"/>
  <c r="BA6" i="13"/>
  <c r="BB6" i="13" s="1"/>
  <c r="BC6" i="13" s="1"/>
  <c r="BA10" i="13"/>
  <c r="BA14" i="13"/>
  <c r="BA18" i="13"/>
  <c r="BA22" i="13"/>
  <c r="BA26" i="13"/>
  <c r="BA30" i="13"/>
  <c r="BC30" i="13" s="1"/>
  <c r="BA34" i="13"/>
  <c r="BC34" i="13" s="1"/>
  <c r="BA38" i="13"/>
  <c r="BC38" i="13" s="1"/>
  <c r="BA7" i="13"/>
  <c r="BB7" i="13" s="1"/>
  <c r="BC7" i="13" s="1"/>
  <c r="BA11" i="13"/>
  <c r="BA15" i="13"/>
  <c r="BA19" i="13"/>
  <c r="BA23" i="13"/>
  <c r="BB23" i="13" s="1"/>
  <c r="BC23" i="13" s="1"/>
  <c r="BA27" i="13"/>
  <c r="BA31" i="13"/>
  <c r="BC31" i="13" s="1"/>
  <c r="BA35" i="13"/>
  <c r="BC35" i="13" s="1"/>
  <c r="BA39" i="13"/>
  <c r="BC39" i="13" s="1"/>
  <c r="BA21" i="13"/>
  <c r="BA29" i="13"/>
  <c r="BC29" i="13" s="1"/>
  <c r="BA37" i="13"/>
  <c r="BC37" i="13" s="1"/>
  <c r="BA8" i="13"/>
  <c r="BB8" i="13" s="1"/>
  <c r="BC8" i="13" s="1"/>
  <c r="BA12" i="13"/>
  <c r="BA16" i="13"/>
  <c r="BA20" i="13"/>
  <c r="BB20" i="13" s="1"/>
  <c r="BC20" i="13" s="1"/>
  <c r="BA24" i="13"/>
  <c r="BB24" i="13" s="1"/>
  <c r="BC24" i="13" s="1"/>
  <c r="BA28" i="13"/>
  <c r="BA32" i="13"/>
  <c r="BC32" i="13" s="1"/>
  <c r="BA36" i="13"/>
  <c r="BC36" i="13" s="1"/>
  <c r="BB10" i="13"/>
  <c r="BC10" i="13" s="1"/>
  <c r="BD40" i="13"/>
  <c r="BD39" i="13"/>
  <c r="BD38" i="13"/>
  <c r="BD37" i="13"/>
  <c r="BD36" i="13"/>
  <c r="BD35" i="13"/>
  <c r="BD34" i="13"/>
  <c r="BD33" i="13"/>
  <c r="BD32" i="13"/>
  <c r="BD31" i="13"/>
  <c r="BD30" i="13"/>
  <c r="BD29" i="13"/>
  <c r="BD28" i="13"/>
  <c r="BD27" i="13"/>
  <c r="BD26" i="13"/>
  <c r="BD25" i="13"/>
  <c r="BD24" i="13"/>
  <c r="BD23" i="13"/>
  <c r="BD22" i="13"/>
  <c r="BD21" i="13"/>
  <c r="BD20" i="13"/>
  <c r="BD19" i="13"/>
  <c r="BD18" i="13"/>
  <c r="BD17" i="13"/>
  <c r="BD16" i="13"/>
  <c r="BD15" i="13"/>
  <c r="BD14" i="13"/>
  <c r="BD13" i="13"/>
  <c r="BD12" i="13"/>
  <c r="BD11" i="13"/>
  <c r="BD10" i="13"/>
  <c r="BD9" i="13"/>
  <c r="BD8" i="13"/>
  <c r="BD7" i="13"/>
  <c r="BD6" i="13"/>
  <c r="BD5" i="13"/>
  <c r="BE5" i="13" s="1"/>
  <c r="BF5" i="13" s="1"/>
  <c r="BC5" i="13"/>
  <c r="BB9" i="13"/>
  <c r="BC9" i="13" s="1"/>
  <c r="BB11" i="13"/>
  <c r="BC11" i="13" s="1"/>
  <c r="BB12" i="13"/>
  <c r="BC12" i="13" s="1"/>
  <c r="BB13" i="13"/>
  <c r="BC13" i="13" s="1"/>
  <c r="BB14" i="13"/>
  <c r="BC14" i="13" s="1"/>
  <c r="BB15" i="13"/>
  <c r="BC15" i="13" s="1"/>
  <c r="BB16" i="13"/>
  <c r="BC16" i="13" s="1"/>
  <c r="BB18" i="13"/>
  <c r="BC18" i="13" s="1"/>
  <c r="BB19" i="13"/>
  <c r="BC19" i="13" s="1"/>
  <c r="BB21" i="13"/>
  <c r="BC21" i="13" s="1"/>
  <c r="BB22" i="13"/>
  <c r="BC22" i="13" s="1"/>
  <c r="BB25" i="13"/>
  <c r="BC25" i="13" s="1"/>
  <c r="BB26" i="13"/>
  <c r="BC26" i="13" s="1"/>
  <c r="BB27" i="13"/>
  <c r="BC27" i="13" s="1"/>
  <c r="BB28" i="13"/>
  <c r="BC28" i="13" s="1"/>
  <c r="BB29" i="13"/>
  <c r="BB30" i="13"/>
  <c r="BB31" i="13"/>
  <c r="BB32" i="13"/>
  <c r="BB33" i="13"/>
  <c r="BB34" i="13"/>
  <c r="BB35" i="13"/>
  <c r="BB37" i="13"/>
  <c r="BB38" i="13"/>
  <c r="BB40" i="13"/>
  <c r="W5" i="13"/>
  <c r="X5" i="13" s="1"/>
  <c r="W9" i="13"/>
  <c r="W13" i="13"/>
  <c r="W17" i="13"/>
  <c r="X17" i="13" s="1"/>
  <c r="Y17" i="13" s="1"/>
  <c r="W21" i="13"/>
  <c r="W25" i="13"/>
  <c r="W29" i="13"/>
  <c r="Y29" i="13" s="1"/>
  <c r="W33" i="13"/>
  <c r="Y33" i="13" s="1"/>
  <c r="W37" i="13"/>
  <c r="W6" i="13"/>
  <c r="W10" i="13"/>
  <c r="W14" i="13"/>
  <c r="X14" i="13" s="1"/>
  <c r="Y14" i="13" s="1"/>
  <c r="W18" i="13"/>
  <c r="W22" i="13"/>
  <c r="W26" i="13"/>
  <c r="W30" i="13"/>
  <c r="Y30" i="13" s="1"/>
  <c r="W34" i="13"/>
  <c r="W38" i="13"/>
  <c r="W7" i="13"/>
  <c r="W11" i="13"/>
  <c r="X11" i="13" s="1"/>
  <c r="Y11" i="13" s="1"/>
  <c r="W15" i="13"/>
  <c r="W19" i="13"/>
  <c r="W23" i="13"/>
  <c r="W27" i="13"/>
  <c r="X27" i="13" s="1"/>
  <c r="Y27" i="13" s="1"/>
  <c r="W31" i="13"/>
  <c r="Y31" i="13" s="1"/>
  <c r="W35" i="13"/>
  <c r="X35" i="13" s="1"/>
  <c r="W39" i="13"/>
  <c r="W8" i="13"/>
  <c r="X8" i="13" s="1"/>
  <c r="W12" i="13"/>
  <c r="W16" i="13"/>
  <c r="W20" i="13"/>
  <c r="W24" i="13"/>
  <c r="X24" i="13" s="1"/>
  <c r="Y24" i="13" s="1"/>
  <c r="W28" i="13"/>
  <c r="W32" i="13"/>
  <c r="Y32" i="13" s="1"/>
  <c r="W36" i="13"/>
  <c r="Y19" i="13"/>
  <c r="Y5" i="13"/>
  <c r="Y35" i="13"/>
  <c r="Y39" i="13"/>
  <c r="X39" i="13"/>
  <c r="Z40" i="13"/>
  <c r="Z39" i="13"/>
  <c r="Z38" i="13"/>
  <c r="Z37" i="13"/>
  <c r="Z36" i="13"/>
  <c r="Z35" i="13"/>
  <c r="Z34" i="13"/>
  <c r="Z33" i="13"/>
  <c r="Z32" i="13"/>
  <c r="Z31" i="13"/>
  <c r="Z30" i="13"/>
  <c r="Z29" i="13"/>
  <c r="Z28" i="13"/>
  <c r="Z27" i="13"/>
  <c r="Z26" i="13"/>
  <c r="Z25" i="13"/>
  <c r="Z24" i="13"/>
  <c r="Z23" i="13"/>
  <c r="Z22" i="13"/>
  <c r="Z21" i="13"/>
  <c r="Z20" i="13"/>
  <c r="Z19" i="13"/>
  <c r="Z18" i="13"/>
  <c r="Z17" i="13"/>
  <c r="Z16" i="13"/>
  <c r="Z15" i="13"/>
  <c r="Z14" i="13"/>
  <c r="Z13" i="13"/>
  <c r="Z12" i="13"/>
  <c r="Z11" i="13"/>
  <c r="Z10" i="13"/>
  <c r="Z9" i="13"/>
  <c r="Z8" i="13"/>
  <c r="Z7" i="13"/>
  <c r="Z6" i="13"/>
  <c r="Z5" i="13"/>
  <c r="AA5" i="13" s="1"/>
  <c r="AB5" i="13" s="1"/>
  <c r="X6" i="13"/>
  <c r="Y6" i="13" s="1"/>
  <c r="X12" i="13"/>
  <c r="Y12" i="13" s="1"/>
  <c r="X23" i="13"/>
  <c r="Y23" i="13" s="1"/>
  <c r="X33" i="13"/>
  <c r="X37" i="13"/>
  <c r="Y37" i="13"/>
  <c r="X7" i="13"/>
  <c r="Y7" i="13" s="1"/>
  <c r="X9" i="13"/>
  <c r="Y9" i="13" s="1"/>
  <c r="X10" i="13"/>
  <c r="Y10" i="13" s="1"/>
  <c r="X13" i="13"/>
  <c r="Y13" i="13" s="1"/>
  <c r="X15" i="13"/>
  <c r="Y15" i="13" s="1"/>
  <c r="X16" i="13"/>
  <c r="Y16" i="13" s="1"/>
  <c r="X18" i="13"/>
  <c r="Y18" i="13" s="1"/>
  <c r="X19" i="13"/>
  <c r="X20" i="13"/>
  <c r="Y20" i="13" s="1"/>
  <c r="X21" i="13"/>
  <c r="Y21" i="13" s="1"/>
  <c r="X22" i="13"/>
  <c r="Y22" i="13" s="1"/>
  <c r="X25" i="13"/>
  <c r="Y25" i="13" s="1"/>
  <c r="X26" i="13"/>
  <c r="Y26" i="13" s="1"/>
  <c r="X28" i="13"/>
  <c r="Y28" i="13" s="1"/>
  <c r="X29" i="13"/>
  <c r="X31" i="13"/>
  <c r="Y34" i="13"/>
  <c r="X34" i="13"/>
  <c r="X36" i="13"/>
  <c r="Y36" i="13"/>
  <c r="X38" i="13"/>
  <c r="Y38" i="13"/>
  <c r="X40" i="13"/>
  <c r="Y40" i="13"/>
  <c r="DO5" i="4" l="1"/>
  <c r="DQ5" i="4" s="1"/>
  <c r="DK11" i="4"/>
  <c r="DK14" i="4"/>
  <c r="DK24" i="4"/>
  <c r="DK21" i="4"/>
  <c r="DK26" i="4"/>
  <c r="DK12" i="4"/>
  <c r="DK28" i="4"/>
  <c r="DK27" i="4"/>
  <c r="DK20" i="4"/>
  <c r="DJ17" i="4"/>
  <c r="DK17" i="4" s="1"/>
  <c r="DK29" i="4"/>
  <c r="DJ38" i="4"/>
  <c r="DJ19" i="4"/>
  <c r="DK19" i="4" s="1"/>
  <c r="DK13" i="4"/>
  <c r="DJ10" i="4"/>
  <c r="DK10" i="4" s="1"/>
  <c r="DJ32" i="4"/>
  <c r="DJ22" i="4"/>
  <c r="DK22" i="4" s="1"/>
  <c r="DJ7" i="4"/>
  <c r="DK7" i="4" s="1"/>
  <c r="DJ39" i="4"/>
  <c r="DJ31" i="4"/>
  <c r="DJ23" i="4"/>
  <c r="DK23" i="4" s="1"/>
  <c r="DJ15" i="4"/>
  <c r="DJ34" i="4"/>
  <c r="DJ18" i="4"/>
  <c r="DK18" i="4" s="1"/>
  <c r="DM7" i="4"/>
  <c r="DO7" i="4" s="1"/>
  <c r="DQ7" i="4" s="1"/>
  <c r="DM15" i="4"/>
  <c r="DN15" i="4" s="1"/>
  <c r="DM19" i="4"/>
  <c r="DO19" i="4" s="1"/>
  <c r="DQ19" i="4" s="1"/>
  <c r="DN19" i="4"/>
  <c r="DM31" i="4"/>
  <c r="DN31" i="4"/>
  <c r="DM35" i="4"/>
  <c r="DO35" i="4" s="1"/>
  <c r="DQ35" i="4" s="1"/>
  <c r="DN35" i="4"/>
  <c r="DN8" i="4"/>
  <c r="DM8" i="4"/>
  <c r="DM12" i="4"/>
  <c r="DO12" i="4" s="1"/>
  <c r="DQ12" i="4" s="1"/>
  <c r="DM20" i="4"/>
  <c r="DO20" i="4" s="1"/>
  <c r="DQ20" i="4" s="1"/>
  <c r="DM32" i="4"/>
  <c r="DO32" i="4" s="1"/>
  <c r="DQ32" i="4" s="1"/>
  <c r="DN32" i="4"/>
  <c r="DM36" i="4"/>
  <c r="DO36" i="4" s="1"/>
  <c r="DQ36" i="4" s="1"/>
  <c r="DN36" i="4"/>
  <c r="DM9" i="4"/>
  <c r="DO9" i="4" s="1"/>
  <c r="DQ9" i="4" s="1"/>
  <c r="DN13" i="4"/>
  <c r="DM13" i="4"/>
  <c r="DM17" i="4"/>
  <c r="DO17" i="4" s="1"/>
  <c r="DQ17" i="4" s="1"/>
  <c r="DN17" i="4"/>
  <c r="DN21" i="4"/>
  <c r="DM21" i="4"/>
  <c r="DO21" i="4" s="1"/>
  <c r="DQ21" i="4" s="1"/>
  <c r="DM25" i="4"/>
  <c r="DO25" i="4" s="1"/>
  <c r="DQ25" i="4" s="1"/>
  <c r="DN25" i="4"/>
  <c r="DM29" i="4"/>
  <c r="DO29" i="4" s="1"/>
  <c r="DQ29" i="4" s="1"/>
  <c r="DM33" i="4"/>
  <c r="DO33" i="4" s="1"/>
  <c r="DQ33" i="4" s="1"/>
  <c r="DN33" i="4"/>
  <c r="DM37" i="4"/>
  <c r="DN37" i="4"/>
  <c r="DO8" i="4"/>
  <c r="DQ8" i="4" s="1"/>
  <c r="DO30" i="4"/>
  <c r="DQ30" i="4" s="1"/>
  <c r="DO13" i="4"/>
  <c r="DQ13" i="4" s="1"/>
  <c r="DN11" i="4"/>
  <c r="DM11" i="4"/>
  <c r="DO11" i="4" s="1"/>
  <c r="DQ11" i="4" s="1"/>
  <c r="DM23" i="4"/>
  <c r="DN23" i="4"/>
  <c r="DM27" i="4"/>
  <c r="DN27" i="4" s="1"/>
  <c r="DM39" i="4"/>
  <c r="DN39" i="4"/>
  <c r="DO37" i="4"/>
  <c r="DQ37" i="4" s="1"/>
  <c r="DM16" i="4"/>
  <c r="DO16" i="4" s="1"/>
  <c r="DQ16" i="4" s="1"/>
  <c r="DM24" i="4"/>
  <c r="DO24" i="4" s="1"/>
  <c r="DQ24" i="4" s="1"/>
  <c r="DM28" i="4"/>
  <c r="DO28" i="4" s="1"/>
  <c r="DQ28" i="4" s="1"/>
  <c r="DM40" i="4"/>
  <c r="DO40" i="4" s="1"/>
  <c r="DQ40" i="4" s="1"/>
  <c r="DN40" i="4"/>
  <c r="DO39" i="4"/>
  <c r="DQ39" i="4" s="1"/>
  <c r="DO31" i="4"/>
  <c r="DQ31" i="4" s="1"/>
  <c r="DO27" i="4"/>
  <c r="DQ27" i="4" s="1"/>
  <c r="DN6" i="4"/>
  <c r="DM6" i="4"/>
  <c r="DO6" i="4" s="1"/>
  <c r="DQ6" i="4" s="1"/>
  <c r="DM10" i="4"/>
  <c r="DN10" i="4" s="1"/>
  <c r="DM14" i="4"/>
  <c r="DO14" i="4" s="1"/>
  <c r="DQ14" i="4" s="1"/>
  <c r="DM18" i="4"/>
  <c r="DO18" i="4" s="1"/>
  <c r="DQ18" i="4" s="1"/>
  <c r="DN18" i="4"/>
  <c r="DM22" i="4"/>
  <c r="DN22" i="4" s="1"/>
  <c r="DM26" i="4"/>
  <c r="DO26" i="4" s="1"/>
  <c r="DQ26" i="4" s="1"/>
  <c r="DN26" i="4"/>
  <c r="DN30" i="4"/>
  <c r="DM30" i="4"/>
  <c r="DM34" i="4"/>
  <c r="DN34" i="4"/>
  <c r="DM38" i="4"/>
  <c r="DO38" i="4" s="1"/>
  <c r="DQ38" i="4" s="1"/>
  <c r="DN38" i="4"/>
  <c r="CI7" i="4"/>
  <c r="CK7" i="4" s="1"/>
  <c r="CM7" i="4" s="1"/>
  <c r="CI11" i="4"/>
  <c r="CJ11" i="4" s="1"/>
  <c r="CK11" i="4" s="1"/>
  <c r="CM11" i="4" s="1"/>
  <c r="CI15" i="4"/>
  <c r="CI19" i="4"/>
  <c r="CI23" i="4"/>
  <c r="CJ23" i="4"/>
  <c r="CK23" i="4" s="1"/>
  <c r="CM23" i="4" s="1"/>
  <c r="CI27" i="4"/>
  <c r="CJ27" i="4" s="1"/>
  <c r="CK27" i="4" s="1"/>
  <c r="CM27" i="4" s="1"/>
  <c r="CI31" i="4"/>
  <c r="CK31" i="4" s="1"/>
  <c r="CM31" i="4" s="1"/>
  <c r="CJ31" i="4"/>
  <c r="CI35" i="4"/>
  <c r="CJ35" i="4"/>
  <c r="CI39" i="4"/>
  <c r="CJ39" i="4"/>
  <c r="CI8" i="4"/>
  <c r="CI16" i="4"/>
  <c r="CJ16" i="4"/>
  <c r="CK16" i="4" s="1"/>
  <c r="CM16" i="4" s="1"/>
  <c r="CI24" i="4"/>
  <c r="CI28" i="4"/>
  <c r="CJ28" i="4" s="1"/>
  <c r="CI36" i="4"/>
  <c r="CJ36" i="4"/>
  <c r="CI40" i="4"/>
  <c r="CK40" i="4" s="1"/>
  <c r="CM40" i="4" s="1"/>
  <c r="CJ40" i="4"/>
  <c r="CK36" i="4"/>
  <c r="CM36" i="4" s="1"/>
  <c r="CI9" i="4"/>
  <c r="CJ13" i="4"/>
  <c r="CK13" i="4" s="1"/>
  <c r="CM13" i="4" s="1"/>
  <c r="CI13" i="4"/>
  <c r="CI17" i="4"/>
  <c r="CJ17" i="4" s="1"/>
  <c r="CI21" i="4"/>
  <c r="CJ21" i="4" s="1"/>
  <c r="CI25" i="4"/>
  <c r="CI29" i="4"/>
  <c r="CI33" i="4"/>
  <c r="CK33" i="4" s="1"/>
  <c r="CM33" i="4" s="1"/>
  <c r="CJ33" i="4"/>
  <c r="CI37" i="4"/>
  <c r="CK37" i="4" s="1"/>
  <c r="CM37" i="4" s="1"/>
  <c r="CJ37" i="4"/>
  <c r="CI12" i="4"/>
  <c r="CI20" i="4"/>
  <c r="CI32" i="4"/>
  <c r="CK32" i="4" s="1"/>
  <c r="CM32" i="4" s="1"/>
  <c r="CJ32" i="4"/>
  <c r="CK39" i="4"/>
  <c r="CM39" i="4" s="1"/>
  <c r="CK35" i="4"/>
  <c r="CM35" i="4" s="1"/>
  <c r="CI6" i="4"/>
  <c r="CJ6" i="4" s="1"/>
  <c r="CI10" i="4"/>
  <c r="CI14" i="4"/>
  <c r="CJ14" i="4" s="1"/>
  <c r="CI18" i="4"/>
  <c r="CJ18" i="4" s="1"/>
  <c r="CI22" i="4"/>
  <c r="CJ22" i="4"/>
  <c r="CI26" i="4"/>
  <c r="CJ26" i="4"/>
  <c r="CJ30" i="4"/>
  <c r="CI30" i="4"/>
  <c r="CK30" i="4" s="1"/>
  <c r="CM30" i="4" s="1"/>
  <c r="CI34" i="4"/>
  <c r="CK34" i="4" s="1"/>
  <c r="CM34" i="4" s="1"/>
  <c r="CJ34" i="4"/>
  <c r="CJ38" i="4"/>
  <c r="CI38" i="4"/>
  <c r="CK38" i="4" s="1"/>
  <c r="CM38" i="4" s="1"/>
  <c r="CK5" i="4"/>
  <c r="CM5" i="4" s="1"/>
  <c r="X38" i="4"/>
  <c r="X34" i="4"/>
  <c r="X35" i="4"/>
  <c r="X37" i="4"/>
  <c r="X32" i="4"/>
  <c r="BC23" i="4"/>
  <c r="BC26" i="4"/>
  <c r="BC16" i="4"/>
  <c r="BC25" i="4"/>
  <c r="BC9" i="4"/>
  <c r="BB8" i="4"/>
  <c r="BC8" i="4" s="1"/>
  <c r="BC28" i="4"/>
  <c r="BC12" i="4"/>
  <c r="BC17" i="4"/>
  <c r="BC27" i="4"/>
  <c r="BC11" i="4"/>
  <c r="BC14" i="4"/>
  <c r="BC29" i="4"/>
  <c r="BB24" i="4"/>
  <c r="BC24" i="4" s="1"/>
  <c r="BB23" i="4"/>
  <c r="BB10" i="4"/>
  <c r="BC10" i="4" s="1"/>
  <c r="BB7" i="4"/>
  <c r="BB39" i="4"/>
  <c r="BG39" i="4" s="1"/>
  <c r="BI39" i="4" s="1"/>
  <c r="BB26" i="4"/>
  <c r="BB21" i="4"/>
  <c r="BC21" i="4" s="1"/>
  <c r="BB13" i="4"/>
  <c r="BB36" i="4"/>
  <c r="BB6" i="4"/>
  <c r="BC6" i="4" s="1"/>
  <c r="BB35" i="4"/>
  <c r="BB31" i="4"/>
  <c r="BB19" i="4"/>
  <c r="BC19" i="4" s="1"/>
  <c r="BB15" i="4"/>
  <c r="BB20" i="4"/>
  <c r="BC20" i="4" s="1"/>
  <c r="BB38" i="4"/>
  <c r="BB34" i="4"/>
  <c r="BB22" i="4"/>
  <c r="BC22" i="4" s="1"/>
  <c r="BB18" i="4"/>
  <c r="BC18" i="4" s="1"/>
  <c r="BE14" i="4"/>
  <c r="BG14" i="4" s="1"/>
  <c r="BI14" i="4" s="1"/>
  <c r="BF14" i="4"/>
  <c r="BE26" i="4"/>
  <c r="BF26" i="4"/>
  <c r="BE38" i="4"/>
  <c r="BF38" i="4"/>
  <c r="BG26" i="4"/>
  <c r="BI26" i="4" s="1"/>
  <c r="BE7" i="4"/>
  <c r="BF7" i="4" s="1"/>
  <c r="BE11" i="4"/>
  <c r="BG11" i="4" s="1"/>
  <c r="BI11" i="4" s="1"/>
  <c r="BE15" i="4"/>
  <c r="BF15" i="4" s="1"/>
  <c r="BE19" i="4"/>
  <c r="BF19" i="4"/>
  <c r="BE23" i="4"/>
  <c r="BF23" i="4" s="1"/>
  <c r="BE27" i="4"/>
  <c r="BG27" i="4" s="1"/>
  <c r="BI27" i="4" s="1"/>
  <c r="BF27" i="4"/>
  <c r="BE31" i="4"/>
  <c r="BF31" i="4"/>
  <c r="BE35" i="4"/>
  <c r="BF35" i="4"/>
  <c r="BE39" i="4"/>
  <c r="BF39" i="4"/>
  <c r="BE9" i="4"/>
  <c r="BF9" i="4" s="1"/>
  <c r="BE13" i="4"/>
  <c r="BF13" i="4"/>
  <c r="BE17" i="4"/>
  <c r="BG17" i="4" s="1"/>
  <c r="BI17" i="4" s="1"/>
  <c r="BE21" i="4"/>
  <c r="BF21" i="4"/>
  <c r="BE25" i="4"/>
  <c r="BF25" i="4" s="1"/>
  <c r="BE29" i="4"/>
  <c r="BG29" i="4" s="1"/>
  <c r="BI29" i="4" s="1"/>
  <c r="BF33" i="4"/>
  <c r="BE33" i="4"/>
  <c r="BG33" i="4" s="1"/>
  <c r="BI33" i="4" s="1"/>
  <c r="BE37" i="4"/>
  <c r="BF37" i="4"/>
  <c r="BG19" i="4"/>
  <c r="BI19" i="4" s="1"/>
  <c r="BE6" i="4"/>
  <c r="BG6" i="4" s="1"/>
  <c r="BI6" i="4" s="1"/>
  <c r="BE10" i="4"/>
  <c r="BF10" i="4"/>
  <c r="BE18" i="4"/>
  <c r="BF18" i="4" s="1"/>
  <c r="BE22" i="4"/>
  <c r="BG22" i="4" s="1"/>
  <c r="BI22" i="4" s="1"/>
  <c r="BE30" i="4"/>
  <c r="BF30" i="4"/>
  <c r="BF34" i="4"/>
  <c r="BE34" i="4"/>
  <c r="BG30" i="4"/>
  <c r="BI30" i="4" s="1"/>
  <c r="BG37" i="4"/>
  <c r="BI37" i="4" s="1"/>
  <c r="BG9" i="4"/>
  <c r="BI9" i="4" s="1"/>
  <c r="BE8" i="4"/>
  <c r="BE12" i="4"/>
  <c r="BG12" i="4" s="1"/>
  <c r="BI12" i="4" s="1"/>
  <c r="BE16" i="4"/>
  <c r="BG16" i="4" s="1"/>
  <c r="BI16" i="4" s="1"/>
  <c r="BE20" i="4"/>
  <c r="BF20" i="4"/>
  <c r="BE24" i="4"/>
  <c r="BE28" i="4"/>
  <c r="BG28" i="4" s="1"/>
  <c r="BI28" i="4" s="1"/>
  <c r="BF28" i="4"/>
  <c r="BF32" i="4"/>
  <c r="BE32" i="4"/>
  <c r="BG32" i="4" s="1"/>
  <c r="BI32" i="4" s="1"/>
  <c r="BE36" i="4"/>
  <c r="BF36" i="4"/>
  <c r="BF40" i="4"/>
  <c r="BE40" i="4"/>
  <c r="BG40" i="4" s="1"/>
  <c r="BI40" i="4" s="1"/>
  <c r="BG5" i="4"/>
  <c r="BI5" i="4" s="1"/>
  <c r="X33" i="4"/>
  <c r="X39" i="4"/>
  <c r="X30" i="4"/>
  <c r="X21" i="4"/>
  <c r="Y21" i="4" s="1"/>
  <c r="X14" i="4"/>
  <c r="Y14" i="4" s="1"/>
  <c r="AC14" i="4" s="1"/>
  <c r="AE14" i="4" s="1"/>
  <c r="AB13" i="4"/>
  <c r="AA13" i="4"/>
  <c r="AB17" i="4"/>
  <c r="AA17" i="4"/>
  <c r="AB25" i="4"/>
  <c r="AA25" i="4"/>
  <c r="AC25" i="4" s="1"/>
  <c r="AE25" i="4" s="1"/>
  <c r="AA33" i="4"/>
  <c r="AB33" i="4"/>
  <c r="AB14" i="4"/>
  <c r="AA14" i="4"/>
  <c r="AB34" i="4"/>
  <c r="AA34" i="4"/>
  <c r="AC33" i="4"/>
  <c r="AE33" i="4" s="1"/>
  <c r="AB7" i="4"/>
  <c r="AA7" i="4"/>
  <c r="AB15" i="4"/>
  <c r="AA15" i="4"/>
  <c r="AC15" i="4" s="1"/>
  <c r="AE15" i="4" s="1"/>
  <c r="AB19" i="4"/>
  <c r="AA19" i="4"/>
  <c r="AB23" i="4"/>
  <c r="AA23" i="4"/>
  <c r="AC23" i="4" s="1"/>
  <c r="AE23" i="4" s="1"/>
  <c r="AB27" i="4"/>
  <c r="AA27" i="4"/>
  <c r="AB31" i="4"/>
  <c r="AA31" i="4"/>
  <c r="AC31" i="4" s="1"/>
  <c r="AE31" i="4" s="1"/>
  <c r="AB35" i="4"/>
  <c r="AA35" i="4"/>
  <c r="AA39" i="4"/>
  <c r="AB39" i="4"/>
  <c r="AC27" i="4"/>
  <c r="AE27" i="4" s="1"/>
  <c r="AC17" i="4"/>
  <c r="AE17" i="4" s="1"/>
  <c r="AC7" i="4"/>
  <c r="AE7" i="4" s="1"/>
  <c r="AC19" i="4"/>
  <c r="AE19" i="4" s="1"/>
  <c r="AC13" i="4"/>
  <c r="AE13" i="4" s="1"/>
  <c r="AB9" i="4"/>
  <c r="AA9" i="4"/>
  <c r="AC9" i="4" s="1"/>
  <c r="AE9" i="4" s="1"/>
  <c r="AB21" i="4"/>
  <c r="AA21" i="4"/>
  <c r="AB29" i="4"/>
  <c r="AA29" i="4"/>
  <c r="AC29" i="4" s="1"/>
  <c r="AE29" i="4" s="1"/>
  <c r="AB37" i="4"/>
  <c r="AA37" i="4"/>
  <c r="AC34" i="4"/>
  <c r="AE34" i="4" s="1"/>
  <c r="AB6" i="4"/>
  <c r="AA6" i="4"/>
  <c r="AC6" i="4" s="1"/>
  <c r="AE6" i="4" s="1"/>
  <c r="AB10" i="4"/>
  <c r="AA10" i="4"/>
  <c r="AC10" i="4" s="1"/>
  <c r="AE10" i="4" s="1"/>
  <c r="AB18" i="4"/>
  <c r="AA18" i="4"/>
  <c r="AC18" i="4" s="1"/>
  <c r="AE18" i="4" s="1"/>
  <c r="AB22" i="4"/>
  <c r="AA22" i="4"/>
  <c r="AC22" i="4" s="1"/>
  <c r="AE22" i="4" s="1"/>
  <c r="AB26" i="4"/>
  <c r="AA26" i="4"/>
  <c r="AC26" i="4" s="1"/>
  <c r="AE26" i="4" s="1"/>
  <c r="AB30" i="4"/>
  <c r="AA30" i="4"/>
  <c r="AA38" i="4"/>
  <c r="AC38" i="4" s="1"/>
  <c r="AE38" i="4" s="1"/>
  <c r="AB38" i="4"/>
  <c r="AB11" i="4"/>
  <c r="AA11" i="4"/>
  <c r="AC11" i="4" s="1"/>
  <c r="AE11" i="4" s="1"/>
  <c r="AC24" i="4"/>
  <c r="AE24" i="4" s="1"/>
  <c r="AC5" i="4"/>
  <c r="AE5" i="4" s="1"/>
  <c r="AB8" i="4"/>
  <c r="AA8" i="4"/>
  <c r="AC8" i="4" s="1"/>
  <c r="AE8" i="4" s="1"/>
  <c r="AB12" i="4"/>
  <c r="AA12" i="4"/>
  <c r="AC12" i="4" s="1"/>
  <c r="AE12" i="4" s="1"/>
  <c r="AB16" i="4"/>
  <c r="AA16" i="4"/>
  <c r="AC16" i="4" s="1"/>
  <c r="AE16" i="4" s="1"/>
  <c r="AB20" i="4"/>
  <c r="AA20" i="4"/>
  <c r="AC20" i="4" s="1"/>
  <c r="AE20" i="4" s="1"/>
  <c r="AA24" i="4"/>
  <c r="AB24" i="4"/>
  <c r="AA28" i="4"/>
  <c r="AC28" i="4" s="1"/>
  <c r="AE28" i="4" s="1"/>
  <c r="AB28" i="4"/>
  <c r="AA32" i="4"/>
  <c r="AC32" i="4" s="1"/>
  <c r="AE32" i="4" s="1"/>
  <c r="AB32" i="4"/>
  <c r="AA36" i="4"/>
  <c r="AC36" i="4" s="1"/>
  <c r="AE36" i="4" s="1"/>
  <c r="AB36" i="4"/>
  <c r="AB40" i="4"/>
  <c r="AA40" i="4"/>
  <c r="AC40" i="4" s="1"/>
  <c r="AE40" i="4" s="1"/>
  <c r="BG5" i="13"/>
  <c r="BI5" i="13" s="1"/>
  <c r="BB36" i="13"/>
  <c r="BB39" i="13"/>
  <c r="BE7" i="13"/>
  <c r="BG7" i="13" s="1"/>
  <c r="BI7" i="13" s="1"/>
  <c r="BE11" i="13"/>
  <c r="BF11" i="13" s="1"/>
  <c r="BE15" i="13"/>
  <c r="BG15" i="13" s="1"/>
  <c r="BI15" i="13" s="1"/>
  <c r="BF15" i="13"/>
  <c r="BE23" i="13"/>
  <c r="BG23" i="13" s="1"/>
  <c r="BI23" i="13" s="1"/>
  <c r="BF23" i="13"/>
  <c r="BE31" i="13"/>
  <c r="BG31" i="13" s="1"/>
  <c r="BI31" i="13" s="1"/>
  <c r="BF31" i="13"/>
  <c r="BF39" i="13"/>
  <c r="BE39" i="13"/>
  <c r="BE12" i="13"/>
  <c r="BF12" i="13"/>
  <c r="BE16" i="13"/>
  <c r="BG16" i="13" s="1"/>
  <c r="BI16" i="13" s="1"/>
  <c r="BE20" i="13"/>
  <c r="BF20" i="13"/>
  <c r="BE24" i="13"/>
  <c r="BG24" i="13" s="1"/>
  <c r="BI24" i="13" s="1"/>
  <c r="BF24" i="13"/>
  <c r="BE28" i="13"/>
  <c r="BF28" i="13"/>
  <c r="BF32" i="13"/>
  <c r="BE32" i="13"/>
  <c r="BG32" i="13" s="1"/>
  <c r="BI32" i="13" s="1"/>
  <c r="BF36" i="13"/>
  <c r="BE36" i="13"/>
  <c r="BG36" i="13" s="1"/>
  <c r="BI36" i="13" s="1"/>
  <c r="BF40" i="13"/>
  <c r="BE40" i="13"/>
  <c r="BG40" i="13" s="1"/>
  <c r="BI40" i="13" s="1"/>
  <c r="BG28" i="13"/>
  <c r="BI28" i="13" s="1"/>
  <c r="BG20" i="13"/>
  <c r="BI20" i="13" s="1"/>
  <c r="BG12" i="13"/>
  <c r="BI12" i="13" s="1"/>
  <c r="BF9" i="13"/>
  <c r="BE9" i="13"/>
  <c r="BG9" i="13" s="1"/>
  <c r="BI9" i="13" s="1"/>
  <c r="BE13" i="13"/>
  <c r="BG13" i="13" s="1"/>
  <c r="BI13" i="13" s="1"/>
  <c r="BF13" i="13"/>
  <c r="BE17" i="13"/>
  <c r="BG17" i="13" s="1"/>
  <c r="BI17" i="13" s="1"/>
  <c r="BE21" i="13"/>
  <c r="BG21" i="13" s="1"/>
  <c r="BI21" i="13" s="1"/>
  <c r="BF21" i="13"/>
  <c r="BF25" i="13"/>
  <c r="BE25" i="13"/>
  <c r="BG25" i="13" s="1"/>
  <c r="BI25" i="13" s="1"/>
  <c r="BE29" i="13"/>
  <c r="BG29" i="13" s="1"/>
  <c r="BI29" i="13" s="1"/>
  <c r="BF29" i="13"/>
  <c r="BE33" i="13"/>
  <c r="BG33" i="13" s="1"/>
  <c r="BI33" i="13" s="1"/>
  <c r="BF33" i="13"/>
  <c r="BE37" i="13"/>
  <c r="BG37" i="13" s="1"/>
  <c r="BI37" i="13" s="1"/>
  <c r="BF37" i="13"/>
  <c r="BF19" i="13"/>
  <c r="BE19" i="13"/>
  <c r="BG19" i="13" s="1"/>
  <c r="BI19" i="13" s="1"/>
  <c r="BE27" i="13"/>
  <c r="BF27" i="13" s="1"/>
  <c r="BE35" i="13"/>
  <c r="BG35" i="13" s="1"/>
  <c r="BI35" i="13" s="1"/>
  <c r="BF35" i="13"/>
  <c r="BE8" i="13"/>
  <c r="BG8" i="13" s="1"/>
  <c r="BI8" i="13" s="1"/>
  <c r="BG39" i="13"/>
  <c r="BI39" i="13" s="1"/>
  <c r="BF6" i="13"/>
  <c r="BE6" i="13"/>
  <c r="BG6" i="13" s="1"/>
  <c r="BI6" i="13" s="1"/>
  <c r="BE10" i="13"/>
  <c r="BG10" i="13" s="1"/>
  <c r="BI10" i="13" s="1"/>
  <c r="BE14" i="13"/>
  <c r="BG14" i="13" s="1"/>
  <c r="BI14" i="13" s="1"/>
  <c r="BE18" i="13"/>
  <c r="BG18" i="13" s="1"/>
  <c r="BI18" i="13" s="1"/>
  <c r="BF18" i="13"/>
  <c r="BF22" i="13"/>
  <c r="BE22" i="13"/>
  <c r="BG22" i="13" s="1"/>
  <c r="BI22" i="13" s="1"/>
  <c r="BE26" i="13"/>
  <c r="BG26" i="13" s="1"/>
  <c r="BI26" i="13" s="1"/>
  <c r="BF26" i="13"/>
  <c r="BF30" i="13"/>
  <c r="BE30" i="13"/>
  <c r="BG30" i="13" s="1"/>
  <c r="BI30" i="13" s="1"/>
  <c r="BF34" i="13"/>
  <c r="BE34" i="13"/>
  <c r="BG34" i="13" s="1"/>
  <c r="BI34" i="13" s="1"/>
  <c r="BE38" i="13"/>
  <c r="BG38" i="13" s="1"/>
  <c r="BI38" i="13" s="1"/>
  <c r="BF38" i="13"/>
  <c r="X32" i="13"/>
  <c r="Y8" i="13"/>
  <c r="X30" i="13"/>
  <c r="AC27" i="13"/>
  <c r="AE27" i="13" s="1"/>
  <c r="AC18" i="13"/>
  <c r="AE18" i="13" s="1"/>
  <c r="AA7" i="13"/>
  <c r="AC7" i="13" s="1"/>
  <c r="AE7" i="13" s="1"/>
  <c r="AB7" i="13"/>
  <c r="AA15" i="13"/>
  <c r="AB15" i="13"/>
  <c r="AA19" i="13"/>
  <c r="AB19" i="13"/>
  <c r="AA27" i="13"/>
  <c r="AB27" i="13"/>
  <c r="AA31" i="13"/>
  <c r="AC31" i="13" s="1"/>
  <c r="AE31" i="13" s="1"/>
  <c r="AB31" i="13"/>
  <c r="AB35" i="13"/>
  <c r="AA35" i="13"/>
  <c r="AC35" i="13" s="1"/>
  <c r="AE35" i="13" s="1"/>
  <c r="AC34" i="13"/>
  <c r="AE34" i="13" s="1"/>
  <c r="AC21" i="13"/>
  <c r="AE21" i="13" s="1"/>
  <c r="AC8" i="13"/>
  <c r="AE8" i="13" s="1"/>
  <c r="AA8" i="13"/>
  <c r="AB8" i="13"/>
  <c r="AA12" i="13"/>
  <c r="AC12" i="13" s="1"/>
  <c r="AE12" i="13" s="1"/>
  <c r="AB12" i="13"/>
  <c r="AA20" i="13"/>
  <c r="AB20" i="13"/>
  <c r="AA24" i="13"/>
  <c r="AC24" i="13" s="1"/>
  <c r="AE24" i="13" s="1"/>
  <c r="AB24" i="13"/>
  <c r="AA28" i="13"/>
  <c r="AB28" i="13"/>
  <c r="AB32" i="13"/>
  <c r="AA32" i="13"/>
  <c r="AB36" i="13"/>
  <c r="AA36" i="13"/>
  <c r="AC36" i="13" s="1"/>
  <c r="AE36" i="13" s="1"/>
  <c r="AB40" i="13"/>
  <c r="AA40" i="13"/>
  <c r="AC38" i="13"/>
  <c r="AE38" i="13" s="1"/>
  <c r="AC29" i="13"/>
  <c r="AE29" i="13" s="1"/>
  <c r="AC20" i="13"/>
  <c r="AE20" i="13" s="1"/>
  <c r="AC11" i="13"/>
  <c r="AE11" i="13" s="1"/>
  <c r="AA9" i="13"/>
  <c r="AC9" i="13" s="1"/>
  <c r="AE9" i="13" s="1"/>
  <c r="AB9" i="13"/>
  <c r="AA13" i="13"/>
  <c r="AB13" i="13"/>
  <c r="AA17" i="13"/>
  <c r="AC17" i="13" s="1"/>
  <c r="AE17" i="13" s="1"/>
  <c r="AB17" i="13"/>
  <c r="AA21" i="13"/>
  <c r="AB21" i="13"/>
  <c r="AA25" i="13"/>
  <c r="AC25" i="13" s="1"/>
  <c r="AE25" i="13" s="1"/>
  <c r="AB25" i="13"/>
  <c r="AA29" i="13"/>
  <c r="AB29" i="13"/>
  <c r="AB33" i="13"/>
  <c r="AA33" i="13"/>
  <c r="AC33" i="13" s="1"/>
  <c r="AE33" i="13" s="1"/>
  <c r="AB37" i="13"/>
  <c r="AA37" i="13"/>
  <c r="AC37" i="13" s="1"/>
  <c r="AE37" i="13" s="1"/>
  <c r="AC40" i="13"/>
  <c r="AE40" i="13" s="1"/>
  <c r="AA11" i="13"/>
  <c r="AB11" i="13"/>
  <c r="AA23" i="13"/>
  <c r="AB23" i="13"/>
  <c r="AB39" i="13"/>
  <c r="AA39" i="13"/>
  <c r="AC39" i="13" s="1"/>
  <c r="AE39" i="13" s="1"/>
  <c r="AC13" i="13"/>
  <c r="AE13" i="13" s="1"/>
  <c r="AA16" i="13"/>
  <c r="AC16" i="13" s="1"/>
  <c r="AE16" i="13" s="1"/>
  <c r="AB16" i="13"/>
  <c r="AC32" i="13"/>
  <c r="AE32" i="13" s="1"/>
  <c r="AC28" i="13"/>
  <c r="AE28" i="13" s="1"/>
  <c r="AC19" i="13"/>
  <c r="AE19" i="13" s="1"/>
  <c r="AC15" i="13"/>
  <c r="AE15" i="13" s="1"/>
  <c r="AC23" i="13"/>
  <c r="AE23" i="13" s="1"/>
  <c r="AA6" i="13"/>
  <c r="AC6" i="13" s="1"/>
  <c r="AE6" i="13" s="1"/>
  <c r="AB6" i="13"/>
  <c r="AA10" i="13"/>
  <c r="AC10" i="13" s="1"/>
  <c r="AE10" i="13" s="1"/>
  <c r="AB10" i="13"/>
  <c r="AA14" i="13"/>
  <c r="AC14" i="13" s="1"/>
  <c r="AE14" i="13" s="1"/>
  <c r="AB14" i="13"/>
  <c r="AA18" i="13"/>
  <c r="AB18" i="13"/>
  <c r="AA22" i="13"/>
  <c r="AC22" i="13" s="1"/>
  <c r="AE22" i="13" s="1"/>
  <c r="AB22" i="13"/>
  <c r="AA26" i="13"/>
  <c r="AC26" i="13" s="1"/>
  <c r="AE26" i="13" s="1"/>
  <c r="AB26" i="13"/>
  <c r="AA30" i="13"/>
  <c r="AC30" i="13" s="1"/>
  <c r="AE30" i="13" s="1"/>
  <c r="AB30" i="13"/>
  <c r="AB34" i="13"/>
  <c r="AA34" i="13"/>
  <c r="AB38" i="13"/>
  <c r="AA38" i="13"/>
  <c r="AC5" i="13"/>
  <c r="AE5" i="13" s="1"/>
  <c r="DO15" i="4" l="1"/>
  <c r="DQ15" i="4" s="1"/>
  <c r="DN14" i="4"/>
  <c r="DN28" i="4"/>
  <c r="DN16" i="4"/>
  <c r="DN9" i="4"/>
  <c r="DN12" i="4"/>
  <c r="DN7" i="4"/>
  <c r="DN24" i="4"/>
  <c r="DN29" i="4"/>
  <c r="DN20" i="4"/>
  <c r="DO23" i="4"/>
  <c r="DQ23" i="4" s="1"/>
  <c r="DO22" i="4"/>
  <c r="DQ22" i="4" s="1"/>
  <c r="DK15" i="4"/>
  <c r="DO10" i="4"/>
  <c r="DQ10" i="4" s="1"/>
  <c r="DO34" i="4"/>
  <c r="DQ34" i="4" s="1"/>
  <c r="CK21" i="4"/>
  <c r="CM21" i="4" s="1"/>
  <c r="CK26" i="4"/>
  <c r="CM26" i="4" s="1"/>
  <c r="CK20" i="4"/>
  <c r="CM20" i="4" s="1"/>
  <c r="CK14" i="4"/>
  <c r="CM14" i="4" s="1"/>
  <c r="CK12" i="4"/>
  <c r="CM12" i="4" s="1"/>
  <c r="CK17" i="4"/>
  <c r="CM17" i="4" s="1"/>
  <c r="CK28" i="4"/>
  <c r="CM28" i="4" s="1"/>
  <c r="CK8" i="4"/>
  <c r="CM8" i="4" s="1"/>
  <c r="CK22" i="4"/>
  <c r="CM22" i="4" s="1"/>
  <c r="CJ10" i="4"/>
  <c r="CK10" i="4" s="1"/>
  <c r="CM10" i="4" s="1"/>
  <c r="CK25" i="4"/>
  <c r="CM25" i="4" s="1"/>
  <c r="CJ15" i="4"/>
  <c r="CK15" i="4" s="1"/>
  <c r="CM15" i="4" s="1"/>
  <c r="CJ12" i="4"/>
  <c r="CK6" i="4"/>
  <c r="CM6" i="4" s="1"/>
  <c r="CJ25" i="4"/>
  <c r="CJ9" i="4"/>
  <c r="CK9" i="4" s="1"/>
  <c r="CM9" i="4" s="1"/>
  <c r="CK18" i="4"/>
  <c r="CM18" i="4" s="1"/>
  <c r="CJ24" i="4"/>
  <c r="CK24" i="4" s="1"/>
  <c r="CM24" i="4" s="1"/>
  <c r="CJ8" i="4"/>
  <c r="CJ7" i="4"/>
  <c r="CJ20" i="4"/>
  <c r="CJ29" i="4"/>
  <c r="CK29" i="4" s="1"/>
  <c r="CM29" i="4" s="1"/>
  <c r="CJ19" i="4"/>
  <c r="CK19" i="4" s="1"/>
  <c r="CM19" i="4" s="1"/>
  <c r="BG8" i="4"/>
  <c r="BI8" i="4" s="1"/>
  <c r="BG38" i="4"/>
  <c r="BI38" i="4" s="1"/>
  <c r="AC37" i="4"/>
  <c r="AE37" i="4" s="1"/>
  <c r="AC35" i="4"/>
  <c r="AE35" i="4" s="1"/>
  <c r="BG36" i="4"/>
  <c r="BI36" i="4" s="1"/>
  <c r="BF16" i="4"/>
  <c r="BG34" i="4"/>
  <c r="BI34" i="4" s="1"/>
  <c r="BF22" i="4"/>
  <c r="AC39" i="4"/>
  <c r="AE39" i="4" s="1"/>
  <c r="BG31" i="4"/>
  <c r="BI31" i="4" s="1"/>
  <c r="AC30" i="4"/>
  <c r="AE30" i="4" s="1"/>
  <c r="BG24" i="4"/>
  <c r="BI24" i="4" s="1"/>
  <c r="BG25" i="4"/>
  <c r="BI25" i="4" s="1"/>
  <c r="BG15" i="4"/>
  <c r="BI15" i="4" s="1"/>
  <c r="BF24" i="4"/>
  <c r="BF8" i="4"/>
  <c r="BF6" i="4"/>
  <c r="BF29" i="4"/>
  <c r="BG13" i="4"/>
  <c r="BI13" i="4" s="1"/>
  <c r="BG7" i="4"/>
  <c r="BI7" i="4" s="1"/>
  <c r="BF12" i="4"/>
  <c r="BF17" i="4"/>
  <c r="BF11" i="4"/>
  <c r="BC13" i="4"/>
  <c r="BC15" i="4"/>
  <c r="BG21" i="4"/>
  <c r="BI21" i="4" s="1"/>
  <c r="BG10" i="4"/>
  <c r="BI10" i="4" s="1"/>
  <c r="BG23" i="4"/>
  <c r="BI23" i="4" s="1"/>
  <c r="BG20" i="4"/>
  <c r="BI20" i="4" s="1"/>
  <c r="BG35" i="4"/>
  <c r="BI35" i="4" s="1"/>
  <c r="BG18" i="4"/>
  <c r="BI18" i="4" s="1"/>
  <c r="AC21" i="4"/>
  <c r="AE21" i="4" s="1"/>
  <c r="BG11" i="13"/>
  <c r="BI11" i="13" s="1"/>
  <c r="BF16" i="13"/>
  <c r="BF14" i="13"/>
  <c r="BF17" i="13"/>
  <c r="BF7" i="13"/>
  <c r="BF8" i="13"/>
  <c r="BF10" i="13"/>
  <c r="BG27" i="13"/>
  <c r="BI27" i="13" s="1"/>
  <c r="X30" i="8" l="1"/>
  <c r="X31" i="8"/>
  <c r="X32" i="8"/>
  <c r="X33" i="8"/>
  <c r="X34" i="8"/>
  <c r="X35" i="8"/>
  <c r="X36" i="8"/>
  <c r="X37" i="8"/>
  <c r="X38" i="8"/>
  <c r="X39" i="8"/>
  <c r="X40" i="8"/>
  <c r="X6" i="8"/>
  <c r="X7" i="8"/>
  <c r="X8" i="8"/>
  <c r="X9" i="8"/>
  <c r="X10" i="8"/>
  <c r="X11" i="8"/>
  <c r="X12" i="8"/>
  <c r="X13" i="8"/>
  <c r="X14" i="8"/>
  <c r="X15" i="8"/>
  <c r="X16" i="8"/>
  <c r="X17" i="8"/>
  <c r="X18" i="8"/>
  <c r="X19" i="8"/>
  <c r="X20" i="8"/>
  <c r="X21" i="8"/>
  <c r="X22" i="8"/>
  <c r="X23" i="8"/>
  <c r="X24" i="8"/>
  <c r="X25" i="8"/>
  <c r="X26" i="8"/>
  <c r="X27" i="8"/>
  <c r="X28" i="8"/>
  <c r="X29" i="8"/>
  <c r="X5" i="8"/>
  <c r="V3" i="8"/>
  <c r="U8" i="8" s="1"/>
  <c r="Y3" i="8"/>
  <c r="X3" i="8"/>
  <c r="U3" i="8"/>
  <c r="S3" i="8"/>
  <c r="Q3" i="8"/>
  <c r="O3" i="8"/>
  <c r="M3" i="8"/>
  <c r="K3" i="8"/>
  <c r="I3" i="8"/>
  <c r="G3" i="8"/>
  <c r="E3" i="8"/>
  <c r="C3" i="8"/>
  <c r="A3" i="8"/>
  <c r="A1" i="13"/>
  <c r="U5" i="8" l="1"/>
  <c r="U39" i="8"/>
  <c r="U35" i="8"/>
  <c r="U31" i="8"/>
  <c r="U27" i="8"/>
  <c r="U23" i="8"/>
  <c r="U19" i="8"/>
  <c r="U15" i="8"/>
  <c r="U11" i="8"/>
  <c r="U7" i="8"/>
  <c r="U38" i="8"/>
  <c r="U34" i="8"/>
  <c r="U30" i="8"/>
  <c r="U26" i="8"/>
  <c r="U22" i="8"/>
  <c r="U18" i="8"/>
  <c r="U14" i="8"/>
  <c r="U10" i="8"/>
  <c r="U6" i="8"/>
  <c r="U37" i="8"/>
  <c r="U33" i="8"/>
  <c r="U29" i="8"/>
  <c r="U25" i="8"/>
  <c r="U21" i="8"/>
  <c r="U17" i="8"/>
  <c r="U13" i="8"/>
  <c r="U9" i="8"/>
  <c r="U40" i="8"/>
  <c r="U36" i="8"/>
  <c r="U32" i="8"/>
  <c r="U28" i="8"/>
  <c r="U24" i="8"/>
  <c r="U20" i="8"/>
  <c r="U16" i="8"/>
  <c r="U12" i="8"/>
  <c r="B40" i="13"/>
  <c r="A40" i="13"/>
  <c r="B39" i="13"/>
  <c r="A39" i="13"/>
  <c r="B38" i="13"/>
  <c r="A38" i="13"/>
  <c r="B37" i="13"/>
  <c r="A37" i="13"/>
  <c r="B36" i="13"/>
  <c r="A36" i="13"/>
  <c r="B35" i="13"/>
  <c r="A35" i="13"/>
  <c r="B34" i="13"/>
  <c r="A34" i="13"/>
  <c r="B33" i="13"/>
  <c r="A33" i="13"/>
  <c r="B32" i="13"/>
  <c r="A32" i="13"/>
  <c r="B31" i="13"/>
  <c r="A31" i="13"/>
  <c r="B30" i="13"/>
  <c r="A30" i="13"/>
  <c r="B29" i="13"/>
  <c r="A29" i="13"/>
  <c r="B28" i="13"/>
  <c r="A28" i="13"/>
  <c r="B27" i="13"/>
  <c r="A27" i="13"/>
  <c r="B26" i="13"/>
  <c r="A26" i="13"/>
  <c r="B25" i="13"/>
  <c r="A25" i="13"/>
  <c r="B24" i="13"/>
  <c r="A24" i="13"/>
  <c r="B23" i="13"/>
  <c r="A23" i="13"/>
  <c r="B22" i="13"/>
  <c r="A22" i="13"/>
  <c r="B21" i="13"/>
  <c r="A21" i="13"/>
  <c r="B20" i="13"/>
  <c r="A20" i="13"/>
  <c r="B19" i="13"/>
  <c r="A19" i="13"/>
  <c r="B18" i="13"/>
  <c r="A18" i="13"/>
  <c r="B17" i="13"/>
  <c r="A17" i="13"/>
  <c r="B16" i="13"/>
  <c r="A16" i="13"/>
  <c r="B15" i="13"/>
  <c r="A15" i="13"/>
  <c r="B14" i="13"/>
  <c r="A14" i="13"/>
  <c r="B13" i="13"/>
  <c r="A13" i="13"/>
  <c r="B12" i="13"/>
  <c r="A12" i="13"/>
  <c r="B11" i="13"/>
  <c r="A11" i="13"/>
  <c r="B10" i="13"/>
  <c r="A10" i="13"/>
  <c r="B9" i="13"/>
  <c r="A9" i="13"/>
  <c r="B8" i="13"/>
  <c r="A8" i="13"/>
  <c r="B7" i="13"/>
  <c r="A7" i="13"/>
  <c r="B6" i="13"/>
  <c r="A6" i="13"/>
  <c r="B5" i="13"/>
  <c r="A5" i="13"/>
  <c r="B4" i="13"/>
  <c r="A4" i="13"/>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U4" i="8" l="1"/>
  <c r="X4" i="8"/>
  <c r="AC4" i="8"/>
  <c r="V5" i="8"/>
  <c r="Y5" i="8"/>
  <c r="Z5" i="8" s="1"/>
  <c r="Z6" i="8"/>
  <c r="Y6" i="8"/>
  <c r="Z7" i="8"/>
  <c r="Y7" i="8"/>
  <c r="Z8" i="8"/>
  <c r="Y8" i="8"/>
  <c r="Z9" i="8"/>
  <c r="Y9" i="8"/>
  <c r="Z10" i="8"/>
  <c r="Y10" i="8"/>
  <c r="Z11" i="8"/>
  <c r="Y11" i="8"/>
  <c r="V12" i="8"/>
  <c r="W12" i="8"/>
  <c r="Z12" i="8"/>
  <c r="Y12" i="8"/>
  <c r="V13" i="8"/>
  <c r="W13" i="8"/>
  <c r="Z13" i="8"/>
  <c r="Y13" i="8"/>
  <c r="V14" i="8"/>
  <c r="W14" i="8"/>
  <c r="Z14" i="8"/>
  <c r="Y14" i="8"/>
  <c r="V15" i="8"/>
  <c r="W15" i="8"/>
  <c r="Z15" i="8"/>
  <c r="Y15" i="8"/>
  <c r="V16" i="8"/>
  <c r="W16" i="8"/>
  <c r="Z16" i="8"/>
  <c r="Y16" i="8"/>
  <c r="V17" i="8"/>
  <c r="W17" i="8"/>
  <c r="Z17" i="8"/>
  <c r="Y17" i="8"/>
  <c r="V18" i="8"/>
  <c r="W18" i="8"/>
  <c r="Z18" i="8"/>
  <c r="Y18" i="8"/>
  <c r="V19" i="8"/>
  <c r="W19" i="8"/>
  <c r="Z19" i="8"/>
  <c r="Y19" i="8"/>
  <c r="V20" i="8"/>
  <c r="W20" i="8"/>
  <c r="Z20" i="8"/>
  <c r="Y20" i="8"/>
  <c r="V21" i="8"/>
  <c r="Z21" i="8"/>
  <c r="Y21" i="8"/>
  <c r="V22" i="8"/>
  <c r="W22" i="8"/>
  <c r="Z22" i="8"/>
  <c r="V23" i="8"/>
  <c r="Z23" i="8"/>
  <c r="Y23" i="8"/>
  <c r="V24" i="8"/>
  <c r="W24" i="8"/>
  <c r="Z24" i="8"/>
  <c r="V25" i="8"/>
  <c r="Z25" i="8"/>
  <c r="Y25" i="8"/>
  <c r="V26" i="8"/>
  <c r="W26" i="8"/>
  <c r="Z26" i="8"/>
  <c r="V27" i="8"/>
  <c r="Z27" i="8"/>
  <c r="Y27" i="8"/>
  <c r="V28" i="8"/>
  <c r="W28" i="8"/>
  <c r="Z28" i="8"/>
  <c r="V29" i="8"/>
  <c r="Z29" i="8"/>
  <c r="Y29" i="8"/>
  <c r="V30" i="8"/>
  <c r="W30" i="8"/>
  <c r="Z30" i="8"/>
  <c r="V31" i="8"/>
  <c r="Z31" i="8"/>
  <c r="Y31" i="8"/>
  <c r="V32" i="8"/>
  <c r="W32" i="8"/>
  <c r="Z32" i="8"/>
  <c r="V33" i="8"/>
  <c r="Z33" i="8"/>
  <c r="Y33" i="8"/>
  <c r="V34" i="8"/>
  <c r="W34" i="8"/>
  <c r="Z34" i="8"/>
  <c r="V35" i="8"/>
  <c r="Z35" i="8"/>
  <c r="Y35" i="8"/>
  <c r="V36" i="8"/>
  <c r="W36" i="8"/>
  <c r="Z36" i="8"/>
  <c r="V37" i="8"/>
  <c r="Z37" i="8"/>
  <c r="Y37" i="8"/>
  <c r="V38" i="8"/>
  <c r="W38" i="8"/>
  <c r="Z38" i="8"/>
  <c r="V39" i="8"/>
  <c r="Z39" i="8"/>
  <c r="Y39" i="8"/>
  <c r="V40" i="8"/>
  <c r="W40" i="8"/>
  <c r="Z40" i="8"/>
  <c r="AA31" i="8" l="1"/>
  <c r="AC31" i="8" s="1"/>
  <c r="AA27" i="8"/>
  <c r="AC27" i="8" s="1"/>
  <c r="AA23" i="8"/>
  <c r="AC23" i="8" s="1"/>
  <c r="AA39" i="8"/>
  <c r="AC39" i="8" s="1"/>
  <c r="AA35" i="8"/>
  <c r="AC35" i="8" s="1"/>
  <c r="AA37" i="8"/>
  <c r="AC37" i="8" s="1"/>
  <c r="AA33" i="8"/>
  <c r="AC33" i="8" s="1"/>
  <c r="AA29" i="8"/>
  <c r="AC29" i="8" s="1"/>
  <c r="AA25" i="8"/>
  <c r="AC25" i="8" s="1"/>
  <c r="AA21" i="8"/>
  <c r="AC21" i="8" s="1"/>
  <c r="AA19" i="8"/>
  <c r="AC19" i="8" s="1"/>
  <c r="AA17" i="8"/>
  <c r="AC17" i="8" s="1"/>
  <c r="AA16" i="8"/>
  <c r="AC16" i="8" s="1"/>
  <c r="AA15" i="8"/>
  <c r="AC15" i="8" s="1"/>
  <c r="AA14" i="8"/>
  <c r="AC14" i="8" s="1"/>
  <c r="AA13" i="8"/>
  <c r="AC13" i="8" s="1"/>
  <c r="AA12" i="8"/>
  <c r="AC12" i="8" s="1"/>
  <c r="AA20" i="8"/>
  <c r="AC20" i="8" s="1"/>
  <c r="AA18" i="8"/>
  <c r="AC18" i="8" s="1"/>
  <c r="Y40" i="8"/>
  <c r="AA40" i="8" s="1"/>
  <c r="AC40" i="8" s="1"/>
  <c r="W39" i="8"/>
  <c r="Y38" i="8"/>
  <c r="AA38" i="8" s="1"/>
  <c r="AC38" i="8" s="1"/>
  <c r="W37" i="8"/>
  <c r="Y36" i="8"/>
  <c r="AA36" i="8" s="1"/>
  <c r="AC36" i="8" s="1"/>
  <c r="W35" i="8"/>
  <c r="Y34" i="8"/>
  <c r="AA34" i="8" s="1"/>
  <c r="AC34" i="8" s="1"/>
  <c r="W33" i="8"/>
  <c r="Y32" i="8"/>
  <c r="AA32" i="8" s="1"/>
  <c r="AC32" i="8" s="1"/>
  <c r="W31" i="8"/>
  <c r="Y30" i="8"/>
  <c r="AA30" i="8" s="1"/>
  <c r="AC30" i="8" s="1"/>
  <c r="W29" i="8"/>
  <c r="Y28" i="8"/>
  <c r="AA28" i="8" s="1"/>
  <c r="AC28" i="8" s="1"/>
  <c r="W27" i="8"/>
  <c r="Y26" i="8"/>
  <c r="AA26" i="8" s="1"/>
  <c r="AC26" i="8" s="1"/>
  <c r="W25" i="8"/>
  <c r="Y24" i="8"/>
  <c r="AA24" i="8" s="1"/>
  <c r="AC24" i="8" s="1"/>
  <c r="W23" i="8"/>
  <c r="Y22" i="8"/>
  <c r="AA22" i="8" s="1"/>
  <c r="AC22" i="8" s="1"/>
  <c r="W21" i="8"/>
  <c r="V11" i="8"/>
  <c r="AA11" i="8" s="1"/>
  <c r="AC11" i="8" s="1"/>
  <c r="W11" i="8"/>
  <c r="V10" i="8"/>
  <c r="AA10" i="8" s="1"/>
  <c r="AC10" i="8" s="1"/>
  <c r="W10" i="8"/>
  <c r="V9" i="8"/>
  <c r="AA9" i="8" s="1"/>
  <c r="AC9" i="8" s="1"/>
  <c r="W9" i="8"/>
  <c r="V8" i="8"/>
  <c r="AA8" i="8" s="1"/>
  <c r="AC8" i="8" s="1"/>
  <c r="W8" i="8"/>
  <c r="V7" i="8"/>
  <c r="AA7" i="8" s="1"/>
  <c r="AC7" i="8" s="1"/>
  <c r="W7" i="8"/>
  <c r="V6" i="8"/>
  <c r="AA6" i="8" s="1"/>
  <c r="AC6" i="8" s="1"/>
  <c r="W6" i="8"/>
  <c r="W5" i="8"/>
  <c r="AA5" i="8"/>
  <c r="AC5" i="8" s="1"/>
  <c r="B4" i="4" l="1"/>
  <c r="A4" i="4"/>
  <c r="A1" i="4" l="1"/>
  <c r="AL40" i="9" l="1"/>
  <c r="AN40" i="9" s="1"/>
  <c r="AI40" i="9"/>
  <c r="AK40" i="9" s="1"/>
  <c r="AL39" i="9"/>
  <c r="AN39" i="9" s="1"/>
  <c r="AI39" i="9"/>
  <c r="AK39" i="9" s="1"/>
  <c r="AL38" i="9"/>
  <c r="AN38" i="9" s="1"/>
  <c r="AI38" i="9"/>
  <c r="AK38" i="9" s="1"/>
  <c r="AL37" i="9"/>
  <c r="AN37" i="9" s="1"/>
  <c r="AI37" i="9"/>
  <c r="AK37" i="9" s="1"/>
  <c r="AL36" i="9"/>
  <c r="AN36" i="9" s="1"/>
  <c r="AI36" i="9"/>
  <c r="AK36" i="9" s="1"/>
  <c r="AL35" i="9"/>
  <c r="AN35" i="9" s="1"/>
  <c r="AI35" i="9"/>
  <c r="AK35" i="9" s="1"/>
  <c r="AL34" i="9"/>
  <c r="AN34" i="9" s="1"/>
  <c r="AI34" i="9"/>
  <c r="AK34" i="9" s="1"/>
  <c r="AL33" i="9"/>
  <c r="AN33" i="9" s="1"/>
  <c r="AI33" i="9"/>
  <c r="AK33" i="9" s="1"/>
  <c r="AL32" i="9"/>
  <c r="AN32" i="9" s="1"/>
  <c r="AI32" i="9"/>
  <c r="AK32" i="9" s="1"/>
  <c r="AL31" i="9"/>
  <c r="AN31" i="9" s="1"/>
  <c r="AK31" i="9"/>
  <c r="AI31" i="9"/>
  <c r="AL30" i="9"/>
  <c r="AN30" i="9" s="1"/>
  <c r="AI30" i="9"/>
  <c r="AK30" i="9" s="1"/>
  <c r="AL29" i="9"/>
  <c r="AN29" i="9" s="1"/>
  <c r="AI29" i="9"/>
  <c r="AK29" i="9" s="1"/>
  <c r="AL28" i="9"/>
  <c r="AN28" i="9" s="1"/>
  <c r="AI28" i="9"/>
  <c r="AK28" i="9" s="1"/>
  <c r="AL27" i="9"/>
  <c r="AN27" i="9" s="1"/>
  <c r="AI27" i="9"/>
  <c r="AK27" i="9" s="1"/>
  <c r="AL26" i="9"/>
  <c r="AN26" i="9" s="1"/>
  <c r="AI26" i="9"/>
  <c r="AK26" i="9" s="1"/>
  <c r="AL25" i="9"/>
  <c r="AN25" i="9" s="1"/>
  <c r="AI25" i="9"/>
  <c r="AK25" i="9" s="1"/>
  <c r="AL24" i="9"/>
  <c r="AN24" i="9" s="1"/>
  <c r="AI24" i="9"/>
  <c r="AK24" i="9" s="1"/>
  <c r="AL23" i="9"/>
  <c r="AN23" i="9" s="1"/>
  <c r="AI23" i="9"/>
  <c r="AK23" i="9" s="1"/>
  <c r="AL22" i="9"/>
  <c r="AN22" i="9" s="1"/>
  <c r="AI22" i="9"/>
  <c r="AK22" i="9" s="1"/>
  <c r="AL21" i="9"/>
  <c r="AN21" i="9" s="1"/>
  <c r="AI21" i="9"/>
  <c r="AK21" i="9" s="1"/>
  <c r="AL20" i="9"/>
  <c r="AN20" i="9" s="1"/>
  <c r="AI20" i="9"/>
  <c r="AK20" i="9" s="1"/>
  <c r="AL19" i="9"/>
  <c r="AN19" i="9" s="1"/>
  <c r="AI19" i="9"/>
  <c r="AK19" i="9" s="1"/>
  <c r="AL18" i="9"/>
  <c r="AN18" i="9" s="1"/>
  <c r="AI18" i="9"/>
  <c r="AK18" i="9" s="1"/>
  <c r="AL17" i="9"/>
  <c r="AN17" i="9" s="1"/>
  <c r="AI17" i="9"/>
  <c r="AK17" i="9" s="1"/>
  <c r="AL16" i="9"/>
  <c r="AN16" i="9" s="1"/>
  <c r="AI16" i="9"/>
  <c r="AK16" i="9" s="1"/>
  <c r="AL15" i="9"/>
  <c r="AN15" i="9" s="1"/>
  <c r="AI15" i="9"/>
  <c r="AK15" i="9" s="1"/>
  <c r="AL14" i="9"/>
  <c r="AN14" i="9" s="1"/>
  <c r="AI14" i="9"/>
  <c r="AK14" i="9" s="1"/>
  <c r="AL13" i="9"/>
  <c r="AN13" i="9" s="1"/>
  <c r="AI13" i="9"/>
  <c r="AK13" i="9" s="1"/>
  <c r="AL12" i="9"/>
  <c r="AN12" i="9" s="1"/>
  <c r="AI12" i="9"/>
  <c r="AK12" i="9" s="1"/>
  <c r="AL11" i="9"/>
  <c r="AN11" i="9" s="1"/>
  <c r="AI11" i="9"/>
  <c r="AK11" i="9" s="1"/>
  <c r="AL10" i="9"/>
  <c r="AN10" i="9" s="1"/>
  <c r="AI10" i="9"/>
  <c r="AK10" i="9" s="1"/>
  <c r="AL9" i="9"/>
  <c r="AN9" i="9" s="1"/>
  <c r="AI9" i="9"/>
  <c r="AK9" i="9" s="1"/>
  <c r="AL8" i="9"/>
  <c r="AN8" i="9" s="1"/>
  <c r="AI8" i="9"/>
  <c r="AL7" i="9"/>
  <c r="AN7" i="9" s="1"/>
  <c r="AI7" i="9"/>
  <c r="AL6" i="9"/>
  <c r="AN6" i="9" s="1"/>
  <c r="AI6" i="9"/>
  <c r="AL5" i="9"/>
  <c r="AM5" i="9" s="1"/>
  <c r="AN5" i="9" s="1"/>
  <c r="AI5" i="9"/>
  <c r="AL4" i="9"/>
  <c r="AI4" i="9"/>
  <c r="AQ3" i="9"/>
  <c r="AM3" i="9"/>
  <c r="AM26" i="9" s="1"/>
  <c r="AL3" i="9"/>
  <c r="AJ3" i="9"/>
  <c r="AI3" i="9"/>
  <c r="AG3" i="9"/>
  <c r="AE3" i="9"/>
  <c r="AC3" i="9"/>
  <c r="AA3" i="9"/>
  <c r="Y3" i="9"/>
  <c r="W3" i="9"/>
  <c r="P40" i="9"/>
  <c r="R40" i="9" s="1"/>
  <c r="M40" i="9"/>
  <c r="O40" i="9" s="1"/>
  <c r="P39" i="9"/>
  <c r="R39" i="9" s="1"/>
  <c r="M39" i="9"/>
  <c r="O39" i="9" s="1"/>
  <c r="P38" i="9"/>
  <c r="R38" i="9" s="1"/>
  <c r="M38" i="9"/>
  <c r="O38" i="9" s="1"/>
  <c r="P37" i="9"/>
  <c r="R37" i="9" s="1"/>
  <c r="M37" i="9"/>
  <c r="O37" i="9" s="1"/>
  <c r="P36" i="9"/>
  <c r="R36" i="9" s="1"/>
  <c r="M36" i="9"/>
  <c r="O36" i="9" s="1"/>
  <c r="P35" i="9"/>
  <c r="R35" i="9" s="1"/>
  <c r="M35" i="9"/>
  <c r="O35" i="9" s="1"/>
  <c r="P34" i="9"/>
  <c r="R34" i="9" s="1"/>
  <c r="O34" i="9"/>
  <c r="M34" i="9"/>
  <c r="P33" i="9"/>
  <c r="R33" i="9" s="1"/>
  <c r="M33" i="9"/>
  <c r="O33" i="9" s="1"/>
  <c r="P32" i="9"/>
  <c r="R32" i="9" s="1"/>
  <c r="M32" i="9"/>
  <c r="O32" i="9" s="1"/>
  <c r="P31" i="9"/>
  <c r="R31" i="9" s="1"/>
  <c r="M31" i="9"/>
  <c r="O31" i="9" s="1"/>
  <c r="P30" i="9"/>
  <c r="R30" i="9" s="1"/>
  <c r="M30" i="9"/>
  <c r="O30" i="9" s="1"/>
  <c r="P29" i="9"/>
  <c r="R29" i="9" s="1"/>
  <c r="M29" i="9"/>
  <c r="O29" i="9" s="1"/>
  <c r="P28" i="9"/>
  <c r="R28" i="9" s="1"/>
  <c r="M28" i="9"/>
  <c r="O28" i="9" s="1"/>
  <c r="P27" i="9"/>
  <c r="R27" i="9" s="1"/>
  <c r="M27" i="9"/>
  <c r="O27" i="9" s="1"/>
  <c r="P26" i="9"/>
  <c r="R26" i="9" s="1"/>
  <c r="M26" i="9"/>
  <c r="O26" i="9" s="1"/>
  <c r="P25" i="9"/>
  <c r="R25" i="9" s="1"/>
  <c r="M25" i="9"/>
  <c r="O25" i="9" s="1"/>
  <c r="P24" i="9"/>
  <c r="R24" i="9" s="1"/>
  <c r="M24" i="9"/>
  <c r="O24" i="9" s="1"/>
  <c r="P23" i="9"/>
  <c r="R23" i="9" s="1"/>
  <c r="M23" i="9"/>
  <c r="O23" i="9" s="1"/>
  <c r="P22" i="9"/>
  <c r="R22" i="9" s="1"/>
  <c r="M22" i="9"/>
  <c r="O22" i="9" s="1"/>
  <c r="P21" i="9"/>
  <c r="R21" i="9" s="1"/>
  <c r="M21" i="9"/>
  <c r="O21" i="9" s="1"/>
  <c r="P20" i="9"/>
  <c r="R20" i="9" s="1"/>
  <c r="M20" i="9"/>
  <c r="O20" i="9" s="1"/>
  <c r="P19" i="9"/>
  <c r="R19" i="9" s="1"/>
  <c r="M19" i="9"/>
  <c r="O19" i="9" s="1"/>
  <c r="P18" i="9"/>
  <c r="R18" i="9" s="1"/>
  <c r="M18" i="9"/>
  <c r="O18" i="9" s="1"/>
  <c r="P17" i="9"/>
  <c r="R17" i="9" s="1"/>
  <c r="M17" i="9"/>
  <c r="O17" i="9" s="1"/>
  <c r="R16" i="9"/>
  <c r="P16" i="9"/>
  <c r="M16" i="9"/>
  <c r="O16" i="9" s="1"/>
  <c r="P15" i="9"/>
  <c r="R15" i="9" s="1"/>
  <c r="M15" i="9"/>
  <c r="O15" i="9" s="1"/>
  <c r="P14" i="9"/>
  <c r="R14" i="9" s="1"/>
  <c r="M14" i="9"/>
  <c r="O14" i="9" s="1"/>
  <c r="P13" i="9"/>
  <c r="R13" i="9" s="1"/>
  <c r="M13" i="9"/>
  <c r="O13" i="9" s="1"/>
  <c r="P12" i="9"/>
  <c r="R12" i="9" s="1"/>
  <c r="M12" i="9"/>
  <c r="O12" i="9" s="1"/>
  <c r="P11" i="9"/>
  <c r="R11" i="9" s="1"/>
  <c r="M11" i="9"/>
  <c r="O11" i="9" s="1"/>
  <c r="P10" i="9"/>
  <c r="M10" i="9"/>
  <c r="P9" i="9"/>
  <c r="M9" i="9"/>
  <c r="P8" i="9"/>
  <c r="R8" i="9" s="1"/>
  <c r="M8" i="9"/>
  <c r="P7" i="9"/>
  <c r="M7" i="9"/>
  <c r="P6" i="9"/>
  <c r="M6" i="9"/>
  <c r="P5" i="9"/>
  <c r="M5" i="9"/>
  <c r="P4" i="9"/>
  <c r="M4" i="9"/>
  <c r="U3" i="9"/>
  <c r="Q3" i="9"/>
  <c r="P3" i="9"/>
  <c r="N3" i="9"/>
  <c r="N34" i="9" s="1"/>
  <c r="M3" i="9"/>
  <c r="K3" i="9"/>
  <c r="I3" i="9"/>
  <c r="G3" i="9"/>
  <c r="E3" i="9"/>
  <c r="C3" i="9"/>
  <c r="A3" i="9"/>
  <c r="AJ5" i="9" l="1"/>
  <c r="AK5" i="9" s="1"/>
  <c r="AO5" i="9" s="1"/>
  <c r="AQ5" i="9" s="1"/>
  <c r="AM16" i="9"/>
  <c r="AM24" i="9"/>
  <c r="AM8" i="9"/>
  <c r="AM6" i="9"/>
  <c r="AM12" i="9"/>
  <c r="AM20" i="9"/>
  <c r="Q38" i="9"/>
  <c r="N5" i="9"/>
  <c r="AM10" i="9"/>
  <c r="AM14" i="9"/>
  <c r="AM18" i="9"/>
  <c r="AM22" i="9"/>
  <c r="AJ40" i="9"/>
  <c r="AJ39" i="9"/>
  <c r="AJ38" i="9"/>
  <c r="AJ37" i="9"/>
  <c r="AJ36" i="9"/>
  <c r="AJ35" i="9"/>
  <c r="AJ34" i="9"/>
  <c r="AJ33" i="9"/>
  <c r="AJ32" i="9"/>
  <c r="AJ31" i="9"/>
  <c r="AJ30" i="9"/>
  <c r="AJ29" i="9"/>
  <c r="AJ28" i="9"/>
  <c r="AJ27" i="9"/>
  <c r="AJ26" i="9"/>
  <c r="AO26" i="9" s="1"/>
  <c r="AQ26" i="9" s="1"/>
  <c r="AJ25" i="9"/>
  <c r="AJ24" i="9"/>
  <c r="AO24" i="9" s="1"/>
  <c r="AQ24" i="9" s="1"/>
  <c r="AJ23" i="9"/>
  <c r="AJ22" i="9"/>
  <c r="AO22" i="9" s="1"/>
  <c r="AQ22" i="9" s="1"/>
  <c r="AJ21" i="9"/>
  <c r="AJ20" i="9"/>
  <c r="AO20" i="9" s="1"/>
  <c r="AQ20" i="9" s="1"/>
  <c r="AJ19" i="9"/>
  <c r="AJ18" i="9"/>
  <c r="AO18" i="9" s="1"/>
  <c r="AQ18" i="9" s="1"/>
  <c r="AJ17" i="9"/>
  <c r="AJ16" i="9"/>
  <c r="AJ15" i="9"/>
  <c r="AJ14" i="9"/>
  <c r="AO14" i="9" s="1"/>
  <c r="AQ14" i="9" s="1"/>
  <c r="AJ13" i="9"/>
  <c r="AJ12" i="9"/>
  <c r="AJ11" i="9"/>
  <c r="AJ10" i="9"/>
  <c r="AJ9" i="9"/>
  <c r="AJ8" i="9"/>
  <c r="AJ7" i="9"/>
  <c r="AK7" i="9" s="1"/>
  <c r="AJ6" i="9"/>
  <c r="AM7" i="9"/>
  <c r="AM9" i="9"/>
  <c r="AM11" i="9"/>
  <c r="AM13" i="9"/>
  <c r="AM15" i="9"/>
  <c r="AM17" i="9"/>
  <c r="AM19" i="9"/>
  <c r="AM21" i="9"/>
  <c r="AM23" i="9"/>
  <c r="AM25" i="9"/>
  <c r="AM27" i="9"/>
  <c r="AM40" i="9"/>
  <c r="AM39" i="9"/>
  <c r="AM38" i="9"/>
  <c r="AM37" i="9"/>
  <c r="AM36" i="9"/>
  <c r="AM35" i="9"/>
  <c r="AM34" i="9"/>
  <c r="AM33" i="9"/>
  <c r="AM32" i="9"/>
  <c r="AM31" i="9"/>
  <c r="AM30" i="9"/>
  <c r="AM29" i="9"/>
  <c r="AM28" i="9"/>
  <c r="N7" i="9"/>
  <c r="O7" i="9" s="1"/>
  <c r="N32" i="9"/>
  <c r="Q13" i="9"/>
  <c r="Q17" i="9"/>
  <c r="Q21" i="9"/>
  <c r="Q25" i="9"/>
  <c r="Q29" i="9"/>
  <c r="Q5" i="9"/>
  <c r="R5" i="9" s="1"/>
  <c r="Q7" i="9"/>
  <c r="R7" i="9" s="1"/>
  <c r="N12" i="9"/>
  <c r="N16" i="9"/>
  <c r="N20" i="9"/>
  <c r="N24" i="9"/>
  <c r="N28" i="9"/>
  <c r="Q35" i="9"/>
  <c r="N40" i="9"/>
  <c r="N39" i="9"/>
  <c r="Q11" i="9"/>
  <c r="N14" i="9"/>
  <c r="Q15" i="9"/>
  <c r="N18" i="9"/>
  <c r="Q19" i="9"/>
  <c r="N22" i="9"/>
  <c r="Q23" i="9"/>
  <c r="N26" i="9"/>
  <c r="Q27" i="9"/>
  <c r="N30" i="9"/>
  <c r="Q31" i="9"/>
  <c r="Q33" i="9"/>
  <c r="N38" i="9"/>
  <c r="S38" i="9" s="1"/>
  <c r="U38" i="9" s="1"/>
  <c r="N36" i="9"/>
  <c r="Q39" i="9"/>
  <c r="S7" i="9"/>
  <c r="U7" i="9" s="1"/>
  <c r="Q9" i="9"/>
  <c r="R9" i="9" s="1"/>
  <c r="N8" i="9"/>
  <c r="N6" i="9"/>
  <c r="O6" i="9" s="1"/>
  <c r="N10" i="9"/>
  <c r="O10" i="9" s="1"/>
  <c r="Q37" i="9"/>
  <c r="O5" i="9"/>
  <c r="Q8" i="9"/>
  <c r="N9" i="9"/>
  <c r="Q12" i="9"/>
  <c r="N13" i="9"/>
  <c r="S13" i="9" s="1"/>
  <c r="U13" i="9" s="1"/>
  <c r="Q16" i="9"/>
  <c r="S16" i="9" s="1"/>
  <c r="U16" i="9" s="1"/>
  <c r="N17" i="9"/>
  <c r="Q20" i="9"/>
  <c r="N21" i="9"/>
  <c r="Q24" i="9"/>
  <c r="N25" i="9"/>
  <c r="Q28" i="9"/>
  <c r="S28" i="9" s="1"/>
  <c r="U28" i="9" s="1"/>
  <c r="N29" i="9"/>
  <c r="S29" i="9" s="1"/>
  <c r="U29" i="9" s="1"/>
  <c r="Q32" i="9"/>
  <c r="N33" i="9"/>
  <c r="Q36" i="9"/>
  <c r="N37" i="9"/>
  <c r="Q40" i="9"/>
  <c r="Q6" i="9"/>
  <c r="R6" i="9" s="1"/>
  <c r="Q10" i="9"/>
  <c r="R10" i="9" s="1"/>
  <c r="N11" i="9"/>
  <c r="Q14" i="9"/>
  <c r="S14" i="9" s="1"/>
  <c r="U14" i="9" s="1"/>
  <c r="N15" i="9"/>
  <c r="Q18" i="9"/>
  <c r="N19" i="9"/>
  <c r="Q22" i="9"/>
  <c r="S22" i="9" s="1"/>
  <c r="U22" i="9" s="1"/>
  <c r="N23" i="9"/>
  <c r="Q26" i="9"/>
  <c r="N27" i="9"/>
  <c r="Q30" i="9"/>
  <c r="S30" i="9" s="1"/>
  <c r="U30" i="9" s="1"/>
  <c r="N31" i="9"/>
  <c r="Q34" i="9"/>
  <c r="S34" i="9" s="1"/>
  <c r="U34" i="9" s="1"/>
  <c r="N35" i="9"/>
  <c r="S35" i="9" s="1"/>
  <c r="U35" i="9" s="1"/>
  <c r="S36" i="9" l="1"/>
  <c r="U36" i="9" s="1"/>
  <c r="AO13" i="9"/>
  <c r="AQ13" i="9" s="1"/>
  <c r="AO21" i="9"/>
  <c r="AQ21" i="9" s="1"/>
  <c r="AO29" i="9"/>
  <c r="AQ29" i="9" s="1"/>
  <c r="AO33" i="9"/>
  <c r="AQ33" i="9" s="1"/>
  <c r="AO37" i="9"/>
  <c r="AQ37" i="9" s="1"/>
  <c r="S21" i="9"/>
  <c r="U21" i="9" s="1"/>
  <c r="AO10" i="9"/>
  <c r="AQ10" i="9" s="1"/>
  <c r="S26" i="9"/>
  <c r="U26" i="9" s="1"/>
  <c r="S18" i="9"/>
  <c r="U18" i="9" s="1"/>
  <c r="S33" i="9"/>
  <c r="U33" i="9" s="1"/>
  <c r="S17" i="9"/>
  <c r="U17" i="9" s="1"/>
  <c r="AO12" i="9"/>
  <c r="AQ12" i="9" s="1"/>
  <c r="AO16" i="9"/>
  <c r="AQ16" i="9" s="1"/>
  <c r="AO28" i="9"/>
  <c r="AQ28" i="9" s="1"/>
  <c r="AO32" i="9"/>
  <c r="AQ32" i="9" s="1"/>
  <c r="AO36" i="9"/>
  <c r="AQ36" i="9" s="1"/>
  <c r="AO40" i="9"/>
  <c r="AQ40" i="9" s="1"/>
  <c r="AK8" i="9"/>
  <c r="AO8" i="9" s="1"/>
  <c r="AQ8" i="9" s="1"/>
  <c r="AK6" i="9"/>
  <c r="AO6" i="9" s="1"/>
  <c r="AQ6" i="9" s="1"/>
  <c r="AO9" i="9"/>
  <c r="AQ9" i="9" s="1"/>
  <c r="AO17" i="9"/>
  <c r="AQ17" i="9" s="1"/>
  <c r="AO25" i="9"/>
  <c r="AQ25" i="9" s="1"/>
  <c r="AO30" i="9"/>
  <c r="AQ30" i="9" s="1"/>
  <c r="AO34" i="9"/>
  <c r="AQ34" i="9" s="1"/>
  <c r="AO38" i="9"/>
  <c r="AQ38" i="9" s="1"/>
  <c r="AO7" i="9"/>
  <c r="AQ7" i="9" s="1"/>
  <c r="AO11" i="9"/>
  <c r="AQ11" i="9" s="1"/>
  <c r="AO15" i="9"/>
  <c r="AQ15" i="9" s="1"/>
  <c r="AO19" i="9"/>
  <c r="AQ19" i="9" s="1"/>
  <c r="AO23" i="9"/>
  <c r="AQ23" i="9" s="1"/>
  <c r="AO27" i="9"/>
  <c r="AQ27" i="9" s="1"/>
  <c r="AO31" i="9"/>
  <c r="AQ31" i="9" s="1"/>
  <c r="AO35" i="9"/>
  <c r="AQ35" i="9" s="1"/>
  <c r="AO39" i="9"/>
  <c r="AQ39" i="9" s="1"/>
  <c r="O8" i="9"/>
  <c r="S8" i="9"/>
  <c r="U8" i="9" s="1"/>
  <c r="S27" i="9"/>
  <c r="U27" i="9" s="1"/>
  <c r="S19" i="9"/>
  <c r="U19" i="9" s="1"/>
  <c r="S11" i="9"/>
  <c r="U11" i="9" s="1"/>
  <c r="S37" i="9"/>
  <c r="U37" i="9" s="1"/>
  <c r="S12" i="9"/>
  <c r="U12" i="9" s="1"/>
  <c r="S31" i="9"/>
  <c r="U31" i="9" s="1"/>
  <c r="S23" i="9"/>
  <c r="U23" i="9" s="1"/>
  <c r="S15" i="9"/>
  <c r="U15" i="9" s="1"/>
  <c r="S32" i="9"/>
  <c r="U32" i="9" s="1"/>
  <c r="S20" i="9"/>
  <c r="U20" i="9" s="1"/>
  <c r="S39" i="9"/>
  <c r="U39" i="9" s="1"/>
  <c r="S25" i="9"/>
  <c r="U25" i="9" s="1"/>
  <c r="S40" i="9"/>
  <c r="U40" i="9" s="1"/>
  <c r="S24" i="9"/>
  <c r="U24" i="9" s="1"/>
  <c r="S5" i="9"/>
  <c r="U5" i="9" s="1"/>
  <c r="S9" i="9"/>
  <c r="U9" i="9" s="1"/>
  <c r="S6" i="9"/>
  <c r="U6" i="9" s="1"/>
  <c r="S10" i="9"/>
  <c r="U10" i="9" s="1"/>
  <c r="O9" i="9"/>
</calcChain>
</file>

<file path=xl/sharedStrings.xml><?xml version="1.0" encoding="utf-8"?>
<sst xmlns="http://schemas.openxmlformats.org/spreadsheetml/2006/main" count="657" uniqueCount="140">
  <si>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</si>
  <si>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</si>
  <si>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</si>
  <si>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</si>
  <si>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</si>
  <si>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</si>
  <si>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</si>
  <si>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</si>
  <si>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</si>
  <si>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</si>
  <si>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</si>
  <si>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</si>
  <si>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</si>
  <si>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</si>
  <si>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</si>
  <si>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</si>
  <si>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</si>
  <si>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</si>
  <si>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</si>
  <si>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</si>
  <si>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</si>
  <si>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</si>
  <si>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</si>
  <si>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</si>
  <si>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</si>
  <si>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</si>
  <si>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</si>
  <si>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</si>
  <si>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</si>
  <si>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</si>
  <si>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</si>
  <si>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Assessment:</t>
  </si>
  <si>
    <t>UD</t>
  </si>
  <si>
    <t>%</t>
  </si>
  <si>
    <t>SD</t>
  </si>
  <si>
    <t>Overall</t>
  </si>
  <si>
    <t>Description</t>
  </si>
  <si>
    <t>Data Cell</t>
  </si>
  <si>
    <t>Cell for inputing information</t>
  </si>
  <si>
    <t>Cell for inputing data.
Cell will turn white after data is inputted.</t>
  </si>
  <si>
    <t>[Mark]</t>
  </si>
  <si>
    <t>SU</t>
  </si>
  <si>
    <t>SHE</t>
  </si>
  <si>
    <t>PADI</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</si>
  <si>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</si>
  <si>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</si>
  <si>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</si>
  <si>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</si>
  <si>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</si>
  <si>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</si>
  <si>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</si>
  <si>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</si>
  <si>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</si>
  <si>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</si>
  <si>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Test 1</t>
  </si>
  <si>
    <t>Calc. Grade</t>
  </si>
  <si>
    <t>Adj. Grade</t>
  </si>
  <si>
    <t>Spelling Pre-Term 1</t>
  </si>
  <si>
    <t>Spelling</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</si>
  <si>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</si>
  <si>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</si>
  <si>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</si>
  <si>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</si>
  <si>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</si>
  <si>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</si>
  <si>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</si>
  <si>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</si>
  <si>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</si>
  <si>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</si>
  <si>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</si>
  <si>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</si>
  <si>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</si>
  <si>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</si>
  <si>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Amery</t>
  </si>
  <si>
    <t>Kyeesha</t>
  </si>
  <si>
    <t>Y</t>
  </si>
  <si>
    <t>Barratt</t>
  </si>
  <si>
    <t>Oliver</t>
  </si>
  <si>
    <t>Bulacan</t>
  </si>
  <si>
    <t>Jed</t>
  </si>
  <si>
    <t>Chapman</t>
  </si>
  <si>
    <t>Michelle</t>
  </si>
  <si>
    <t>Comber</t>
  </si>
  <si>
    <t>Gabi</t>
  </si>
  <si>
    <t>Cook</t>
  </si>
  <si>
    <t>Kaylee</t>
  </si>
  <si>
    <t>Davis</t>
  </si>
  <si>
    <t>Billy</t>
  </si>
  <si>
    <t>Fitzsimmons</t>
  </si>
  <si>
    <t>Sullivan</t>
  </si>
  <si>
    <t>Franciscus</t>
  </si>
  <si>
    <t>Sonny</t>
  </si>
  <si>
    <t>Hamilton</t>
  </si>
  <si>
    <t>Ella</t>
  </si>
  <si>
    <t>Harris</t>
  </si>
  <si>
    <t>Emily</t>
  </si>
  <si>
    <t>Harvey</t>
  </si>
  <si>
    <t>Isabel</t>
  </si>
  <si>
    <t>Macdonald</t>
  </si>
  <si>
    <t>Dominic</t>
  </si>
  <si>
    <t>Milton</t>
  </si>
  <si>
    <t>Charlie</t>
  </si>
  <si>
    <t>Olguin</t>
  </si>
  <si>
    <t>Scarlett</t>
  </si>
  <si>
    <t>Pardon</t>
  </si>
  <si>
    <t>Harmony</t>
  </si>
  <si>
    <t>Romero</t>
  </si>
  <si>
    <t>Rubens</t>
  </si>
  <si>
    <t>Sarzynska</t>
  </si>
  <si>
    <t>Nikola</t>
  </si>
  <si>
    <t>Thangeswaran</t>
  </si>
  <si>
    <t>Shesuthan</t>
  </si>
  <si>
    <t>Thompson</t>
  </si>
  <si>
    <t>Benjamin</t>
  </si>
  <si>
    <t>Yakimoff-Minge</t>
  </si>
  <si>
    <t>Lliam</t>
  </si>
  <si>
    <t>Taylor</t>
  </si>
  <si>
    <t>Rohan</t>
  </si>
  <si>
    <t>Ms Hoang</t>
  </si>
  <si>
    <t>Manolis</t>
  </si>
  <si>
    <t>India</t>
  </si>
  <si>
    <t>Cubacub</t>
  </si>
  <si>
    <t>Raffi</t>
  </si>
  <si>
    <t>Assess:</t>
  </si>
  <si>
    <t>PC</t>
  </si>
  <si>
    <t>QP</t>
  </si>
  <si>
    <t>Coulahan</t>
  </si>
  <si>
    <t>Zechariah</t>
  </si>
  <si>
    <t>Task 4 Chemistry Practical Report</t>
  </si>
  <si>
    <t>Task 5 Written Test</t>
  </si>
  <si>
    <t>SIS</t>
  </si>
  <si>
    <t>Pre T1</t>
  </si>
  <si>
    <t>Post T1</t>
  </si>
  <si>
    <t>Pre T2</t>
  </si>
  <si>
    <t>Post T2</t>
  </si>
  <si>
    <t>Task 1 Space Test</t>
  </si>
  <si>
    <t>Task 2 Pract Report</t>
  </si>
  <si>
    <t>Task 3 - Forces Test</t>
  </si>
  <si>
    <t>Semester Overall</t>
  </si>
  <si>
    <t>Science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</si>
</sst>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s>
  <fills count="13">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rgb="FFE8AFFF"/>
        <bgColor indexed="64"/>
      </patternFill>
    </fill>
    <fill>
      <patternFill patternType="solid">
        <fgColor theme="5" tint="0.59999389629810485"/>
        <bgColor indexed="64"/>
      </patternFill>
    </fill>
    <fill>
      <patternFill patternType="solid">
        <fgColor rgb="FFFFFF00"/>
        <bgColor indexed="64"/>
      </patternFill>
    </fill>
  </fills>
  <borders count="86">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style="medium">
        <color indexed="64"/>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medium">
        <color indexed="64"/>
      </bottom>
      <diagonal/>
    </border>
    <border>
      <left style="medium">
        <color indexed="64"/>
      </left>
      <right style="medium">
        <color indexed="64"/>
      </right>
      <top/>
      <bottom/>
      <diagonal/>
    </border>
    <border>
      <left style="thin">
        <color rgb="FF7F7F7F"/>
      </left>
      <right/>
      <top style="medium">
        <color indexed="64"/>
      </top>
      <bottom/>
      <diagonal/>
    </border>
    <border>
      <left style="thin">
        <color theme="0" tint="-0.249977111117893"/>
      </left>
      <right style="medium">
        <color indexed="64"/>
      </right>
      <top style="thin">
        <color theme="0" tint="-0.249977111117893"/>
      </top>
      <bottom style="medium">
        <color indexed="64"/>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tint="-0.249977111117893"/>
      </left>
      <right/>
      <top style="thin">
        <color theme="0" tint="-0.249977111117893"/>
      </top>
      <bottom style="medium">
        <color indexed="64"/>
      </bottom>
      <diagonal/>
    </border>
    <border>
      <left style="thin">
        <color theme="0" tint="-0.249977111117893"/>
      </left>
      <right style="medium">
        <color indexed="64"/>
      </right>
      <top style="thin">
        <color indexed="64"/>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1"/>
      </left>
      <right style="thin">
        <color theme="0" tint="-0.249977111117893"/>
      </right>
      <top style="thin">
        <color indexed="64"/>
      </top>
      <bottom style="thin">
        <color theme="0" tint="-0.249977111117893"/>
      </bottom>
      <diagonal/>
    </border>
    <border>
      <left style="thin">
        <color theme="1"/>
      </left>
      <right style="thin">
        <color theme="0" tint="-0.249977111117893"/>
      </right>
      <top/>
      <bottom style="thin">
        <color theme="0" tint="-0.249977111117893"/>
      </bottom>
      <diagonal/>
    </border>
    <border>
      <left/>
      <right style="thin">
        <color auto="1"/>
      </right>
      <top/>
      <bottom/>
      <diagonal/>
    </border>
    <border>
      <left/>
      <right style="thin">
        <color indexed="64"/>
      </right>
      <top/>
      <bottom style="medium">
        <color indexed="64"/>
      </bottom>
      <diagonal/>
    </border>
    <border>
      <left/>
      <right style="thin">
        <color theme="1"/>
      </right>
      <top/>
      <bottom/>
      <diagonal/>
    </border>
    <border>
      <left/>
      <right style="thin">
        <color theme="1"/>
      </right>
      <top/>
      <bottom style="medium">
        <color indexed="64"/>
      </bottom>
      <diagonal/>
    </border>
    <border>
      <left/>
      <right style="thin">
        <color theme="1"/>
      </right>
      <top style="thin">
        <color indexed="64"/>
      </top>
      <bottom/>
      <diagonal/>
    </border>
    <border>
      <left style="thin">
        <color auto="1"/>
      </left>
      <right/>
      <top/>
      <bottom/>
      <diagonal/>
    </border>
    <border>
      <left style="thin">
        <color indexed="64"/>
      </left>
      <right/>
      <top/>
      <bottom style="medium">
        <color indexed="64"/>
      </bottom>
      <diagonal/>
    </border>
    <border>
      <left/>
      <right style="medium">
        <color indexed="64"/>
      </right>
      <top style="thin">
        <color indexed="64"/>
      </top>
      <bottom style="thin">
        <color theme="0" tint="-0.249977111117893"/>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40">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0" fontId="0" fillId="0" borderId="40" xfId="0" applyBorder="1" applyAlignment="1"/>
    <xf numFmtId="0" fontId="0" fillId="0" borderId="22" xfId="0" applyBorder="1" applyAlignment="1">
      <alignment horizontal="center" vertical="center"/>
    </xf>
    <xf numFmtId="9" fontId="0" fillId="0" borderId="0" xfId="4" applyFont="1" applyBorder="1"/>
    <xf numFmtId="0" fontId="4" fillId="0" borderId="18" xfId="0" applyFont="1" applyBorder="1" applyAlignment="1"/>
    <xf numFmtId="0" fontId="6" fillId="2" borderId="36" xfId="3" applyFont="1" applyBorder="1" applyAlignment="1"/>
    <xf numFmtId="0" fontId="6" fillId="2" borderId="37" xfId="3" applyFont="1" applyBorder="1" applyAlignment="1"/>
    <xf numFmtId="0" fontId="5" fillId="7" borderId="8" xfId="7" applyFill="1" applyBorder="1"/>
    <xf numFmtId="9" fontId="5" fillId="8" borderId="50" xfId="8" applyNumberFormat="1" applyFill="1" applyBorder="1" applyAlignment="1">
      <alignment horizontal="center" vertical="center"/>
    </xf>
    <xf numFmtId="0" fontId="5" fillId="8" borderId="50" xfId="8" applyFill="1" applyBorder="1" applyAlignment="1">
      <alignment horizontal="center" vertical="center"/>
    </xf>
    <xf numFmtId="0" fontId="0" fillId="0" borderId="21" xfId="0" applyBorder="1" applyAlignment="1">
      <alignment horizontal="center" vertical="center"/>
    </xf>
    <xf numFmtId="0" fontId="5" fillId="4" borderId="43" xfId="6" applyBorder="1" applyAlignment="1">
      <alignment horizontal="center" vertical="center"/>
    </xf>
    <xf numFmtId="164" fontId="0" fillId="0" borderId="21" xfId="0" applyNumberFormat="1" applyFill="1" applyBorder="1" applyAlignment="1">
      <alignment horizontal="center" vertical="center"/>
    </xf>
    <xf numFmtId="164" fontId="0" fillId="0" borderId="0" xfId="0" applyNumberFormat="1" applyFill="1" applyBorder="1" applyAlignment="1">
      <alignment horizontal="center" vertical="center"/>
    </xf>
    <xf numFmtId="0" fontId="5" fillId="7" borderId="41" xfId="7" applyFill="1" applyBorder="1" applyAlignment="1">
      <alignment horizontal="center"/>
    </xf>
    <xf numFmtId="9" fontId="5" fillId="7" borderId="41" xfId="4" applyFill="1" applyBorder="1" applyAlignment="1">
      <alignment horizontal="center"/>
    </xf>
    <xf numFmtId="0" fontId="5" fillId="7" borderId="50" xfId="7" applyFill="1" applyBorder="1" applyAlignment="1">
      <alignment horizontal="center"/>
    </xf>
    <xf numFmtId="0" fontId="0" fillId="0" borderId="0" xfId="0"/>
    <xf numFmtId="0" fontId="5" fillId="4" borderId="54" xfId="6" applyBorder="1" applyAlignment="1">
      <alignment horizontal="center" vertical="center"/>
    </xf>
    <xf numFmtId="164" fontId="0" fillId="0" borderId="21" xfId="0" applyNumberFormat="1" applyFill="1" applyBorder="1" applyAlignment="1">
      <alignment vertical="center"/>
    </xf>
    <xf numFmtId="164" fontId="0" fillId="0" borderId="0" xfId="0" applyNumberFormat="1" applyFill="1" applyBorder="1" applyAlignment="1">
      <alignment vertical="center"/>
    </xf>
    <xf numFmtId="164" fontId="0" fillId="0" borderId="23" xfId="0" applyNumberFormat="1" applyFill="1" applyBorder="1" applyAlignment="1">
      <alignment vertical="center"/>
    </xf>
    <xf numFmtId="164" fontId="0" fillId="0" borderId="24" xfId="0" applyNumberFormat="1" applyFill="1" applyBorder="1" applyAlignment="1">
      <alignment vertical="center"/>
    </xf>
    <xf numFmtId="0" fontId="0" fillId="0" borderId="52" xfId="0" applyBorder="1"/>
    <xf numFmtId="164" fontId="5" fillId="8" borderId="42" xfId="8" applyNumberFormat="1" applyFill="1" applyBorder="1" applyAlignment="1">
      <alignment horizontal="center" vertical="center"/>
    </xf>
    <xf numFmtId="9" fontId="5" fillId="8" borderId="41" xfId="8" applyNumberFormat="1" applyFill="1" applyBorder="1" applyAlignment="1">
      <alignment horizontal="center" vertical="center"/>
    </xf>
    <xf numFmtId="0" fontId="5" fillId="8" borderId="41" xfId="8" applyFill="1" applyBorder="1" applyAlignment="1">
      <alignment horizontal="center" vertical="center"/>
    </xf>
    <xf numFmtId="0" fontId="5" fillId="8" borderId="55" xfId="8" applyFill="1" applyBorder="1" applyAlignment="1"/>
    <xf numFmtId="9" fontId="5" fillId="7" borderId="50" xfId="4" applyFill="1" applyBorder="1" applyAlignment="1">
      <alignment horizontal="center"/>
    </xf>
    <xf numFmtId="164" fontId="5" fillId="8" borderId="51" xfId="8" applyNumberFormat="1" applyFill="1" applyBorder="1" applyAlignment="1">
      <alignment horizontal="center" vertical="center"/>
    </xf>
    <xf numFmtId="0" fontId="4" fillId="7" borderId="44" xfId="7" applyFont="1" applyFill="1" applyBorder="1"/>
    <xf numFmtId="9" fontId="4" fillId="7" borderId="46" xfId="4" applyFont="1" applyFill="1" applyBorder="1"/>
    <xf numFmtId="0" fontId="4" fillId="7" borderId="45" xfId="7" applyFont="1" applyFill="1" applyBorder="1"/>
    <xf numFmtId="0" fontId="4" fillId="8" borderId="56" xfId="8" applyFont="1" applyFill="1" applyBorder="1"/>
    <xf numFmtId="9" fontId="4" fillId="8" borderId="46" xfId="8" applyNumberFormat="1" applyFont="1" applyFill="1" applyBorder="1"/>
    <xf numFmtId="0" fontId="4" fillId="8" borderId="57" xfId="8" applyFont="1" applyFill="1" applyBorder="1"/>
    <xf numFmtId="164" fontId="0" fillId="10" borderId="34" xfId="0" applyNumberFormat="1" applyFill="1" applyBorder="1" applyAlignment="1">
      <alignment horizontal="center" vertical="center"/>
    </xf>
    <xf numFmtId="0" fontId="3" fillId="2" borderId="52"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60" xfId="0" applyFont="1" applyFill="1" applyBorder="1" applyAlignment="1" applyProtection="1">
      <alignment horizontal="left" vertical="center"/>
      <protection locked="0"/>
    </xf>
    <xf numFmtId="0" fontId="4" fillId="3" borderId="61" xfId="0" applyFont="1" applyFill="1" applyBorder="1" applyAlignment="1" applyProtection="1">
      <alignment horizontal="left" vertical="center"/>
      <protection locked="0"/>
    </xf>
    <xf numFmtId="0" fontId="4" fillId="3" borderId="62"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protection locked="0"/>
    </xf>
    <xf numFmtId="14"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wrapText="1"/>
      <protection locked="0"/>
    </xf>
    <xf numFmtId="0" fontId="0" fillId="3" borderId="58" xfId="0" applyFill="1" applyBorder="1" applyAlignment="1" applyProtection="1">
      <alignment horizontal="left" vertical="center"/>
      <protection locked="0"/>
    </xf>
    <xf numFmtId="14" fontId="0" fillId="3" borderId="58" xfId="0" applyNumberFormat="1" applyFill="1" applyBorder="1" applyAlignment="1" applyProtection="1">
      <alignment horizontal="left" vertical="center"/>
      <protection locked="0"/>
    </xf>
    <xf numFmtId="0" fontId="0" fillId="3" borderId="58" xfId="0" applyFill="1" applyBorder="1" applyAlignment="1" applyProtection="1">
      <alignment horizontal="left" vertical="center" wrapText="1"/>
      <protection locked="0"/>
    </xf>
    <xf numFmtId="0" fontId="5" fillId="4" borderId="63" xfId="6" applyBorder="1" applyAlignment="1">
      <alignment horizontal="center" vertical="center"/>
    </xf>
    <xf numFmtId="0" fontId="5" fillId="4" borderId="50" xfId="6" applyBorder="1" applyAlignment="1">
      <alignment horizontal="center" vertical="center"/>
    </xf>
    <xf numFmtId="0" fontId="5" fillId="4" borderId="64" xfId="6" applyBorder="1" applyAlignment="1">
      <alignment horizontal="center" vertical="center"/>
    </xf>
    <xf numFmtId="0" fontId="5" fillId="4" borderId="65" xfId="6" applyBorder="1" applyAlignment="1">
      <alignment horizontal="center" vertical="center"/>
    </xf>
    <xf numFmtId="0" fontId="0" fillId="0" borderId="22" xfId="0" applyBorder="1"/>
    <xf numFmtId="0" fontId="0" fillId="0" borderId="49" xfId="0" applyBorder="1"/>
    <xf numFmtId="0" fontId="0" fillId="4" borderId="43" xfId="6" applyFont="1" applyBorder="1" applyAlignment="1">
      <alignment horizontal="center" vertical="center"/>
    </xf>
    <xf numFmtId="0" fontId="3" fillId="2" borderId="3" xfId="3" applyAlignment="1" applyProtection="1">
      <alignment horizontal="center" vertical="center"/>
      <protection locked="0"/>
    </xf>
    <xf numFmtId="0" fontId="0" fillId="0" borderId="25" xfId="0" applyBorder="1" applyAlignment="1">
      <alignment horizontal="center"/>
    </xf>
    <xf numFmtId="0" fontId="0" fillId="11" borderId="52" xfId="0" applyFill="1" applyBorder="1"/>
    <xf numFmtId="0" fontId="0" fillId="11" borderId="22" xfId="0" applyFill="1" applyBorder="1"/>
    <xf numFmtId="0" fontId="0" fillId="11" borderId="49" xfId="0" applyFill="1" applyBorder="1"/>
    <xf numFmtId="0" fontId="3" fillId="2" borderId="3" xfId="3" applyAlignment="1" applyProtection="1">
      <alignment horizontal="center" vertical="center"/>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73" xfId="0" applyFont="1" applyBorder="1"/>
    <xf numFmtId="0" fontId="3" fillId="2" borderId="3" xfId="3" applyAlignment="1" applyProtection="1">
      <alignment horizontal="center" vertical="center"/>
      <protection locked="0"/>
    </xf>
    <xf numFmtId="0" fontId="5" fillId="7" borderId="41" xfId="7" applyFill="1" applyBorder="1" applyAlignment="1" applyProtection="1">
      <alignment horizontal="center"/>
    </xf>
    <xf numFmtId="9" fontId="5" fillId="7" borderId="41" xfId="4" applyFill="1" applyBorder="1" applyAlignment="1" applyProtection="1">
      <alignment horizontal="center"/>
    </xf>
    <xf numFmtId="164" fontId="5" fillId="8" borderId="42" xfId="8" applyNumberFormat="1" applyFill="1" applyBorder="1" applyAlignment="1" applyProtection="1">
      <alignment horizontal="center" vertical="center"/>
    </xf>
    <xf numFmtId="9" fontId="5" fillId="8" borderId="41" xfId="8" applyNumberFormat="1" applyFill="1" applyBorder="1" applyAlignment="1" applyProtection="1">
      <alignment horizontal="center" vertical="center"/>
    </xf>
    <xf numFmtId="0" fontId="5" fillId="8" borderId="41" xfId="8" applyFill="1" applyBorder="1" applyAlignment="1" applyProtection="1">
      <alignment horizontal="center" vertical="center"/>
    </xf>
    <xf numFmtId="0" fontId="5" fillId="4" borderId="43" xfId="6" applyBorder="1" applyAlignment="1" applyProtection="1">
      <alignment horizontal="center" vertical="center"/>
    </xf>
    <xf numFmtId="0" fontId="0" fillId="4" borderId="43" xfId="6" applyFont="1" applyBorder="1" applyAlignment="1" applyProtection="1">
      <alignment horizontal="center" vertical="center"/>
    </xf>
    <xf numFmtId="0" fontId="5" fillId="4" borderId="64" xfId="6" applyBorder="1" applyAlignment="1" applyProtection="1">
      <alignment horizontal="center" vertical="center"/>
    </xf>
    <xf numFmtId="0" fontId="5" fillId="4" borderId="65" xfId="6" applyBorder="1" applyAlignment="1" applyProtection="1">
      <alignment horizontal="center" vertical="center"/>
    </xf>
    <xf numFmtId="9" fontId="5" fillId="7" borderId="50" xfId="4" applyFill="1" applyBorder="1" applyAlignment="1" applyProtection="1">
      <alignment horizontal="center"/>
    </xf>
    <xf numFmtId="0" fontId="5" fillId="7" borderId="50" xfId="7" applyFill="1" applyBorder="1" applyAlignment="1" applyProtection="1">
      <alignment horizontal="center"/>
    </xf>
    <xf numFmtId="0" fontId="5" fillId="8" borderId="50" xfId="8" applyFill="1" applyBorder="1" applyAlignment="1" applyProtection="1">
      <alignment horizontal="center" vertical="center"/>
    </xf>
    <xf numFmtId="0" fontId="5" fillId="4" borderId="50" xfId="6" applyBorder="1" applyAlignment="1" applyProtection="1">
      <alignment horizontal="center" vertical="center"/>
    </xf>
    <xf numFmtId="0" fontId="0" fillId="4" borderId="50" xfId="6" applyFont="1" applyBorder="1" applyAlignment="1" applyProtection="1">
      <alignment horizontal="center" vertical="center"/>
    </xf>
    <xf numFmtId="0" fontId="5" fillId="4" borderId="54" xfId="6" applyBorder="1" applyAlignment="1" applyProtection="1">
      <alignment horizontal="center" vertical="center"/>
    </xf>
    <xf numFmtId="0" fontId="5" fillId="4" borderId="75" xfId="6" applyBorder="1" applyAlignment="1" applyProtection="1">
      <alignment horizontal="center" vertical="center"/>
    </xf>
    <xf numFmtId="0" fontId="0" fillId="4" borderId="75" xfId="6" applyFont="1" applyBorder="1" applyAlignment="1" applyProtection="1">
      <alignment horizontal="center" vertical="center"/>
    </xf>
    <xf numFmtId="0" fontId="5" fillId="7" borderId="76" xfId="7" applyFill="1" applyBorder="1" applyAlignment="1" applyProtection="1">
      <alignment horizontal="center"/>
    </xf>
    <xf numFmtId="0" fontId="5" fillId="7" borderId="77" xfId="7" applyFill="1" applyBorder="1" applyAlignment="1" applyProtection="1">
      <alignment horizontal="center"/>
    </xf>
    <xf numFmtId="0" fontId="3" fillId="2" borderId="3" xfId="3" applyAlignment="1" applyProtection="1">
      <alignment horizontal="center" vertical="center"/>
      <protection locked="0"/>
    </xf>
    <xf numFmtId="0" fontId="3" fillId="2" borderId="3" xfId="3" applyBorder="1"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1" xfId="0" applyBorder="1" applyAlignment="1">
      <alignment horizontal="center"/>
    </xf>
    <xf numFmtId="0" fontId="0" fillId="0" borderId="0" xfId="0" applyBorder="1" applyAlignment="1">
      <alignment horizontal="center"/>
    </xf>
    <xf numFmtId="0" fontId="0" fillId="0" borderId="0" xfId="0" applyBorder="1" applyAlignment="1" applyProtection="1">
      <alignment horizontal="center"/>
    </xf>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0" fontId="4" fillId="0" borderId="18" xfId="0" applyFont="1" applyBorder="1" applyAlignment="1" applyProtection="1">
      <alignment horizontal="center"/>
    </xf>
    <xf numFmtId="0" fontId="4" fillId="0" borderId="0" xfId="0" applyFont="1" applyAlignment="1">
      <alignment horizontal="center"/>
    </xf>
    <xf numFmtId="0" fontId="9" fillId="11" borderId="52" xfId="0" applyFont="1" applyFill="1" applyBorder="1" applyAlignment="1" applyProtection="1">
      <alignment horizontal="center"/>
    </xf>
    <xf numFmtId="0" fontId="0" fillId="0" borderId="0" xfId="0" applyAlignment="1">
      <alignment horizontal="center" wrapText="1"/>
    </xf>
    <xf numFmtId="0" fontId="0" fillId="0" borderId="40" xfId="0" applyBorder="1" applyAlignment="1" applyProtection="1">
      <alignment horizontal="center"/>
    </xf>
    <xf numFmtId="0" fontId="6" fillId="2" borderId="36" xfId="3" applyFont="1" applyBorder="1" applyAlignment="1" applyProtection="1">
      <alignment horizontal="center"/>
    </xf>
    <xf numFmtId="0" fontId="6" fillId="2" borderId="37" xfId="3" applyFont="1" applyBorder="1" applyAlignment="1" applyProtection="1">
      <alignment horizontal="center"/>
    </xf>
    <xf numFmtId="0" fontId="4" fillId="7" borderId="48" xfId="7" applyFont="1" applyFill="1" applyBorder="1" applyAlignment="1" applyProtection="1">
      <alignment horizontal="center"/>
    </xf>
    <xf numFmtId="0" fontId="4" fillId="6" borderId="47" xfId="8" applyFont="1" applyBorder="1" applyAlignment="1" applyProtection="1">
      <alignment horizontal="center"/>
    </xf>
    <xf numFmtId="0" fontId="4" fillId="6" borderId="48" xfId="8" applyFont="1" applyBorder="1" applyAlignment="1" applyProtection="1">
      <alignment horizontal="center"/>
    </xf>
    <xf numFmtId="0" fontId="0" fillId="3" borderId="30" xfId="0" applyFill="1" applyBorder="1" applyAlignment="1">
      <alignment horizontal="center"/>
    </xf>
    <xf numFmtId="0" fontId="4" fillId="7" borderId="56" xfId="7" applyFont="1" applyFill="1" applyBorder="1" applyAlignment="1" applyProtection="1">
      <alignment horizontal="center"/>
    </xf>
    <xf numFmtId="9" fontId="4" fillId="7" borderId="46" xfId="4" applyFont="1" applyFill="1" applyBorder="1" applyAlignment="1" applyProtection="1">
      <alignment horizontal="center"/>
    </xf>
    <xf numFmtId="0" fontId="4" fillId="7" borderId="45" xfId="7" applyFont="1" applyFill="1" applyBorder="1" applyAlignment="1" applyProtection="1">
      <alignment horizontal="center"/>
    </xf>
    <xf numFmtId="0" fontId="4" fillId="8" borderId="56" xfId="8" applyFont="1" applyFill="1" applyBorder="1" applyAlignment="1" applyProtection="1">
      <alignment horizontal="center"/>
    </xf>
    <xf numFmtId="9" fontId="4" fillId="8" borderId="46" xfId="8" applyNumberFormat="1" applyFont="1" applyFill="1" applyBorder="1" applyAlignment="1" applyProtection="1">
      <alignment horizontal="center"/>
    </xf>
    <xf numFmtId="0" fontId="4" fillId="8" borderId="57" xfId="8" applyFont="1" applyFill="1" applyBorder="1" applyAlignment="1" applyProtection="1">
      <alignment horizontal="center"/>
    </xf>
    <xf numFmtId="0" fontId="4" fillId="0" borderId="32" xfId="0" applyFont="1" applyFill="1" applyBorder="1" applyAlignment="1" applyProtection="1">
      <alignment horizontal="center" vertical="center"/>
    </xf>
    <xf numFmtId="164" fontId="0" fillId="0" borderId="68" xfId="0" applyNumberFormat="1" applyFill="1" applyBorder="1" applyAlignment="1" applyProtection="1">
      <alignment horizontal="center" vertical="center"/>
    </xf>
    <xf numFmtId="164" fontId="0" fillId="0" borderId="33" xfId="0" applyNumberFormat="1" applyFill="1" applyBorder="1" applyAlignment="1" applyProtection="1">
      <alignment horizontal="center" vertical="center"/>
    </xf>
    <xf numFmtId="164" fontId="0" fillId="0" borderId="9" xfId="0" applyNumberFormat="1" applyFill="1" applyBorder="1" applyAlignment="1" applyProtection="1">
      <alignment horizontal="center" vertical="center"/>
    </xf>
    <xf numFmtId="164" fontId="0" fillId="0" borderId="8" xfId="0" applyNumberFormat="1" applyFill="1" applyBorder="1" applyAlignment="1" applyProtection="1">
      <alignment horizontal="center" vertical="center"/>
    </xf>
    <xf numFmtId="164" fontId="0" fillId="0" borderId="82" xfId="0" applyNumberFormat="1" applyFill="1" applyBorder="1" applyAlignment="1" applyProtection="1">
      <alignment horizontal="center" vertical="center"/>
    </xf>
    <xf numFmtId="0" fontId="9" fillId="11" borderId="22" xfId="0" applyFont="1" applyFill="1" applyBorder="1" applyAlignment="1" applyProtection="1">
      <alignment horizontal="center"/>
    </xf>
    <xf numFmtId="164" fontId="0" fillId="0" borderId="21" xfId="0" applyNumberFormat="1" applyFill="1" applyBorder="1" applyAlignment="1" applyProtection="1">
      <alignment horizontal="center" vertical="center"/>
    </xf>
    <xf numFmtId="164" fontId="0" fillId="0" borderId="0" xfId="0" applyNumberFormat="1" applyFill="1" applyBorder="1" applyAlignment="1" applyProtection="1">
      <alignment horizontal="center" vertical="center"/>
    </xf>
    <xf numFmtId="164" fontId="0" fillId="0" borderId="78" xfId="0" applyNumberFormat="1" applyFill="1" applyBorder="1" applyAlignment="1" applyProtection="1">
      <alignment horizontal="center" vertical="center"/>
    </xf>
    <xf numFmtId="164" fontId="0" fillId="0" borderId="83" xfId="0" applyNumberFormat="1" applyFill="1" applyBorder="1" applyAlignment="1" applyProtection="1">
      <alignment horizontal="center" vertical="center"/>
    </xf>
    <xf numFmtId="164" fontId="0" fillId="0" borderId="80" xfId="0" applyNumberFormat="1" applyFill="1" applyBorder="1" applyAlignment="1" applyProtection="1">
      <alignment horizontal="center" vertical="center"/>
    </xf>
    <xf numFmtId="164" fontId="0" fillId="0" borderId="23" xfId="0" applyNumberFormat="1" applyFill="1" applyBorder="1" applyAlignment="1" applyProtection="1">
      <alignment horizontal="center" vertical="center"/>
    </xf>
    <xf numFmtId="164" fontId="0" fillId="0" borderId="24" xfId="0" applyNumberFormat="1" applyFill="1" applyBorder="1" applyAlignment="1" applyProtection="1">
      <alignment horizontal="center" vertical="center"/>
    </xf>
    <xf numFmtId="164" fontId="0" fillId="0" borderId="79" xfId="0" applyNumberFormat="1" applyFill="1" applyBorder="1" applyAlignment="1" applyProtection="1">
      <alignment horizontal="center" vertical="center"/>
    </xf>
    <xf numFmtId="164" fontId="0" fillId="0" borderId="84" xfId="0" applyNumberFormat="1" applyFill="1" applyBorder="1" applyAlignment="1" applyProtection="1">
      <alignment horizontal="center" vertical="center"/>
    </xf>
    <xf numFmtId="164" fontId="0" fillId="0" borderId="81" xfId="0" applyNumberFormat="1" applyFill="1" applyBorder="1" applyAlignment="1" applyProtection="1">
      <alignment horizontal="center" vertical="center"/>
    </xf>
    <xf numFmtId="0" fontId="9" fillId="11" borderId="49" xfId="0" applyFont="1" applyFill="1" applyBorder="1" applyAlignment="1" applyProtection="1">
      <alignment horizontal="center"/>
    </xf>
    <xf numFmtId="9" fontId="0" fillId="0" borderId="0" xfId="4" applyFont="1" applyBorder="1" applyAlignment="1">
      <alignment horizontal="center"/>
    </xf>
    <xf numFmtId="0" fontId="4" fillId="7" borderId="47" xfId="4" applyNumberFormat="1" applyFont="1" applyFill="1" applyBorder="1" applyAlignment="1" applyProtection="1">
      <alignment horizontal="center"/>
    </xf>
    <xf numFmtId="0" fontId="0" fillId="12" borderId="0" xfId="0" applyFill="1" applyAlignment="1" applyProtection="1">
      <alignment horizontal="center"/>
      <protection locked="0"/>
    </xf>
    <xf numFmtId="0" fontId="4" fillId="12" borderId="0" xfId="0" applyFont="1" applyFill="1" applyAlignment="1" applyProtection="1">
      <alignment horizontal="center"/>
      <protection locked="0"/>
    </xf>
    <xf numFmtId="0" fontId="0" fillId="12" borderId="0" xfId="0" applyFill="1" applyAlignment="1">
      <alignment horizontal="center" vertical="center"/>
    </xf>
    <xf numFmtId="0" fontId="0" fillId="12" borderId="0" xfId="0" applyFill="1" applyAlignment="1" applyProtection="1">
      <alignment horizontal="center" vertical="center"/>
      <protection locked="0"/>
    </xf>
    <xf numFmtId="0" fontId="0" fillId="9" borderId="66" xfId="0" applyFill="1" applyBorder="1" applyAlignment="1">
      <alignment vertical="center"/>
    </xf>
    <xf numFmtId="0" fontId="0" fillId="9" borderId="52" xfId="0" applyFill="1" applyBorder="1" applyAlignment="1">
      <alignment vertical="center"/>
    </xf>
    <xf numFmtId="0" fontId="0" fillId="9" borderId="67" xfId="0" applyFill="1" applyBorder="1" applyAlignment="1">
      <alignment vertical="center"/>
    </xf>
    <xf numFmtId="0" fontId="0" fillId="0" borderId="68" xfId="0" applyBorder="1" applyAlignment="1">
      <alignment horizontal="center" wrapText="1"/>
    </xf>
    <xf numFmtId="0" fontId="0" fillId="0" borderId="33" xfId="0" applyBorder="1" applyAlignment="1">
      <alignment horizontal="center" wrapText="1"/>
    </xf>
    <xf numFmtId="0" fontId="0" fillId="0" borderId="69"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70" xfId="0" applyBorder="1" applyAlignment="1">
      <alignment horizontal="center" wrapText="1"/>
    </xf>
    <xf numFmtId="0" fontId="0" fillId="0" borderId="71" xfId="0" applyBorder="1" applyAlignment="1">
      <alignment horizontal="center" wrapText="1"/>
    </xf>
    <xf numFmtId="0" fontId="0" fillId="0" borderId="72"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40" xfId="0" applyFont="1" applyBorder="1" applyAlignment="1">
      <alignment horizontal="center"/>
    </xf>
    <xf numFmtId="0" fontId="4" fillId="0" borderId="37" xfId="0" applyFont="1" applyBorder="1" applyAlignment="1">
      <alignment horizontal="center"/>
    </xf>
    <xf numFmtId="0" fontId="4" fillId="0" borderId="74"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6" fillId="2" borderId="37" xfId="3" applyFont="1" applyBorder="1" applyAlignment="1" applyProtection="1">
      <alignment horizontal="center" vertical="center"/>
    </xf>
    <xf numFmtId="0" fontId="6" fillId="2" borderId="36" xfId="3" applyFont="1" applyBorder="1" applyAlignment="1" applyProtection="1">
      <alignment horizontal="center" vertical="center"/>
    </xf>
    <xf numFmtId="0" fontId="6" fillId="2" borderId="53" xfId="3" applyFont="1"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40" xfId="5" applyBorder="1" applyAlignment="1" applyProtection="1">
      <alignment horizontal="center"/>
    </xf>
    <xf numFmtId="0" fontId="2" fillId="0" borderId="37" xfId="5" applyBorder="1" applyAlignment="1" applyProtection="1">
      <alignment horizontal="center"/>
    </xf>
    <xf numFmtId="0" fontId="2" fillId="0" borderId="36" xfId="5" applyBorder="1" applyAlignment="1" applyProtection="1">
      <alignment horizontal="center"/>
    </xf>
    <xf numFmtId="0" fontId="2" fillId="0" borderId="35" xfId="5" applyBorder="1" applyAlignment="1" applyProtection="1">
      <alignment horizontal="center"/>
    </xf>
    <xf numFmtId="0" fontId="2" fillId="0" borderId="74" xfId="5" applyBorder="1" applyAlignment="1" applyProtection="1">
      <alignment horizontal="center"/>
    </xf>
    <xf numFmtId="0" fontId="4" fillId="7" borderId="47" xfId="4" applyNumberFormat="1" applyFont="1" applyFill="1" applyBorder="1" applyAlignment="1" applyProtection="1">
      <alignment horizontal="center"/>
    </xf>
    <xf numFmtId="0" fontId="4" fillId="7" borderId="85" xfId="4" applyNumberFormat="1" applyFont="1" applyFill="1" applyBorder="1" applyAlignment="1" applyProtection="1">
      <alignment horizontal="center"/>
    </xf>
    <xf numFmtId="0" fontId="4" fillId="6" borderId="47" xfId="8" applyFont="1" applyBorder="1" applyAlignment="1" applyProtection="1">
      <alignment horizontal="center"/>
    </xf>
    <xf numFmtId="0" fontId="4" fillId="6" borderId="48" xfId="8" applyFont="1" applyBorder="1" applyAlignment="1" applyProtection="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6" fillId="2" borderId="53" xfId="3" applyFont="1" applyBorder="1" applyAlignment="1">
      <alignment horizontal="center"/>
    </xf>
    <xf numFmtId="0" fontId="6" fillId="2" borderId="19" xfId="3" applyFont="1" applyBorder="1" applyAlignment="1">
      <alignment horizontal="center"/>
    </xf>
    <xf numFmtId="0" fontId="6" fillId="2" borderId="20" xfId="3" applyFont="1" applyBorder="1" applyAlignment="1">
      <alignment horizontal="center"/>
    </xf>
    <xf numFmtId="0" fontId="2" fillId="0" borderId="40" xfId="5" applyBorder="1" applyAlignment="1">
      <alignment horizontal="center"/>
    </xf>
    <xf numFmtId="0" fontId="2" fillId="0" borderId="37" xfId="5" applyBorder="1" applyAlignment="1">
      <alignment horizontal="center"/>
    </xf>
    <xf numFmtId="0" fontId="2" fillId="0" borderId="36" xfId="5" applyBorder="1" applyAlignment="1">
      <alignment horizontal="center"/>
    </xf>
    <xf numFmtId="0" fontId="2" fillId="0" borderId="35" xfId="5" applyBorder="1" applyAlignment="1">
      <alignment horizontal="center"/>
    </xf>
    <xf numFmtId="0" fontId="4" fillId="7" borderId="47" xfId="7" applyFont="1" applyFill="1" applyBorder="1"/>
    <xf numFmtId="0" fontId="4" fillId="7" borderId="48" xfId="7" applyFont="1" applyFill="1" applyBorder="1"/>
    <xf numFmtId="0" fontId="4" fillId="6" borderId="47" xfId="8" applyFont="1" applyBorder="1"/>
    <xf numFmtId="0" fontId="4" fillId="6" borderId="48" xfId="8" applyFont="1" applyBorder="1"/>
    <xf numFmtId="0" fontId="4" fillId="0" borderId="8" xfId="0" applyFont="1" applyFill="1" applyBorder="1" applyAlignment="1">
      <alignment horizontal="center" vertical="center"/>
    </xf>
    <xf numFmtId="0" fontId="4" fillId="0" borderId="39" xfId="0" applyFont="1" applyFill="1" applyBorder="1" applyAlignment="1">
      <alignment horizontal="center" vertical="center"/>
    </xf>
    <xf numFmtId="0" fontId="6" fillId="2" borderId="37" xfId="3" applyFont="1" applyBorder="1" applyAlignment="1">
      <alignment horizontal="center"/>
    </xf>
    <xf numFmtId="0" fontId="6" fillId="2" borderId="36" xfId="3" applyFont="1" applyBorder="1" applyAlignment="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47">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ill>
        <patternFill>
          <bgColor rgb="FFFFCCFF"/>
        </patternFill>
      </fill>
      <border>
        <right style="thin">
          <color theme="0" tint="-0.24994659260841701"/>
        </right>
        <bottom style="thin">
          <color theme="0" tint="-0.24994659260841701"/>
        </bottom>
      </border>
    </dxf>
    <dxf>
      <fill>
        <patternFill patternType="none">
          <bgColor auto="1"/>
        </patternFill>
      </fill>
    </dxf>
    <dxf>
      <font>
        <strike val="0"/>
        <color rgb="FFFF0000"/>
      </font>
      <fill>
        <patternFill>
          <bgColor rgb="FFFF9F9F"/>
        </patternFill>
      </fill>
    </dxf>
    <dxf>
      <font>
        <strike/>
      </font>
    </dxf>
    <dxf>
      <fill>
        <patternFill>
          <bgColor rgb="FFFFCCFF"/>
        </patternFill>
      </fill>
      <border>
        <right style="thin">
          <color theme="0" tint="-0.24994659260841701"/>
        </right>
        <bottom style="thin">
          <color theme="0" tint="-0.24994659260841701"/>
        </bottom>
      </border>
    </dxf>
    <dxf>
      <fill>
        <patternFill patternType="none">
          <bgColor auto="1"/>
        </patternFill>
      </fill>
    </dxf>
    <dxf>
      <font>
        <strike val="0"/>
        <color rgb="FFFF0000"/>
      </font>
      <fill>
        <patternFill>
          <bgColor rgb="FFFF9F9F"/>
        </patternFill>
      </fill>
    </dxf>
    <dxf>
      <fill>
        <patternFill>
          <bgColor rgb="FFFFCCFF"/>
        </patternFill>
      </fill>
      <border>
        <right style="thin">
          <color theme="0" tint="-0.24994659260841701"/>
        </right>
        <bottom style="thin">
          <color theme="0" tint="-0.24994659260841701"/>
        </bottom>
      </border>
    </dxf>
    <dxf>
      <fill>
        <patternFill patternType="none">
          <bgColor auto="1"/>
        </patternFill>
      </fill>
    </dxf>
    <dxf>
      <font>
        <strike val="0"/>
        <color rgb="FFFF0000"/>
      </font>
      <fill>
        <patternFill>
          <bgColor rgb="FFFF9F9F"/>
        </patternFill>
      </fill>
    </dxf>
    <dxf>
      <font>
        <strike val="0"/>
        <color theme="0"/>
      </font>
    </dxf>
    <dxf>
      <font>
        <strike/>
      </font>
    </dxf>
    <dxf>
      <fill>
        <patternFill>
          <bgColor rgb="FFFFCCFF"/>
        </patternFill>
      </fill>
      <border>
        <right style="thin">
          <color theme="0" tint="-0.24994659260841701"/>
        </right>
        <bottom style="thin">
          <color theme="0" tint="-0.24994659260841701"/>
        </bottom>
      </border>
    </dxf>
    <dxf>
      <fill>
        <patternFill patternType="none">
          <bgColor auto="1"/>
        </patternFill>
      </fill>
    </dxf>
    <dxf>
      <font>
        <strike val="0"/>
        <color rgb="FFFF0000"/>
      </font>
      <fill>
        <patternFill>
          <bgColor rgb="FFFF9F9F"/>
        </patternFill>
      </fill>
    </dxf>
    <dxf>
      <fill>
        <patternFill>
          <bgColor rgb="FFFFCCFF"/>
        </patternFill>
      </fill>
      <border>
        <right style="thin">
          <color theme="0" tint="-0.24994659260841701"/>
        </right>
        <bottom style="thin">
          <color theme="0" tint="-0.24994659260841701"/>
        </bottom>
      </border>
    </dxf>
    <dxf>
      <fill>
        <patternFill patternType="none">
          <bgColor auto="1"/>
        </patternFill>
      </fill>
    </dxf>
    <dxf>
      <font>
        <strike val="0"/>
        <color rgb="FFFF0000"/>
      </font>
      <fill>
        <patternFill>
          <bgColor rgb="FFFF9F9F"/>
        </patternFill>
      </fill>
    </dxf>
    <dxf>
      <fill>
        <patternFill>
          <bgColor rgb="FFFFCCFF"/>
        </patternFill>
      </fill>
      <border>
        <right style="thin">
          <color theme="0" tint="-0.24994659260841701"/>
        </right>
        <bottom style="thin">
          <color theme="0" tint="-0.24994659260841701"/>
        </bottom>
      </border>
    </dxf>
    <dxf>
      <fill>
        <patternFill patternType="none">
          <bgColor auto="1"/>
        </patternFill>
      </fill>
    </dxf>
    <dxf>
      <font>
        <strike val="0"/>
        <color rgb="FFFF0000"/>
      </font>
      <fill>
        <patternFill>
          <bgColor rgb="FFFF9F9F"/>
        </patternFill>
      </fill>
    </dxf>
    <dxf>
      <fill>
        <patternFill>
          <bgColor rgb="FFFFCCFF"/>
        </patternFill>
      </fill>
      <border>
        <right style="thin">
          <color theme="0" tint="-0.24994659260841701"/>
        </right>
        <bottom style="thin">
          <color theme="0" tint="-0.24994659260841701"/>
        </bottom>
      </border>
    </dxf>
    <dxf>
      <fill>
        <patternFill patternType="none">
          <bgColor auto="1"/>
        </patternFill>
      </fill>
    </dxf>
    <dxf>
      <font>
        <strike val="0"/>
        <color rgb="FFFF0000"/>
      </font>
      <fill>
        <patternFill>
          <bgColor rgb="FFFF9F9F"/>
        </patternFill>
      </fill>
    </dxf>
    <dxf>
      <font>
        <strike val="0"/>
        <color theme="0"/>
      </font>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104775</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123825</xdr:colOff>
      <xdr:row>40</xdr:row>
      <xdr:rowOff>133350</xdr:rowOff>
    </xdr:from>
    <xdr:to>
      <xdr:col>0</xdr:col>
      <xdr:colOff>676275</xdr:colOff>
      <xdr:row>44</xdr:row>
      <xdr:rowOff>99580</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23825" y="7772400"/>
          <a:ext cx="552450" cy="728230"/>
        </a:xfrm>
        <a:prstGeom prst="rect">
          <a:avLst/>
        </a:prstGeom>
      </xdr:spPr>
    </xdr:pic>
    <xdr:clientData/>
  </xdr:twoCellAnchor>
  <xdr:twoCellAnchor editAs="oneCell">
    <xdr:from>
      <xdr:col>0</xdr:col>
      <xdr:colOff>800100</xdr:colOff>
      <xdr:row>40</xdr:row>
      <xdr:rowOff>145905</xdr:rowOff>
    </xdr:from>
    <xdr:to>
      <xdr:col>1</xdr:col>
      <xdr:colOff>295275</xdr:colOff>
      <xdr:row>44</xdr:row>
      <xdr:rowOff>99580</xdr:rowOff>
    </xdr:to>
    <xdr:pic macro="[0]!DeleteSelected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800100" y="7784955"/>
          <a:ext cx="542925" cy="715675"/>
        </a:xfrm>
        <a:prstGeom prst="rect">
          <a:avLst/>
        </a:prstGeom>
      </xdr:spPr>
    </xdr:pic>
    <xdr:clientData/>
  </xdr:twoCellAnchor>
  <xdr:twoCellAnchor editAs="oneCell">
    <xdr:from>
      <xdr:col>1</xdr:col>
      <xdr:colOff>419099</xdr:colOff>
      <xdr:row>40</xdr:row>
      <xdr:rowOff>145905</xdr:rowOff>
    </xdr:from>
    <xdr:to>
      <xdr:col>1</xdr:col>
      <xdr:colOff>962024</xdr:colOff>
      <xdr:row>44</xdr:row>
      <xdr:rowOff>99580</xdr:rowOff>
    </xdr:to>
    <xdr:pic macro="[0]!HideColumn">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1466849" y="7784955"/>
          <a:ext cx="542925" cy="715675"/>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104775</xdr:rowOff>
        </xdr:to>
        <xdr:sp macro="" textlink="">
          <xdr:nvSpPr>
            <xdr:cNvPr id="17409" name="Group Box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123825</xdr:colOff>
      <xdr:row>40</xdr:row>
      <xdr:rowOff>133350</xdr:rowOff>
    </xdr:from>
    <xdr:to>
      <xdr:col>0</xdr:col>
      <xdr:colOff>676275</xdr:colOff>
      <xdr:row>44</xdr:row>
      <xdr:rowOff>99580</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23825" y="7772400"/>
          <a:ext cx="552450" cy="728230"/>
        </a:xfrm>
        <a:prstGeom prst="rect">
          <a:avLst/>
        </a:prstGeom>
      </xdr:spPr>
    </xdr:pic>
    <xdr:clientData/>
  </xdr:twoCellAnchor>
  <xdr:twoCellAnchor editAs="oneCell">
    <xdr:from>
      <xdr:col>0</xdr:col>
      <xdr:colOff>800100</xdr:colOff>
      <xdr:row>40</xdr:row>
      <xdr:rowOff>145905</xdr:rowOff>
    </xdr:from>
    <xdr:to>
      <xdr:col>1</xdr:col>
      <xdr:colOff>295275</xdr:colOff>
      <xdr:row>44</xdr:row>
      <xdr:rowOff>99580</xdr:rowOff>
    </xdr:to>
    <xdr:pic macro="[0]!DeleteSelectedColumns">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800100" y="7784955"/>
          <a:ext cx="542925" cy="715675"/>
        </a:xfrm>
        <a:prstGeom prst="rect">
          <a:avLst/>
        </a:prstGeom>
      </xdr:spPr>
    </xdr:pic>
    <xdr:clientData/>
  </xdr:twoCellAnchor>
  <xdr:twoCellAnchor editAs="oneCell">
    <xdr:from>
      <xdr:col>1</xdr:col>
      <xdr:colOff>419099</xdr:colOff>
      <xdr:row>40</xdr:row>
      <xdr:rowOff>145905</xdr:rowOff>
    </xdr:from>
    <xdr:to>
      <xdr:col>1</xdr:col>
      <xdr:colOff>962024</xdr:colOff>
      <xdr:row>44</xdr:row>
      <xdr:rowOff>99580</xdr:rowOff>
    </xdr:to>
    <xdr:pic macro="[0]!HideColumn">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49" y="7784955"/>
          <a:ext cx="542925" cy="715675"/>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1929493" y="376917"/>
          <a:ext cx="146127" cy="375560"/>
          <a:chOff x="4370613" y="2128157"/>
          <a:chExt cx="146127" cy="375560"/>
        </a:xfrm>
      </xdr:grpSpPr>
      <xdr:sp macro="[0]!AddAssessment" textlink="">
        <xdr:nvSpPr>
          <xdr:cNvPr id="7" name="Trapezoid 6">
            <a:extLst>
              <a:ext uri="{FF2B5EF4-FFF2-40B4-BE49-F238E27FC236}">
                <a16:creationId xmlns:a16="http://schemas.microsoft.com/office/drawing/2014/main" id="{00000000-0008-0000-0200-000007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8" name="Cross 7">
            <a:extLst>
              <a:ext uri="{FF2B5EF4-FFF2-40B4-BE49-F238E27FC236}">
                <a16:creationId xmlns:a16="http://schemas.microsoft.com/office/drawing/2014/main" id="{00000000-0008-0000-0200-000008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12247" y="376918"/>
          <a:ext cx="146127" cy="375560"/>
          <a:chOff x="4659085" y="2122715"/>
          <a:chExt cx="146127" cy="375560"/>
        </a:xfrm>
      </xdr:grpSpPr>
      <xdr:sp macro="[0]!DeleteLastAssess" textlink="">
        <xdr:nvSpPr>
          <xdr:cNvPr id="10" name="Trapezoid 9">
            <a:extLst>
              <a:ext uri="{FF2B5EF4-FFF2-40B4-BE49-F238E27FC236}">
                <a16:creationId xmlns:a16="http://schemas.microsoft.com/office/drawing/2014/main" id="{00000000-0008-0000-0200-00000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11" name="Minus Sign 10">
            <a:extLst>
              <a:ext uri="{FF2B5EF4-FFF2-40B4-BE49-F238E27FC236}">
                <a16:creationId xmlns:a16="http://schemas.microsoft.com/office/drawing/2014/main" id="{00000000-0008-0000-0200-00000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drawings/drawing4.xml><?xml version="1.0" encoding="utf-8"?>
<xdr:wsDr xmlns:xdr="http://schemas.openxmlformats.org/drawingml/2006/spreadsheetDrawing" xmlns:a="http://schemas.openxmlformats.org/drawingml/2006/main">
  <xdr:oneCellAnchor>
    <xdr:from>
      <xdr:col>9</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022912" y="7687235"/>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22</xdr:col>
      <xdr:colOff>33617</xdr:colOff>
      <xdr:row>0</xdr:row>
      <xdr:rowOff>56029</xdr:rowOff>
    </xdr:from>
    <xdr:ext cx="4078941" cy="7519147"/>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13122088" y="56029"/>
          <a:ext cx="4078941" cy="7519147"/>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4</xdr:col>
      <xdr:colOff>44822</xdr:colOff>
      <xdr:row>1</xdr:row>
      <xdr:rowOff>179294</xdr:rowOff>
    </xdr:from>
    <xdr:ext cx="1355913" cy="7182971"/>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2935940" y="369794"/>
          <a:ext cx="1355913" cy="7182971"/>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5" idx="0"/>
        </xdr:cNvCxnSpPr>
      </xdr:nvCxnSpPr>
      <xdr:spPr>
        <a:xfrm flipH="1" flipV="1">
          <a:off x="840441" y="762000"/>
          <a:ext cx="128951"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313764</xdr:colOff>
      <xdr:row>10</xdr:row>
      <xdr:rowOff>22412</xdr:rowOff>
    </xdr:from>
    <xdr:ext cx="1311256" cy="468077"/>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313764" y="1927412"/>
          <a:ext cx="1311256"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a:solidFill>
                <a:srgbClr val="FF0000"/>
              </a:solidFill>
            </a:rPr>
            <a:t>Mark Type</a:t>
          </a:r>
        </a:p>
        <a:p>
          <a:r>
            <a:rPr lang="en-AU" sz="1200">
              <a:solidFill>
                <a:srgbClr val="FF0000"/>
              </a:solidFill>
            </a:rPr>
            <a:t>PADI,</a:t>
          </a:r>
          <a:r>
            <a:rPr lang="en-AU" sz="1200" baseline="0">
              <a:solidFill>
                <a:srgbClr val="FF0000"/>
              </a:solidFill>
            </a:rPr>
            <a:t> SU, SHE etc.</a:t>
          </a:r>
          <a:endParaRPr lang="en-AU" sz="1200">
            <a:solidFill>
              <a:srgbClr val="FF0000"/>
            </a:solidFill>
          </a:endParaRPr>
        </a:p>
      </xdr:txBody>
    </xdr:sp>
    <xdr:clientData/>
  </xdr:oneCellAnchor>
  <xdr:twoCellAnchor>
    <xdr:from>
      <xdr:col>1</xdr:col>
      <xdr:colOff>224117</xdr:colOff>
      <xdr:row>3</xdr:row>
      <xdr:rowOff>22412</xdr:rowOff>
    </xdr:from>
    <xdr:to>
      <xdr:col>2</xdr:col>
      <xdr:colOff>644337</xdr:colOff>
      <xdr:row>12</xdr:row>
      <xdr:rowOff>156883</xdr:rowOff>
    </xdr:to>
    <xdr:cxnSp macro="">
      <xdr:nvCxnSpPr>
        <xdr:cNvPr id="16" name="Straight Arrow Connector 15">
          <a:extLst>
            <a:ext uri="{FF2B5EF4-FFF2-40B4-BE49-F238E27FC236}">
              <a16:creationId xmlns:a16="http://schemas.microsoft.com/office/drawing/2014/main" id="{00000000-0008-0000-0400-000010000000}"/>
            </a:ext>
          </a:extLst>
        </xdr:cNvPr>
        <xdr:cNvCxnSpPr>
          <a:stCxn id="18" idx="0"/>
        </xdr:cNvCxnSpPr>
      </xdr:nvCxnSpPr>
      <xdr:spPr>
        <a:xfrm flipH="1" flipV="1">
          <a:off x="1355911" y="593912"/>
          <a:ext cx="733985" cy="184897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190499</xdr:colOff>
      <xdr:row>12</xdr:row>
      <xdr:rowOff>156883</xdr:rowOff>
    </xdr:from>
    <xdr:ext cx="1535205" cy="468077"/>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2293" y="2442883"/>
          <a:ext cx="1535205"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Maximum Amount of</a:t>
          </a:r>
          <a:r>
            <a:rPr lang="en-AU" sz="1200" baseline="0">
              <a:solidFill>
                <a:srgbClr val="FF0000"/>
              </a:solidFill>
            </a:rPr>
            <a:t> </a:t>
          </a:r>
          <a:r>
            <a:rPr lang="en-AU" sz="1200">
              <a:solidFill>
                <a:srgbClr val="FF0000"/>
              </a:solidFill>
            </a:rPr>
            <a:t>Marks for</a:t>
          </a:r>
          <a:r>
            <a:rPr lang="en-AU" sz="1200" baseline="0">
              <a:solidFill>
                <a:srgbClr val="FF0000"/>
              </a:solidFill>
            </a:rPr>
            <a:t> the type</a:t>
          </a:r>
          <a:endParaRPr lang="en-AU" sz="1200">
            <a:solidFill>
              <a:srgbClr val="FF0000"/>
            </a:solidFill>
          </a:endParaRPr>
        </a:p>
      </xdr:txBody>
    </xdr:sp>
    <xdr:clientData/>
  </xdr:oneCellAnchor>
  <xdr:oneCellAnchor>
    <xdr:from>
      <xdr:col>4</xdr:col>
      <xdr:colOff>112059</xdr:colOff>
      <xdr:row>36</xdr:row>
      <xdr:rowOff>168088</xdr:rowOff>
    </xdr:from>
    <xdr:ext cx="1389530" cy="468077"/>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3003177" y="7026088"/>
          <a:ext cx="138953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a:t>
          </a:r>
          <a:endParaRPr lang="en-AU" sz="1200">
            <a:solidFill>
              <a:srgbClr val="FF0000"/>
            </a:solidFill>
          </a:endParaRPr>
        </a:p>
      </xdr:txBody>
    </xdr:sp>
    <xdr:clientData/>
  </xdr:oneCellAnchor>
  <xdr:oneCellAnchor>
    <xdr:from>
      <xdr:col>12</xdr:col>
      <xdr:colOff>22414</xdr:colOff>
      <xdr:row>1</xdr:row>
      <xdr:rowOff>22412</xdr:rowOff>
    </xdr:from>
    <xdr:ext cx="5591734" cy="7351059"/>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7250208" y="212912"/>
          <a:ext cx="5591734" cy="7351059"/>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14</xdr:col>
      <xdr:colOff>280147</xdr:colOff>
      <xdr:row>36</xdr:row>
      <xdr:rowOff>6917</xdr:rowOff>
    </xdr:from>
    <xdr:ext cx="2857500" cy="65594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8763000" y="6864917"/>
          <a:ext cx="2857500"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endParaRPr lang="en-AU" sz="1200">
            <a:solidFill>
              <a:srgbClr val="FF0000"/>
            </a:solidFill>
          </a:endParaRPr>
        </a:p>
      </xdr:txBody>
    </xdr:sp>
    <xdr:clientData/>
  </xdr:oneCellAnchor>
  <xdr:twoCellAnchor>
    <xdr:from>
      <xdr:col>6</xdr:col>
      <xdr:colOff>750798</xdr:colOff>
      <xdr:row>7</xdr:row>
      <xdr:rowOff>179297</xdr:rowOff>
    </xdr:from>
    <xdr:to>
      <xdr:col>7</xdr:col>
      <xdr:colOff>128867</xdr:colOff>
      <xdr:row>10</xdr:row>
      <xdr:rowOff>112059</xdr:rowOff>
    </xdr:to>
    <xdr:cxnSp macro="">
      <xdr:nvCxnSpPr>
        <xdr:cNvPr id="33" name="Straight Arrow Connector 32">
          <a:extLst>
            <a:ext uri="{FF2B5EF4-FFF2-40B4-BE49-F238E27FC236}">
              <a16:creationId xmlns:a16="http://schemas.microsoft.com/office/drawing/2014/main" id="{00000000-0008-0000-0400-000021000000}"/>
            </a:ext>
          </a:extLst>
        </xdr:cNvPr>
        <xdr:cNvCxnSpPr>
          <a:stCxn id="35" idx="0"/>
        </xdr:cNvCxnSpPr>
      </xdr:nvCxnSpPr>
      <xdr:spPr>
        <a:xfrm flipH="1" flipV="1">
          <a:off x="5087474" y="1512797"/>
          <a:ext cx="509864"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392206</xdr:colOff>
      <xdr:row>10</xdr:row>
      <xdr:rowOff>112059</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4728882" y="2017059"/>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needs to be inputted, will turn white once data inputted.</a:t>
          </a:r>
          <a:endParaRPr lang="en-AU" sz="1200">
            <a:solidFill>
              <a:srgbClr val="FF0000"/>
            </a:solidFill>
          </a:endParaRPr>
        </a:p>
      </xdr:txBody>
    </xdr:sp>
    <xdr:clientData/>
  </xdr:oneCellAnchor>
  <xdr:twoCellAnchor>
    <xdr:from>
      <xdr:col>7</xdr:col>
      <xdr:colOff>128867</xdr:colOff>
      <xdr:row>7</xdr:row>
      <xdr:rowOff>163609</xdr:rowOff>
    </xdr:from>
    <xdr:to>
      <xdr:col>8</xdr:col>
      <xdr:colOff>533402</xdr:colOff>
      <xdr:row>10</xdr:row>
      <xdr:rowOff>112059</xdr:rowOff>
    </xdr:to>
    <xdr:cxnSp macro="">
      <xdr:nvCxnSpPr>
        <xdr:cNvPr id="37" name="Straight Arrow Connector 36">
          <a:extLst>
            <a:ext uri="{FF2B5EF4-FFF2-40B4-BE49-F238E27FC236}">
              <a16:creationId xmlns:a16="http://schemas.microsoft.com/office/drawing/2014/main" id="{00000000-0008-0000-0400-000025000000}"/>
            </a:ext>
          </a:extLst>
        </xdr:cNvPr>
        <xdr:cNvCxnSpPr>
          <a:stCxn id="35" idx="0"/>
        </xdr:cNvCxnSpPr>
      </xdr:nvCxnSpPr>
      <xdr:spPr>
        <a:xfrm flipV="1">
          <a:off x="5597338" y="1497109"/>
          <a:ext cx="718299"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44823</xdr:colOff>
      <xdr:row>16</xdr:row>
      <xdr:rowOff>44824</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5513294" y="3092824"/>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twoCellAnchor>
    <xdr:from>
      <xdr:col>8</xdr:col>
      <xdr:colOff>599515</xdr:colOff>
      <xdr:row>9</xdr:row>
      <xdr:rowOff>22412</xdr:rowOff>
    </xdr:from>
    <xdr:to>
      <xdr:col>8</xdr:col>
      <xdr:colOff>661147</xdr:colOff>
      <xdr:row>16</xdr:row>
      <xdr:rowOff>44824</xdr:rowOff>
    </xdr:to>
    <xdr:cxnSp macro="">
      <xdr:nvCxnSpPr>
        <xdr:cNvPr id="42" name="Straight Arrow Connector 41">
          <a:extLst>
            <a:ext uri="{FF2B5EF4-FFF2-40B4-BE49-F238E27FC236}">
              <a16:creationId xmlns:a16="http://schemas.microsoft.com/office/drawing/2014/main" id="{00000000-0008-0000-0400-00002A000000}"/>
            </a:ext>
          </a:extLst>
        </xdr:cNvPr>
        <xdr:cNvCxnSpPr>
          <a:stCxn id="41" idx="0"/>
        </xdr:cNvCxnSpPr>
      </xdr:nvCxnSpPr>
      <xdr:spPr>
        <a:xfrm flipV="1">
          <a:off x="6381750" y="1736912"/>
          <a:ext cx="61632" cy="13559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70598</xdr:colOff>
      <xdr:row>3</xdr:row>
      <xdr:rowOff>100853</xdr:rowOff>
    </xdr:from>
    <xdr:to>
      <xdr:col>18</xdr:col>
      <xdr:colOff>100853</xdr:colOff>
      <xdr:row>14</xdr:row>
      <xdr:rowOff>62754</xdr:rowOff>
    </xdr:to>
    <xdr:cxnSp macro="">
      <xdr:nvCxnSpPr>
        <xdr:cNvPr id="45" name="Straight Arrow Connector 44">
          <a:extLst>
            <a:ext uri="{FF2B5EF4-FFF2-40B4-BE49-F238E27FC236}">
              <a16:creationId xmlns:a16="http://schemas.microsoft.com/office/drawing/2014/main" id="{00000000-0008-0000-0400-00002D000000}"/>
            </a:ext>
          </a:extLst>
        </xdr:cNvPr>
        <xdr:cNvCxnSpPr>
          <a:stCxn id="47" idx="0"/>
        </xdr:cNvCxnSpPr>
      </xdr:nvCxnSpPr>
      <xdr:spPr>
        <a:xfrm flipV="1">
          <a:off x="8553451" y="672353"/>
          <a:ext cx="2092137" cy="205740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414618</xdr:colOff>
      <xdr:row>14</xdr:row>
      <xdr:rowOff>62754</xdr:rowOff>
    </xdr:from>
    <xdr:ext cx="1822077" cy="1219565"/>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7642412" y="2729754"/>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Calculated grade will be displayed</a:t>
          </a:r>
          <a:r>
            <a:rPr lang="en-AU" sz="1200" baseline="0">
              <a:solidFill>
                <a:srgbClr val="FF0000"/>
              </a:solidFill>
            </a:rPr>
            <a:t> here, by default it is rounded down. If you wish to change this grade, look in the "Adj. Grade" column.</a:t>
          </a:r>
          <a:endParaRPr lang="en-AU" sz="1200">
            <a:solidFill>
              <a:srgbClr val="FF0000"/>
            </a:solidFill>
          </a:endParaRPr>
        </a:p>
      </xdr:txBody>
    </xdr:sp>
    <xdr:clientData/>
  </xdr:oneCellAnchor>
  <xdr:oneCellAnchor>
    <xdr:from>
      <xdr:col>12</xdr:col>
      <xdr:colOff>96369</xdr:colOff>
      <xdr:row>10</xdr:row>
      <xdr:rowOff>58272</xdr:rowOff>
    </xdr:from>
    <xdr:ext cx="1822077" cy="468077"/>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7324163" y="1963272"/>
          <a:ext cx="1822077"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Data is missing from the left</a:t>
          </a:r>
        </a:p>
      </xdr:txBody>
    </xdr:sp>
    <xdr:clientData/>
  </xdr:oneCellAnchor>
  <xdr:twoCellAnchor>
    <xdr:from>
      <xdr:col>13</xdr:col>
      <xdr:colOff>122143</xdr:colOff>
      <xdr:row>7</xdr:row>
      <xdr:rowOff>100853</xdr:rowOff>
    </xdr:from>
    <xdr:to>
      <xdr:col>15</xdr:col>
      <xdr:colOff>470647</xdr:colOff>
      <xdr:row>10</xdr:row>
      <xdr:rowOff>58272</xdr:rowOff>
    </xdr:to>
    <xdr:cxnSp macro="">
      <xdr:nvCxnSpPr>
        <xdr:cNvPr id="52" name="Straight Arrow Connector 51">
          <a:extLst>
            <a:ext uri="{FF2B5EF4-FFF2-40B4-BE49-F238E27FC236}">
              <a16:creationId xmlns:a16="http://schemas.microsoft.com/office/drawing/2014/main" id="{00000000-0008-0000-0400-000034000000}"/>
            </a:ext>
          </a:extLst>
        </xdr:cNvPr>
        <xdr:cNvCxnSpPr>
          <a:stCxn id="51" idx="0"/>
        </xdr:cNvCxnSpPr>
      </xdr:nvCxnSpPr>
      <xdr:spPr>
        <a:xfrm flipV="1">
          <a:off x="8235202" y="1434353"/>
          <a:ext cx="1132916" cy="528919"/>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851647</xdr:colOff>
      <xdr:row>0</xdr:row>
      <xdr:rowOff>156883</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2297206" y="156883"/>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67" name="Straight Arrow Connector 66">
          <a:extLst>
            <a:ext uri="{FF2B5EF4-FFF2-40B4-BE49-F238E27FC236}">
              <a16:creationId xmlns:a16="http://schemas.microsoft.com/office/drawing/2014/main" id="{00000000-0008-0000-0400-000043000000}"/>
            </a:ext>
          </a:extLst>
        </xdr:cNvPr>
        <xdr:cNvCxnSpPr/>
      </xdr:nvCxnSpPr>
      <xdr:spPr>
        <a:xfrm flipH="1" flipV="1">
          <a:off x="14563165" y="4762500"/>
          <a:ext cx="0"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750798</xdr:colOff>
      <xdr:row>7</xdr:row>
      <xdr:rowOff>179297</xdr:rowOff>
    </xdr:from>
    <xdr:to>
      <xdr:col>7</xdr:col>
      <xdr:colOff>128867</xdr:colOff>
      <xdr:row>10</xdr:row>
      <xdr:rowOff>112059</xdr:rowOff>
    </xdr:to>
    <xdr:cxnSp macro="">
      <xdr:nvCxnSpPr>
        <xdr:cNvPr id="68" name="Straight Arrow Connector 67">
          <a:extLst>
            <a:ext uri="{FF2B5EF4-FFF2-40B4-BE49-F238E27FC236}">
              <a16:creationId xmlns:a16="http://schemas.microsoft.com/office/drawing/2014/main" id="{00000000-0008-0000-0400-000044000000}"/>
            </a:ext>
          </a:extLst>
        </xdr:cNvPr>
        <xdr:cNvCxnSpPr/>
      </xdr:nvCxnSpPr>
      <xdr:spPr>
        <a:xfrm flipH="1" flipV="1">
          <a:off x="18189952" y="5513297"/>
          <a:ext cx="126062"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128867</xdr:colOff>
      <xdr:row>7</xdr:row>
      <xdr:rowOff>163609</xdr:rowOff>
    </xdr:from>
    <xdr:to>
      <xdr:col>8</xdr:col>
      <xdr:colOff>533402</xdr:colOff>
      <xdr:row>10</xdr:row>
      <xdr:rowOff>112059</xdr:rowOff>
    </xdr:to>
    <xdr:cxnSp macro="">
      <xdr:nvCxnSpPr>
        <xdr:cNvPr id="69" name="Straight Arrow Connector 68">
          <a:extLst>
            <a:ext uri="{FF2B5EF4-FFF2-40B4-BE49-F238E27FC236}">
              <a16:creationId xmlns:a16="http://schemas.microsoft.com/office/drawing/2014/main" id="{00000000-0008-0000-0400-000045000000}"/>
            </a:ext>
          </a:extLst>
        </xdr:cNvPr>
        <xdr:cNvCxnSpPr/>
      </xdr:nvCxnSpPr>
      <xdr:spPr>
        <a:xfrm flipV="1">
          <a:off x="18316014" y="5497609"/>
          <a:ext cx="1009653"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202827</xdr:colOff>
      <xdr:row>3</xdr:row>
      <xdr:rowOff>123265</xdr:rowOff>
    </xdr:from>
    <xdr:to>
      <xdr:col>19</xdr:col>
      <xdr:colOff>112058</xdr:colOff>
      <xdr:row>18</xdr:row>
      <xdr:rowOff>91887</xdr:rowOff>
    </xdr:to>
    <xdr:cxnSp macro="">
      <xdr:nvCxnSpPr>
        <xdr:cNvPr id="43" name="Straight Arrow Connector 42">
          <a:extLst>
            <a:ext uri="{FF2B5EF4-FFF2-40B4-BE49-F238E27FC236}">
              <a16:creationId xmlns:a16="http://schemas.microsoft.com/office/drawing/2014/main" id="{00000000-0008-0000-0400-00002B000000}"/>
            </a:ext>
          </a:extLst>
        </xdr:cNvPr>
        <xdr:cNvCxnSpPr>
          <a:stCxn id="44" idx="0"/>
        </xdr:cNvCxnSpPr>
      </xdr:nvCxnSpPr>
      <xdr:spPr>
        <a:xfrm flipV="1">
          <a:off x="10747562" y="694765"/>
          <a:ext cx="637614" cy="282612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694764</xdr:colOff>
      <xdr:row>18</xdr:row>
      <xdr:rowOff>91887</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9592235" y="3520887"/>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twoCellAnchor>
    <xdr:from>
      <xdr:col>20</xdr:col>
      <xdr:colOff>57149</xdr:colOff>
      <xdr:row>5</xdr:row>
      <xdr:rowOff>156882</xdr:rowOff>
    </xdr:from>
    <xdr:to>
      <xdr:col>20</xdr:col>
      <xdr:colOff>302559</xdr:colOff>
      <xdr:row>12</xdr:row>
      <xdr:rowOff>71715</xdr:rowOff>
    </xdr:to>
    <xdr:cxnSp macro="">
      <xdr:nvCxnSpPr>
        <xdr:cNvPr id="46" name="Straight Arrow Connector 45">
          <a:extLst>
            <a:ext uri="{FF2B5EF4-FFF2-40B4-BE49-F238E27FC236}">
              <a16:creationId xmlns:a16="http://schemas.microsoft.com/office/drawing/2014/main" id="{00000000-0008-0000-0400-00002E000000}"/>
            </a:ext>
          </a:extLst>
        </xdr:cNvPr>
        <xdr:cNvCxnSpPr>
          <a:stCxn id="48" idx="0"/>
        </xdr:cNvCxnSpPr>
      </xdr:nvCxnSpPr>
      <xdr:spPr>
        <a:xfrm flipV="1">
          <a:off x="12025031" y="1109382"/>
          <a:ext cx="245410" cy="1248333"/>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569257</xdr:colOff>
      <xdr:row>12</xdr:row>
      <xdr:rowOff>71715</xdr:rowOff>
    </xdr:from>
    <xdr:ext cx="1822077" cy="1219565"/>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1113992" y="2357715"/>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200" baseline="0">
              <a:solidFill>
                <a:srgbClr val="FF0000"/>
              </a:solidFill>
            </a:rPr>
            <a:t>Overall Grade will display either the Calculated Grade or the Adjusted Grade. </a:t>
          </a: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17</xdr:col>
      <xdr:colOff>93009</xdr:colOff>
      <xdr:row>9</xdr:row>
      <xdr:rowOff>156882</xdr:rowOff>
    </xdr:from>
    <xdr:to>
      <xdr:col>18</xdr:col>
      <xdr:colOff>212912</xdr:colOff>
      <xdr:row>11</xdr:row>
      <xdr:rowOff>62754</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V="1">
          <a:off x="10223127" y="1871382"/>
          <a:ext cx="534520" cy="28687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414617</xdr:colOff>
      <xdr:row>11</xdr:row>
      <xdr:rowOff>62754</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9312088" y="2158254"/>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22</xdr:col>
      <xdr:colOff>840440</xdr:colOff>
      <xdr:row>34</xdr:row>
      <xdr:rowOff>176493</xdr:rowOff>
    </xdr:from>
    <xdr:ext cx="2454088" cy="843821"/>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13946840" y="6653493"/>
          <a:ext cx="2454088"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2:</a:t>
          </a:r>
          <a:endParaRPr lang="en-AU" sz="1200">
            <a:solidFill>
              <a:schemeClr val="accent6"/>
            </a:solidFill>
          </a:endParaRPr>
        </a:p>
        <a:p>
          <a:r>
            <a:rPr lang="en-AU" sz="1200">
              <a:solidFill>
                <a:schemeClr val="accent6"/>
              </a:solidFill>
            </a:rPr>
            <a:t>You</a:t>
          </a:r>
          <a:r>
            <a:rPr lang="en-AU" sz="1200" baseline="0">
              <a:solidFill>
                <a:schemeClr val="accent6"/>
              </a:solidFill>
            </a:rPr>
            <a:t> can hide/unhide columns/rows you need. This is the same template as the left, but with hidden rows</a:t>
          </a:r>
          <a:endParaRPr lang="en-AU" sz="1200">
            <a:solidFill>
              <a:schemeClr val="accent6"/>
            </a:solidFill>
          </a:endParaRPr>
        </a:p>
      </xdr:txBody>
    </xdr:sp>
    <xdr:clientData/>
  </xdr:oneCellAnchor>
  <xdr:oneCellAnchor>
    <xdr:from>
      <xdr:col>0</xdr:col>
      <xdr:colOff>22413</xdr:colOff>
      <xdr:row>0</xdr:row>
      <xdr:rowOff>47625</xdr:rowOff>
    </xdr:from>
    <xdr:ext cx="13010028" cy="7546601"/>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2413" y="47625"/>
          <a:ext cx="13010028" cy="7546601"/>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6</xdr:col>
      <xdr:colOff>478490</xdr:colOff>
      <xdr:row>37</xdr:row>
      <xdr:rowOff>24093</xdr:rowOff>
    </xdr:from>
    <xdr:ext cx="2454088" cy="468077"/>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4821890" y="7072593"/>
          <a:ext cx="2454088"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1:</a:t>
          </a:r>
          <a:endParaRPr lang="en-AU" sz="1200">
            <a:solidFill>
              <a:schemeClr val="accent6"/>
            </a:solidFill>
          </a:endParaRPr>
        </a:p>
        <a:p>
          <a:r>
            <a:rPr lang="en-AU" sz="1200">
              <a:solidFill>
                <a:schemeClr val="accent6"/>
              </a:solidFill>
            </a:rPr>
            <a:t>Instructions</a:t>
          </a:r>
          <a:r>
            <a:rPr lang="en-AU" sz="1200" baseline="0">
              <a:solidFill>
                <a:schemeClr val="accent6"/>
              </a:solidFill>
            </a:rPr>
            <a:t> on how to use template</a:t>
          </a:r>
          <a:endParaRPr lang="en-AU" sz="1200">
            <a:solidFill>
              <a:schemeClr val="accent6"/>
            </a:solidFill>
          </a:endParaRPr>
        </a:p>
      </xdr:txBody>
    </xdr:sp>
    <xdr:clientData/>
  </xdr:oneCellAnchor>
  <xdr:oneCellAnchor>
    <xdr:from>
      <xdr:col>44</xdr:col>
      <xdr:colOff>401410</xdr:colOff>
      <xdr:row>0</xdr:row>
      <xdr:rowOff>168729</xdr:rowOff>
    </xdr:from>
    <xdr:ext cx="1177019" cy="843821"/>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17641660" y="168729"/>
          <a:ext cx="117701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Add another</a:t>
          </a:r>
          <a:r>
            <a:rPr lang="en-AU" sz="1200" baseline="0">
              <a:solidFill>
                <a:srgbClr val="FF0000"/>
              </a:solidFill>
            </a:rPr>
            <a:t> assessment to the end of the sheet</a:t>
          </a:r>
        </a:p>
      </xdr:txBody>
    </xdr:sp>
    <xdr:clientData/>
  </xdr:oneCellAnchor>
  <xdr:twoCellAnchor>
    <xdr:from>
      <xdr:col>44</xdr:col>
      <xdr:colOff>13607</xdr:colOff>
      <xdr:row>0</xdr:row>
      <xdr:rowOff>0</xdr:rowOff>
    </xdr:from>
    <xdr:to>
      <xdr:col>44</xdr:col>
      <xdr:colOff>309792</xdr:colOff>
      <xdr:row>40</xdr:row>
      <xdr:rowOff>10487</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17301482" y="0"/>
          <a:ext cx="296185" cy="7640012"/>
          <a:chOff x="10069285" y="1"/>
          <a:chExt cx="291703" cy="7647215"/>
        </a:xfrm>
      </xdr:grpSpPr>
      <xdr:sp macro="" textlink="">
        <xdr:nvSpPr>
          <xdr:cNvPr id="55" name="Trapezoid 54">
            <a:extLst>
              <a:ext uri="{FF2B5EF4-FFF2-40B4-BE49-F238E27FC236}">
                <a16:creationId xmlns:a16="http://schemas.microsoft.com/office/drawing/2014/main" id="{00000000-0008-0000-0400-000037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6" name="Trapezoid 55">
            <a:extLst>
              <a:ext uri="{FF2B5EF4-FFF2-40B4-BE49-F238E27FC236}">
                <a16:creationId xmlns:a16="http://schemas.microsoft.com/office/drawing/2014/main" id="{00000000-0008-0000-0400-000038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Cross 57">
            <a:extLst>
              <a:ext uri="{FF2B5EF4-FFF2-40B4-BE49-F238E27FC236}">
                <a16:creationId xmlns:a16="http://schemas.microsoft.com/office/drawing/2014/main" id="{00000000-0008-0000-0400-00003A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44</xdr:col>
      <xdr:colOff>13607</xdr:colOff>
      <xdr:row>36</xdr:row>
      <xdr:rowOff>11206</xdr:rowOff>
    </xdr:from>
    <xdr:to>
      <xdr:col>44</xdr:col>
      <xdr:colOff>307124</xdr:colOff>
      <xdr:row>39</xdr:row>
      <xdr:rowOff>188535</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17301482" y="6869206"/>
          <a:ext cx="293517" cy="748829"/>
          <a:chOff x="2106706" y="6869492"/>
          <a:chExt cx="289035" cy="748829"/>
        </a:xfrm>
      </xdr:grpSpPr>
      <xdr:sp macro="" textlink="">
        <xdr:nvSpPr>
          <xdr:cNvPr id="61" name="Trapezoid 60">
            <a:extLst>
              <a:ext uri="{FF2B5EF4-FFF2-40B4-BE49-F238E27FC236}">
                <a16:creationId xmlns:a16="http://schemas.microsoft.com/office/drawing/2014/main" id="{00000000-0008-0000-0400-00003D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 textlink="">
        <xdr:nvSpPr>
          <xdr:cNvPr id="62" name="Minus Sign 61">
            <a:extLst>
              <a:ext uri="{FF2B5EF4-FFF2-40B4-BE49-F238E27FC236}">
                <a16:creationId xmlns:a16="http://schemas.microsoft.com/office/drawing/2014/main" id="{00000000-0008-0000-0400-00003E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oneCellAnchor>
    <xdr:from>
      <xdr:col>44</xdr:col>
      <xdr:colOff>390524</xdr:colOff>
      <xdr:row>36</xdr:row>
      <xdr:rowOff>21771</xdr:rowOff>
    </xdr:from>
    <xdr:ext cx="1323975" cy="843821"/>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7630774" y="6879771"/>
          <a:ext cx="1323975"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 the most Right assessment in the current sheet</a:t>
          </a:r>
        </a:p>
      </xdr:txBody>
    </xdr:sp>
    <xdr:clientData/>
  </xdr:oneCellAnchor>
  <xdr:oneCellAnchor>
    <xdr:from>
      <xdr:col>0</xdr:col>
      <xdr:colOff>1</xdr:colOff>
      <xdr:row>44</xdr:row>
      <xdr:rowOff>157842</xdr:rowOff>
    </xdr:from>
    <xdr:ext cx="1066799"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9367"/>
          <a:ext cx="1066799"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Automatically 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2</xdr:col>
          <xdr:colOff>714375</xdr:colOff>
          <xdr:row>44</xdr:row>
          <xdr:rowOff>190500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oneCellAnchor>
    <xdr:from>
      <xdr:col>0</xdr:col>
      <xdr:colOff>974272</xdr:colOff>
      <xdr:row>44</xdr:row>
      <xdr:rowOff>152399</xdr:rowOff>
    </xdr:from>
    <xdr:ext cx="749753" cy="1031693"/>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974272" y="8543924"/>
          <a:ext cx="74975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Deletes the Selected columns </a:t>
          </a:r>
        </a:p>
        <a:p>
          <a:endParaRPr lang="en-AU" sz="1200" baseline="0">
            <a:solidFill>
              <a:srgbClr val="FF0000"/>
            </a:solidFill>
          </a:endParaRPr>
        </a:p>
      </xdr:txBody>
    </xdr:sp>
    <xdr:clientData/>
  </xdr:oneCellAnchor>
  <xdr:oneCellAnchor>
    <xdr:from>
      <xdr:col>0</xdr:col>
      <xdr:colOff>137753</xdr:colOff>
      <xdr:row>40</xdr:row>
      <xdr:rowOff>75800</xdr:rowOff>
    </xdr:from>
    <xdr:ext cx="2152329" cy="1993846"/>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137753" y="7705325"/>
          <a:ext cx="2152329" cy="1993846"/>
        </a:xfrm>
        <a:prstGeom prst="rect">
          <a:avLst/>
        </a:prstGeom>
        <a:noFill/>
        <a:ln w="38100">
          <a:no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editAs="oneCell">
    <xdr:from>
      <xdr:col>0</xdr:col>
      <xdr:colOff>209550</xdr:colOff>
      <xdr:row>41</xdr:row>
      <xdr:rowOff>28575</xdr:rowOff>
    </xdr:from>
    <xdr:to>
      <xdr:col>0</xdr:col>
      <xdr:colOff>762000</xdr:colOff>
      <xdr:row>44</xdr:row>
      <xdr:rowOff>185305</xdr:rowOff>
    </xdr:to>
    <xdr:pic macro="[0]!AutoFitColumn">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twoCellAnchor editAs="oneCell">
    <xdr:from>
      <xdr:col>0</xdr:col>
      <xdr:colOff>885825</xdr:colOff>
      <xdr:row>41</xdr:row>
      <xdr:rowOff>41130</xdr:rowOff>
    </xdr:from>
    <xdr:to>
      <xdr:col>1</xdr:col>
      <xdr:colOff>295275</xdr:colOff>
      <xdr:row>44</xdr:row>
      <xdr:rowOff>185305</xdr:rowOff>
    </xdr:to>
    <xdr:pic macro="[0]!DeleteSelectedColumns">
      <xdr:nvPicPr>
        <xdr:cNvPr id="86" name="Picture 85">
          <a:extLst>
            <a:ext uri="{FF2B5EF4-FFF2-40B4-BE49-F238E27FC236}">
              <a16:creationId xmlns:a16="http://schemas.microsoft.com/office/drawing/2014/main" id="{00000000-0008-0000-0400-000056000000}"/>
            </a:ext>
          </a:extLst>
        </xdr:cNvPr>
        <xdr:cNvPicPr>
          <a:picLocks noChangeAspect="1"/>
        </xdr:cNvPicPr>
      </xdr:nvPicPr>
      <xdr:blipFill>
        <a:blip xmlns:r="http://schemas.openxmlformats.org/officeDocument/2006/relationships" r:embed="rId2"/>
        <a:stretch>
          <a:fillRect/>
        </a:stretch>
      </xdr:blipFill>
      <xdr:spPr>
        <a:xfrm>
          <a:off x="885825" y="7861155"/>
          <a:ext cx="542925" cy="715675"/>
        </a:xfrm>
        <a:prstGeom prst="rect">
          <a:avLst/>
        </a:prstGeom>
      </xdr:spPr>
    </xdr:pic>
    <xdr:clientData/>
  </xdr:twoCellAnchor>
  <xdr:twoCellAnchor editAs="oneCell">
    <xdr:from>
      <xdr:col>2</xdr:col>
      <xdr:colOff>104774</xdr:colOff>
      <xdr:row>41</xdr:row>
      <xdr:rowOff>41130</xdr:rowOff>
    </xdr:from>
    <xdr:to>
      <xdr:col>2</xdr:col>
      <xdr:colOff>647699</xdr:colOff>
      <xdr:row>44</xdr:row>
      <xdr:rowOff>185305</xdr:rowOff>
    </xdr:to>
    <xdr:pic macro="[0]!HideColumn">
      <xdr:nvPicPr>
        <xdr:cNvPr id="87" name="Picture 86">
          <a:extLst>
            <a:ext uri="{FF2B5EF4-FFF2-40B4-BE49-F238E27FC236}">
              <a16:creationId xmlns:a16="http://schemas.microsoft.com/office/drawing/2014/main" id="{00000000-0008-0000-0400-000057000000}"/>
            </a:ext>
          </a:extLst>
        </xdr:cNvPr>
        <xdr:cNvPicPr>
          <a:picLocks noChangeAspect="1"/>
        </xdr:cNvPicPr>
      </xdr:nvPicPr>
      <xdr:blipFill>
        <a:blip xmlns:r="http://schemas.openxmlformats.org/officeDocument/2006/relationships" r:embed="rId3"/>
        <a:stretch>
          <a:fillRect/>
        </a:stretch>
      </xdr:blipFill>
      <xdr:spPr>
        <a:xfrm>
          <a:off x="1552574" y="7861155"/>
          <a:ext cx="542925" cy="715675"/>
        </a:xfrm>
        <a:prstGeom prst="rect">
          <a:avLst/>
        </a:prstGeom>
      </xdr:spPr>
    </xdr:pic>
    <xdr:clientData/>
  </xdr:twoCellAnchor>
  <xdr:oneCellAnchor>
    <xdr:from>
      <xdr:col>2</xdr:col>
      <xdr:colOff>161925</xdr:colOff>
      <xdr:row>44</xdr:row>
      <xdr:rowOff>161925</xdr:rowOff>
    </xdr:from>
    <xdr:ext cx="1031421" cy="843821"/>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1609725" y="8553450"/>
          <a:ext cx="1031421"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Show/Hide selected columns</a:t>
          </a:r>
        </a:p>
        <a:p>
          <a:endParaRPr lang="en-AU" sz="1200" baseline="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
  <autoFilter ref="A1:C18" xr:uid="{498E8186-74A7-4E6E-AE4A-D794E9C8B595}"/>
  <tableColumns count="3">
    <tableColumn id="1" xr3:uid="{5861E389-9F05-4056-B978-22BEA3DA1355}" name="Score" dataDxfId="2" dataCellStyle="Percent"/>
    <tableColumn id="2" xr3:uid="{9526CEDD-EB3F-43D3-A6D9-A4B81BDDC393}" name="Grade" dataDxfId="1"/>
    <tableColumn id="3" xr3:uid="{63910571-226F-4D3A-AE65-3CF97BD66F23}" name="Points"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6"/>
  <sheetViews>
    <sheetView tabSelected="1" zoomScaleNormal="100" workbookViewId="0">
      <selection activeCell="D5" sqref="D5:E5"/>
    </sheetView>
  </sheetViews>
  <sheetFormatPr defaultRowHeight="15" x14ac:dyDescent="0.25"/>
  <cols>
    <col min="1" max="1" width="9.140625" style="54"/>
    <col min="2" max="2" width="4.7109375" style="54" customWidth="1"/>
    <col min="3" max="5" width="15.7109375" style="54" customWidth="1"/>
    <col min="6" max="6" width="4.7109375" style="54" customWidth="1"/>
    <col min="7" max="7" width="3.7109375" style="54" customWidth="1"/>
    <col min="8" max="12" width="9.140625" style="54"/>
    <col min="13" max="13" width="12.140625" style="54" customWidth="1"/>
    <col min="14" max="14" width="11.140625" style="54" bestFit="1" customWidth="1"/>
    <col min="15" max="16384" width="9.140625" style="54"/>
  </cols>
  <sheetData>
    <row r="1" spans="2:11" ht="15.75" thickBot="1" x14ac:dyDescent="0.3">
      <c r="B1" s="55"/>
      <c r="C1" s="55"/>
      <c r="D1" s="55"/>
      <c r="E1" s="55"/>
      <c r="F1" s="55"/>
      <c r="H1" s="55"/>
      <c r="I1" s="55"/>
      <c r="J1" s="55"/>
      <c r="K1" s="55"/>
    </row>
    <row r="2" spans="2:11" x14ac:dyDescent="0.25">
      <c r="B2" s="185"/>
      <c r="C2" s="186"/>
      <c r="D2" s="186"/>
      <c r="E2" s="186"/>
      <c r="F2" s="187"/>
      <c r="H2" s="190"/>
      <c r="I2" s="190"/>
      <c r="J2" s="190"/>
      <c r="K2" s="190"/>
    </row>
    <row r="3" spans="2:11" ht="20.25" customHeight="1" thickBot="1" x14ac:dyDescent="0.35">
      <c r="B3" s="10"/>
      <c r="C3" s="200" t="s">
        <v>26</v>
      </c>
      <c r="D3" s="200"/>
      <c r="E3" s="200"/>
      <c r="F3" s="11"/>
      <c r="H3" s="59"/>
      <c r="I3" s="59"/>
      <c r="J3" s="59"/>
      <c r="K3" s="59"/>
    </row>
    <row r="4" spans="2:11" ht="15.75" thickTop="1" x14ac:dyDescent="0.25">
      <c r="B4" s="10"/>
      <c r="C4" s="13" t="s">
        <v>30</v>
      </c>
      <c r="D4" s="64">
        <v>7</v>
      </c>
      <c r="E4" s="65" t="s">
        <v>13</v>
      </c>
      <c r="F4" s="11"/>
      <c r="H4" s="59"/>
      <c r="I4" s="59"/>
      <c r="J4" s="59"/>
      <c r="K4" s="59"/>
    </row>
    <row r="5" spans="2:11" x14ac:dyDescent="0.25">
      <c r="B5" s="10"/>
      <c r="C5" s="14" t="s">
        <v>24</v>
      </c>
      <c r="D5" s="194" t="s">
        <v>139</v>
      </c>
      <c r="E5" s="195"/>
      <c r="F5" s="11"/>
      <c r="H5" s="59"/>
      <c r="I5" s="59"/>
      <c r="J5" s="59"/>
      <c r="K5" s="59"/>
    </row>
    <row r="6" spans="2:11" x14ac:dyDescent="0.25">
      <c r="B6" s="10"/>
      <c r="C6" s="14" t="s">
        <v>29</v>
      </c>
      <c r="D6" s="196">
        <v>2019</v>
      </c>
      <c r="E6" s="197"/>
      <c r="F6" s="11"/>
      <c r="H6" s="59"/>
      <c r="I6" s="59"/>
      <c r="J6" s="59"/>
      <c r="K6" s="59"/>
    </row>
    <row r="7" spans="2:11" x14ac:dyDescent="0.25">
      <c r="B7" s="10"/>
      <c r="C7" s="14" t="s">
        <v>25</v>
      </c>
      <c r="D7" s="198" t="s">
        <v>118</v>
      </c>
      <c r="E7" s="199"/>
      <c r="F7" s="11"/>
      <c r="H7" s="59"/>
      <c r="I7" s="59"/>
      <c r="J7" s="59"/>
      <c r="K7" s="59"/>
    </row>
    <row r="8" spans="2:11" x14ac:dyDescent="0.25">
      <c r="B8" s="10"/>
      <c r="C8" s="191" t="s">
        <v>22</v>
      </c>
      <c r="D8" s="192"/>
      <c r="E8" s="193"/>
      <c r="F8" s="11"/>
      <c r="H8" s="59"/>
      <c r="I8" s="59"/>
      <c r="J8" s="59"/>
      <c r="K8" s="59"/>
    </row>
    <row r="9" spans="2:11" x14ac:dyDescent="0.25">
      <c r="B9" s="10"/>
      <c r="C9" s="15" t="s">
        <v>19</v>
      </c>
      <c r="D9" s="15" t="s">
        <v>20</v>
      </c>
      <c r="E9" s="12" t="s">
        <v>23</v>
      </c>
      <c r="F9" s="11"/>
      <c r="H9" s="59"/>
      <c r="I9" s="59"/>
      <c r="J9" s="59"/>
      <c r="K9" s="59"/>
    </row>
    <row r="10" spans="2:11" x14ac:dyDescent="0.25">
      <c r="B10" s="10"/>
      <c r="C10" s="62" t="s">
        <v>73</v>
      </c>
      <c r="D10" s="88" t="s">
        <v>74</v>
      </c>
      <c r="E10" s="62" t="s">
        <v>75</v>
      </c>
      <c r="F10" s="11"/>
      <c r="H10" s="59"/>
      <c r="I10" s="59"/>
      <c r="J10" s="59"/>
      <c r="K10" s="59"/>
    </row>
    <row r="11" spans="2:11" x14ac:dyDescent="0.25">
      <c r="B11" s="10"/>
      <c r="C11" s="62" t="s">
        <v>76</v>
      </c>
      <c r="D11" s="93" t="s">
        <v>77</v>
      </c>
      <c r="E11" s="62" t="s">
        <v>75</v>
      </c>
      <c r="F11" s="11"/>
      <c r="H11" s="59"/>
      <c r="I11" s="59"/>
      <c r="J11" s="59"/>
      <c r="K11" s="59"/>
    </row>
    <row r="12" spans="2:11" x14ac:dyDescent="0.25">
      <c r="B12" s="10"/>
      <c r="C12" s="62" t="s">
        <v>78</v>
      </c>
      <c r="D12" s="98" t="s">
        <v>79</v>
      </c>
      <c r="E12" s="62" t="s">
        <v>75</v>
      </c>
      <c r="F12" s="11"/>
      <c r="H12" s="59"/>
      <c r="I12" s="59"/>
      <c r="J12" s="59"/>
      <c r="K12" s="59"/>
    </row>
    <row r="13" spans="2:11" x14ac:dyDescent="0.25">
      <c r="B13" s="10"/>
      <c r="C13" s="62" t="s">
        <v>80</v>
      </c>
      <c r="D13" s="98" t="s">
        <v>81</v>
      </c>
      <c r="E13" s="62" t="s">
        <v>75</v>
      </c>
      <c r="F13" s="11"/>
      <c r="H13" s="59"/>
      <c r="I13" s="59"/>
      <c r="J13" s="59"/>
      <c r="K13" s="59"/>
    </row>
    <row r="14" spans="2:11" x14ac:dyDescent="0.25">
      <c r="B14" s="10"/>
      <c r="C14" s="62" t="s">
        <v>82</v>
      </c>
      <c r="D14" s="98" t="s">
        <v>83</v>
      </c>
      <c r="E14" s="62" t="s">
        <v>75</v>
      </c>
      <c r="F14" s="11"/>
      <c r="H14" s="59"/>
      <c r="I14" s="59"/>
      <c r="J14" s="59"/>
      <c r="K14" s="59"/>
    </row>
    <row r="15" spans="2:11" x14ac:dyDescent="0.25">
      <c r="B15" s="10"/>
      <c r="C15" s="62" t="s">
        <v>84</v>
      </c>
      <c r="D15" s="98" t="s">
        <v>85</v>
      </c>
      <c r="E15" s="62" t="s">
        <v>75</v>
      </c>
      <c r="F15" s="11"/>
      <c r="H15" s="59"/>
      <c r="I15" s="59"/>
      <c r="J15" s="59"/>
      <c r="K15" s="59"/>
    </row>
    <row r="16" spans="2:11" x14ac:dyDescent="0.25">
      <c r="B16" s="10"/>
      <c r="C16" s="62" t="s">
        <v>126</v>
      </c>
      <c r="D16" s="98" t="s">
        <v>127</v>
      </c>
      <c r="E16" s="62" t="s">
        <v>75</v>
      </c>
      <c r="F16" s="11"/>
      <c r="H16" s="59"/>
      <c r="I16" s="59"/>
      <c r="J16" s="59"/>
      <c r="K16" s="59"/>
    </row>
    <row r="17" spans="2:11" x14ac:dyDescent="0.25">
      <c r="B17" s="10"/>
      <c r="C17" s="62" t="s">
        <v>121</v>
      </c>
      <c r="D17" s="98" t="s">
        <v>122</v>
      </c>
      <c r="E17" s="62" t="s">
        <v>75</v>
      </c>
      <c r="F17" s="11"/>
      <c r="H17" s="59"/>
      <c r="I17" s="59"/>
      <c r="J17" s="59"/>
      <c r="K17" s="59"/>
    </row>
    <row r="18" spans="2:11" x14ac:dyDescent="0.25">
      <c r="B18" s="10"/>
      <c r="C18" s="62" t="s">
        <v>86</v>
      </c>
      <c r="D18" s="98" t="s">
        <v>87</v>
      </c>
      <c r="E18" s="62" t="s">
        <v>75</v>
      </c>
      <c r="F18" s="11"/>
      <c r="H18" s="59"/>
      <c r="I18" s="59"/>
      <c r="J18" s="59"/>
      <c r="K18" s="59"/>
    </row>
    <row r="19" spans="2:11" x14ac:dyDescent="0.25">
      <c r="B19" s="10"/>
      <c r="C19" s="62" t="s">
        <v>88</v>
      </c>
      <c r="D19" s="98" t="s">
        <v>89</v>
      </c>
      <c r="E19" s="62" t="s">
        <v>75</v>
      </c>
      <c r="F19" s="11"/>
      <c r="H19" s="59"/>
      <c r="I19" s="59"/>
      <c r="J19" s="59"/>
      <c r="K19" s="59"/>
    </row>
    <row r="20" spans="2:11" x14ac:dyDescent="0.25">
      <c r="B20" s="10"/>
      <c r="C20" s="62" t="s">
        <v>90</v>
      </c>
      <c r="D20" s="98" t="s">
        <v>91</v>
      </c>
      <c r="E20" s="62" t="s">
        <v>75</v>
      </c>
      <c r="F20" s="11"/>
      <c r="H20" s="59"/>
      <c r="I20" s="59"/>
      <c r="J20" s="59"/>
      <c r="K20" s="59"/>
    </row>
    <row r="21" spans="2:11" x14ac:dyDescent="0.25">
      <c r="B21" s="10"/>
      <c r="C21" s="62" t="s">
        <v>92</v>
      </c>
      <c r="D21" s="98" t="s">
        <v>93</v>
      </c>
      <c r="E21" s="62" t="s">
        <v>75</v>
      </c>
      <c r="F21" s="11"/>
      <c r="H21" s="59"/>
      <c r="I21" s="59"/>
      <c r="J21" s="59"/>
      <c r="K21" s="59"/>
    </row>
    <row r="22" spans="2:11" x14ac:dyDescent="0.25">
      <c r="B22" s="10"/>
      <c r="C22" s="62" t="s">
        <v>94</v>
      </c>
      <c r="D22" s="98" t="s">
        <v>95</v>
      </c>
      <c r="E22" s="62" t="s">
        <v>75</v>
      </c>
      <c r="F22" s="11"/>
      <c r="H22" s="59"/>
      <c r="I22" s="59"/>
      <c r="J22" s="59"/>
      <c r="K22" s="59"/>
    </row>
    <row r="23" spans="2:11" x14ac:dyDescent="0.25">
      <c r="B23" s="10"/>
      <c r="C23" s="62" t="s">
        <v>96</v>
      </c>
      <c r="D23" s="98" t="s">
        <v>97</v>
      </c>
      <c r="E23" s="62" t="s">
        <v>75</v>
      </c>
      <c r="F23" s="11"/>
      <c r="H23" s="59"/>
      <c r="I23" s="59"/>
      <c r="J23" s="59"/>
      <c r="K23" s="59"/>
    </row>
    <row r="24" spans="2:11" x14ac:dyDescent="0.25">
      <c r="B24" s="10"/>
      <c r="C24" s="62" t="s">
        <v>98</v>
      </c>
      <c r="D24" s="98" t="s">
        <v>99</v>
      </c>
      <c r="E24" s="62" t="s">
        <v>75</v>
      </c>
      <c r="F24" s="11"/>
      <c r="H24" s="59"/>
      <c r="I24" s="59"/>
      <c r="J24" s="59"/>
      <c r="K24" s="59"/>
    </row>
    <row r="25" spans="2:11" x14ac:dyDescent="0.25">
      <c r="B25" s="10"/>
      <c r="C25" s="62" t="s">
        <v>119</v>
      </c>
      <c r="D25" s="98" t="s">
        <v>120</v>
      </c>
      <c r="E25" s="62" t="s">
        <v>75</v>
      </c>
      <c r="F25" s="11"/>
      <c r="H25" s="95"/>
      <c r="I25" s="189"/>
      <c r="J25" s="189"/>
      <c r="K25" s="189"/>
    </row>
    <row r="26" spans="2:11" x14ac:dyDescent="0.25">
      <c r="B26" s="10"/>
      <c r="C26" s="62" t="s">
        <v>100</v>
      </c>
      <c r="D26" s="98" t="s">
        <v>101</v>
      </c>
      <c r="E26" s="62" t="s">
        <v>75</v>
      </c>
      <c r="F26" s="11"/>
      <c r="H26" s="96"/>
      <c r="I26" s="190"/>
      <c r="J26" s="190"/>
      <c r="K26" s="190"/>
    </row>
    <row r="27" spans="2:11" ht="15" customHeight="1" x14ac:dyDescent="0.25">
      <c r="B27" s="10"/>
      <c r="C27" s="62" t="s">
        <v>102</v>
      </c>
      <c r="D27" s="98" t="s">
        <v>103</v>
      </c>
      <c r="E27" s="62" t="s">
        <v>75</v>
      </c>
      <c r="F27" s="11"/>
      <c r="H27" s="188"/>
      <c r="I27" s="94"/>
      <c r="J27" s="94"/>
      <c r="K27" s="94"/>
    </row>
    <row r="28" spans="2:11" x14ac:dyDescent="0.25">
      <c r="B28" s="10"/>
      <c r="C28" s="62" t="s">
        <v>104</v>
      </c>
      <c r="D28" s="98" t="s">
        <v>105</v>
      </c>
      <c r="E28" s="62" t="s">
        <v>75</v>
      </c>
      <c r="F28" s="11"/>
      <c r="H28" s="188"/>
      <c r="I28" s="94"/>
      <c r="J28" s="94"/>
      <c r="K28" s="94"/>
    </row>
    <row r="29" spans="2:11" x14ac:dyDescent="0.25">
      <c r="B29" s="10"/>
      <c r="C29" s="62" t="s">
        <v>106</v>
      </c>
      <c r="D29" s="98" t="s">
        <v>107</v>
      </c>
      <c r="E29" s="62" t="s">
        <v>75</v>
      </c>
      <c r="F29" s="11"/>
      <c r="H29" s="188"/>
      <c r="I29" s="94"/>
      <c r="J29" s="94"/>
      <c r="K29" s="94"/>
    </row>
    <row r="30" spans="2:11" x14ac:dyDescent="0.25">
      <c r="B30" s="10"/>
      <c r="C30" s="62" t="s">
        <v>108</v>
      </c>
      <c r="D30" s="98" t="s">
        <v>109</v>
      </c>
      <c r="E30" s="62" t="s">
        <v>75</v>
      </c>
      <c r="F30" s="11"/>
      <c r="H30" s="59"/>
      <c r="I30" s="59"/>
      <c r="J30" s="59"/>
      <c r="K30" s="59"/>
    </row>
    <row r="31" spans="2:11" x14ac:dyDescent="0.25">
      <c r="B31" s="10"/>
      <c r="C31" s="62" t="s">
        <v>116</v>
      </c>
      <c r="D31" s="98" t="s">
        <v>117</v>
      </c>
      <c r="E31" s="62" t="s">
        <v>75</v>
      </c>
      <c r="F31" s="11"/>
      <c r="H31" s="59"/>
      <c r="I31" s="59"/>
      <c r="J31" s="59"/>
      <c r="K31" s="59"/>
    </row>
    <row r="32" spans="2:11" x14ac:dyDescent="0.25">
      <c r="B32" s="10"/>
      <c r="C32" s="62" t="s">
        <v>110</v>
      </c>
      <c r="D32" s="98" t="s">
        <v>111</v>
      </c>
      <c r="E32" s="62" t="s">
        <v>75</v>
      </c>
      <c r="F32" s="11"/>
    </row>
    <row r="33" spans="2:11" x14ac:dyDescent="0.25">
      <c r="B33" s="10"/>
      <c r="C33" s="62" t="s">
        <v>112</v>
      </c>
      <c r="D33" s="98" t="s">
        <v>113</v>
      </c>
      <c r="E33" s="62" t="s">
        <v>75</v>
      </c>
      <c r="F33" s="11"/>
      <c r="H33" s="97" t="s">
        <v>27</v>
      </c>
      <c r="I33" s="201" t="s">
        <v>36</v>
      </c>
      <c r="J33" s="202"/>
      <c r="K33" s="203"/>
    </row>
    <row r="34" spans="2:11" ht="15.75" customHeight="1" x14ac:dyDescent="0.25">
      <c r="B34" s="10"/>
      <c r="C34" s="62" t="s">
        <v>114</v>
      </c>
      <c r="D34" s="98" t="s">
        <v>115</v>
      </c>
      <c r="E34" s="62" t="s">
        <v>75</v>
      </c>
      <c r="F34" s="11"/>
      <c r="H34" s="53" t="s">
        <v>28</v>
      </c>
      <c r="I34" s="204" t="s">
        <v>38</v>
      </c>
      <c r="J34" s="205"/>
      <c r="K34" s="206"/>
    </row>
    <row r="35" spans="2:11" x14ac:dyDescent="0.25">
      <c r="B35" s="10"/>
      <c r="C35" s="62"/>
      <c r="D35" s="98"/>
      <c r="E35" s="62"/>
      <c r="F35" s="11"/>
      <c r="H35" s="173" t="s">
        <v>37</v>
      </c>
      <c r="I35" s="176" t="s">
        <v>39</v>
      </c>
      <c r="J35" s="177"/>
      <c r="K35" s="178"/>
    </row>
    <row r="36" spans="2:11" x14ac:dyDescent="0.25">
      <c r="B36" s="10"/>
      <c r="C36" s="119"/>
      <c r="D36" s="63"/>
      <c r="E36" s="62"/>
      <c r="F36" s="11"/>
      <c r="H36" s="174"/>
      <c r="I36" s="179"/>
      <c r="J36" s="180"/>
      <c r="K36" s="181"/>
    </row>
    <row r="37" spans="2:11" x14ac:dyDescent="0.25">
      <c r="B37" s="10"/>
      <c r="C37" s="118"/>
      <c r="D37" s="118"/>
      <c r="E37" s="62"/>
      <c r="F37" s="11"/>
      <c r="H37" s="175"/>
      <c r="I37" s="182"/>
      <c r="J37" s="183"/>
      <c r="K37" s="184"/>
    </row>
    <row r="38" spans="2:11" x14ac:dyDescent="0.25">
      <c r="B38" s="10"/>
      <c r="C38" s="118"/>
      <c r="D38" s="118"/>
      <c r="E38" s="62"/>
      <c r="F38" s="11"/>
      <c r="H38" s="59"/>
      <c r="I38" s="59"/>
      <c r="J38" s="59"/>
      <c r="K38" s="59"/>
    </row>
    <row r="39" spans="2:11" x14ac:dyDescent="0.25">
      <c r="B39" s="10"/>
      <c r="C39" s="118"/>
      <c r="D39" s="118"/>
      <c r="E39" s="62"/>
      <c r="F39" s="11"/>
      <c r="H39" s="59"/>
      <c r="I39" s="59"/>
      <c r="J39" s="59"/>
      <c r="K39" s="59"/>
    </row>
    <row r="40" spans="2:11" x14ac:dyDescent="0.25">
      <c r="B40" s="10"/>
      <c r="C40" s="118"/>
      <c r="D40" s="118"/>
      <c r="E40" s="62"/>
      <c r="F40" s="11"/>
      <c r="H40" s="59"/>
      <c r="I40" s="59"/>
      <c r="J40" s="59"/>
      <c r="K40" s="59"/>
    </row>
    <row r="41" spans="2:11" x14ac:dyDescent="0.25">
      <c r="B41" s="10"/>
      <c r="C41" s="118"/>
      <c r="D41" s="118"/>
      <c r="E41" s="62"/>
      <c r="F41" s="11"/>
      <c r="H41" s="59"/>
      <c r="I41" s="59"/>
      <c r="J41" s="59"/>
      <c r="K41" s="59"/>
    </row>
    <row r="42" spans="2:11" x14ac:dyDescent="0.25">
      <c r="B42" s="10"/>
      <c r="C42" s="118"/>
      <c r="D42" s="118"/>
      <c r="E42" s="62"/>
      <c r="F42" s="11"/>
    </row>
    <row r="43" spans="2:11" x14ac:dyDescent="0.25">
      <c r="B43" s="10"/>
      <c r="C43" s="118"/>
      <c r="D43" s="118"/>
      <c r="E43" s="62"/>
      <c r="F43" s="11"/>
    </row>
    <row r="44" spans="2:11" x14ac:dyDescent="0.25">
      <c r="B44" s="10"/>
      <c r="C44" s="118"/>
      <c r="D44" s="118"/>
      <c r="E44" s="62"/>
      <c r="F44" s="11"/>
    </row>
    <row r="45" spans="2:11" x14ac:dyDescent="0.25">
      <c r="B45" s="10"/>
      <c r="C45" s="118"/>
      <c r="D45" s="118"/>
      <c r="E45" s="62"/>
      <c r="F45" s="11"/>
    </row>
    <row r="46" spans="2:11" ht="15.75" thickBot="1" x14ac:dyDescent="0.3">
      <c r="B46" s="120"/>
      <c r="C46" s="121"/>
      <c r="D46" s="121"/>
      <c r="E46" s="121"/>
      <c r="F46" s="122"/>
    </row>
  </sheetData>
  <sheetProtection sheet="1" objects="1" scenarios="1"/>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DS40"/>
  <sheetViews>
    <sheetView zoomScale="70" zoomScaleNormal="70" workbookViewId="0">
      <pane xSplit="2" ySplit="4" topLeftCell="C5" activePane="bottomRight" state="frozenSplit"/>
      <selection pane="topRight" activeCell="AE1" sqref="AE1"/>
      <selection pane="bottomLeft" activeCell="A23" sqref="A23"/>
      <selection pane="bottomRight" activeCell="G15" sqref="G15"/>
    </sheetView>
  </sheetViews>
  <sheetFormatPr defaultRowHeight="15" x14ac:dyDescent="0.25"/>
  <cols>
    <col min="1" max="2" width="15.7109375" style="130" customWidth="1"/>
    <col min="3" max="3" width="12" style="131" customWidth="1"/>
    <col min="4" max="4" width="4.5703125" style="131" bestFit="1" customWidth="1"/>
    <col min="5" max="5" width="13" style="131" customWidth="1"/>
    <col min="6" max="6" width="4.5703125" style="131" bestFit="1" customWidth="1"/>
    <col min="7" max="7" width="12.42578125" style="131" customWidth="1"/>
    <col min="8" max="8" width="4.5703125" style="131" bestFit="1" customWidth="1"/>
    <col min="9" max="9" width="13.42578125" style="131" customWidth="1"/>
    <col min="10" max="10" width="4.5703125" style="131" bestFit="1" customWidth="1"/>
    <col min="11" max="11" width="12" style="131" hidden="1" customWidth="1"/>
    <col min="12" max="12" width="0" style="131" hidden="1" customWidth="1"/>
    <col min="13" max="13" width="12" style="131" hidden="1" customWidth="1"/>
    <col min="14" max="14" width="0" style="131" hidden="1" customWidth="1"/>
    <col min="15" max="15" width="12" style="131" hidden="1" customWidth="1"/>
    <col min="16" max="16" width="0" style="131" hidden="1" customWidth="1"/>
    <col min="17" max="17" width="12" style="131" hidden="1" customWidth="1"/>
    <col min="18" max="18" width="0" style="131" hidden="1" customWidth="1"/>
    <col min="19" max="19" width="12" style="131" hidden="1" customWidth="1"/>
    <col min="20" max="20" width="0" style="131" hidden="1" customWidth="1"/>
    <col min="21" max="21" width="12" style="131" hidden="1" customWidth="1"/>
    <col min="22" max="22" width="0" style="131" hidden="1" customWidth="1"/>
    <col min="23" max="23" width="13.5703125" style="131" hidden="1" customWidth="1"/>
    <col min="24" max="24" width="3.85546875" style="131" hidden="1" customWidth="1"/>
    <col min="25" max="25" width="8.7109375" style="131" hidden="1" customWidth="1"/>
    <col min="26" max="26" width="13.5703125" style="131" hidden="1" customWidth="1"/>
    <col min="27" max="27" width="3.85546875" style="131" hidden="1" customWidth="1"/>
    <col min="28" max="28" width="8.7109375" style="131" hidden="1" customWidth="1"/>
    <col min="29" max="29" width="15.28515625" style="131" hidden="1" customWidth="1"/>
    <col min="30" max="30" width="13.85546875" style="131" hidden="1" customWidth="1"/>
    <col min="31" max="31" width="17.42578125" style="131" hidden="1" customWidth="1"/>
    <col min="32" max="32" width="2.42578125" style="131" bestFit="1" customWidth="1"/>
    <col min="33" max="33" width="10.5703125" style="131" bestFit="1" customWidth="1"/>
    <col min="34" max="34" width="4.5703125" style="131" bestFit="1" customWidth="1"/>
    <col min="35" max="35" width="10.28515625" style="131" bestFit="1" customWidth="1"/>
    <col min="36" max="36" width="3.140625" style="131" bestFit="1" customWidth="1"/>
    <col min="37" max="37" width="12" style="131" hidden="1" customWidth="1"/>
    <col min="38" max="38" width="9.140625" style="131" hidden="1" customWidth="1"/>
    <col min="39" max="39" width="12" style="131" hidden="1" customWidth="1"/>
    <col min="40" max="40" width="9.140625" style="131" hidden="1" customWidth="1"/>
    <col min="41" max="41" width="12" style="131" hidden="1" customWidth="1"/>
    <col min="42" max="42" width="9.140625" style="131" hidden="1" customWidth="1"/>
    <col min="43" max="43" width="9.140625" style="131" bestFit="1" customWidth="1"/>
    <col min="44" max="44" width="4.5703125" style="131" bestFit="1" customWidth="1"/>
    <col min="45" max="45" width="12" style="131" hidden="1" customWidth="1"/>
    <col min="46" max="46" width="0" style="131" hidden="1" customWidth="1"/>
    <col min="47" max="47" width="12" style="131" hidden="1" customWidth="1"/>
    <col min="48" max="48" width="0" style="131" hidden="1" customWidth="1"/>
    <col min="49" max="49" width="12" style="131" hidden="1" customWidth="1"/>
    <col min="50" max="50" width="0" style="131" hidden="1" customWidth="1"/>
    <col min="51" max="51" width="12" style="131" hidden="1" customWidth="1"/>
    <col min="52" max="52" width="0" style="131" hidden="1" customWidth="1"/>
    <col min="53" max="53" width="13.5703125" style="131" bestFit="1" customWidth="1"/>
    <col min="54" max="54" width="5.7109375" style="131" bestFit="1" customWidth="1"/>
    <col min="55" max="55" width="8.7109375" style="131" bestFit="1" customWidth="1"/>
    <col min="56" max="56" width="13.5703125" style="131" bestFit="1" customWidth="1"/>
    <col min="57" max="57" width="5.7109375" style="131" bestFit="1" customWidth="1"/>
    <col min="58" max="58" width="8.7109375" style="131" bestFit="1" customWidth="1"/>
    <col min="59" max="59" width="15.28515625" style="131" hidden="1" customWidth="1"/>
    <col min="60" max="60" width="13.85546875" style="131" hidden="1" customWidth="1"/>
    <col min="61" max="61" width="17.42578125" style="131" bestFit="1" customWidth="1"/>
    <col min="62" max="62" width="2.42578125" style="131" bestFit="1" customWidth="1"/>
    <col min="63" max="63" width="12" style="131" hidden="1" customWidth="1"/>
    <col min="64" max="64" width="0" style="131" hidden="1" customWidth="1"/>
    <col min="65" max="65" width="12" style="131" hidden="1" customWidth="1"/>
    <col min="66" max="66" width="0" style="131" hidden="1" customWidth="1"/>
    <col min="67" max="67" width="12" style="131" hidden="1" customWidth="1"/>
    <col min="68" max="68" width="0" style="131" hidden="1" customWidth="1"/>
    <col min="69" max="69" width="12" style="131" hidden="1" customWidth="1"/>
    <col min="70" max="70" width="0" style="131" hidden="1" customWidth="1"/>
    <col min="71" max="71" width="12" style="131" hidden="1" customWidth="1"/>
    <col min="72" max="72" width="0" style="131" hidden="1" customWidth="1"/>
    <col min="73" max="73" width="9.140625" style="131" bestFit="1" customWidth="1"/>
    <col min="74" max="74" width="4.5703125" style="131" bestFit="1" customWidth="1"/>
    <col min="75" max="75" width="12" style="131" hidden="1" customWidth="1"/>
    <col min="76" max="76" width="0" style="131" hidden="1" customWidth="1"/>
    <col min="77" max="77" width="12" style="131" hidden="1" customWidth="1"/>
    <col min="78" max="78" width="0" style="131" hidden="1" customWidth="1"/>
    <col min="79" max="79" width="12" style="131" hidden="1" customWidth="1"/>
    <col min="80" max="80" width="0" style="131" hidden="1" customWidth="1"/>
    <col min="81" max="81" width="12" style="131" hidden="1" customWidth="1"/>
    <col min="82" max="82" width="0" style="131" hidden="1" customWidth="1"/>
    <col min="83" max="83" width="13.5703125" style="131" hidden="1" customWidth="1"/>
    <col min="84" max="84" width="3.85546875" style="131" hidden="1" customWidth="1"/>
    <col min="85" max="85" width="8.7109375" style="131" hidden="1" customWidth="1"/>
    <col min="86" max="86" width="13.5703125" style="131" bestFit="1" customWidth="1"/>
    <col min="87" max="87" width="5.7109375" style="131" bestFit="1" customWidth="1"/>
    <col min="88" max="88" width="8.7109375" style="131" bestFit="1" customWidth="1"/>
    <col min="89" max="89" width="15.28515625" style="131" hidden="1" customWidth="1"/>
    <col min="90" max="90" width="13.85546875" style="131" hidden="1" customWidth="1"/>
    <col min="91" max="91" width="17.42578125" style="131" bestFit="1" customWidth="1"/>
    <col min="92" max="92" width="2.42578125" style="131" bestFit="1" customWidth="1"/>
    <col min="93" max="93" width="10.5703125" style="131" bestFit="1" customWidth="1"/>
    <col min="94" max="94" width="4.5703125" style="131" bestFit="1" customWidth="1"/>
    <col min="95" max="95" width="10.28515625" style="131" bestFit="1" customWidth="1"/>
    <col min="96" max="96" width="6" style="131" bestFit="1" customWidth="1"/>
    <col min="97" max="97" width="12" style="131" hidden="1" customWidth="1"/>
    <col min="98" max="98" width="0" style="131" hidden="1" customWidth="1"/>
    <col min="99" max="99" width="12" style="131" hidden="1" customWidth="1"/>
    <col min="100" max="100" width="0" style="131" hidden="1" customWidth="1"/>
    <col min="101" max="101" width="12" style="131" hidden="1" customWidth="1"/>
    <col min="102" max="102" width="0" style="131" hidden="1" customWidth="1"/>
    <col min="103" max="103" width="9.140625" style="131" bestFit="1" customWidth="1"/>
    <col min="104" max="104" width="3.140625" style="131" bestFit="1" customWidth="1"/>
    <col min="105" max="105" width="12" style="131" hidden="1" customWidth="1"/>
    <col min="106" max="106" width="0" style="131" hidden="1" customWidth="1"/>
    <col min="107" max="107" width="12" style="131" hidden="1" customWidth="1"/>
    <col min="108" max="108" width="0" style="131" hidden="1" customWidth="1"/>
    <col min="109" max="109" width="12" style="131" hidden="1" customWidth="1"/>
    <col min="110" max="110" width="0" style="131" hidden="1" customWidth="1"/>
    <col min="111" max="111" width="12" style="131" hidden="1" customWidth="1"/>
    <col min="112" max="112" width="0" style="131" hidden="1" customWidth="1"/>
    <col min="113" max="113" width="13.5703125" style="131" bestFit="1" customWidth="1"/>
    <col min="114" max="114" width="5.7109375" style="131" bestFit="1" customWidth="1"/>
    <col min="115" max="115" width="8.7109375" style="131" bestFit="1" customWidth="1"/>
    <col min="116" max="116" width="13.5703125" style="131" bestFit="1" customWidth="1"/>
    <col min="117" max="117" width="5.7109375" style="131" bestFit="1" customWidth="1"/>
    <col min="118" max="118" width="8.7109375" style="131" bestFit="1" customWidth="1"/>
    <col min="119" max="119" width="15.28515625" style="131" hidden="1" customWidth="1"/>
    <col min="120" max="120" width="13.85546875" style="131" hidden="1" customWidth="1"/>
    <col min="121" max="121" width="17.42578125" style="131" bestFit="1" customWidth="1"/>
    <col min="122" max="122" width="2.42578125" style="131" bestFit="1" customWidth="1"/>
    <col min="123" max="123" width="17.42578125" style="131" bestFit="1" customWidth="1"/>
    <col min="124" max="16384" width="9.140625" style="131"/>
  </cols>
  <sheetData>
    <row r="1" spans="1:123" s="129" customFormat="1" x14ac:dyDescent="0.25">
      <c r="A1" s="221" t="str">
        <f>_xlfn.CONCAT("Year ",ClassInformation!D4,ClassInformation!E4," ",ClassInformation!D5," - ","Semester 1 ",ClassInformation!D6)</f>
        <v>Year 7B Science - Semester 1 2019</v>
      </c>
      <c r="B1" s="222"/>
      <c r="C1" s="132" t="s">
        <v>123</v>
      </c>
      <c r="D1" s="209" t="s">
        <v>58</v>
      </c>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1"/>
      <c r="AG1" s="132" t="s">
        <v>123</v>
      </c>
      <c r="AH1" s="209" t="s">
        <v>135</v>
      </c>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c r="BG1" s="210"/>
      <c r="BH1" s="210"/>
      <c r="BI1" s="210"/>
      <c r="BJ1" s="211"/>
      <c r="BK1" s="132" t="s">
        <v>123</v>
      </c>
      <c r="BL1" s="209" t="s">
        <v>136</v>
      </c>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1"/>
      <c r="CO1" s="132" t="s">
        <v>123</v>
      </c>
      <c r="CP1" s="209" t="s">
        <v>137</v>
      </c>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c r="DR1" s="211"/>
      <c r="DS1" s="169"/>
    </row>
    <row r="2" spans="1:123" s="129" customFormat="1" x14ac:dyDescent="0.25">
      <c r="A2" s="221"/>
      <c r="B2" s="222"/>
      <c r="C2" s="212" t="s">
        <v>58</v>
      </c>
      <c r="D2" s="213"/>
      <c r="E2" s="213"/>
      <c r="F2" s="213"/>
      <c r="G2" s="213"/>
      <c r="H2" s="213"/>
      <c r="I2" s="213"/>
      <c r="J2" s="213"/>
      <c r="K2" s="213"/>
      <c r="L2" s="214"/>
      <c r="M2" s="215" t="s">
        <v>34</v>
      </c>
      <c r="N2" s="213"/>
      <c r="O2" s="213"/>
      <c r="P2" s="213"/>
      <c r="Q2" s="213"/>
      <c r="R2" s="213"/>
      <c r="S2" s="213"/>
      <c r="T2" s="213"/>
      <c r="U2" s="213"/>
      <c r="V2" s="214"/>
      <c r="W2" s="215" t="s">
        <v>35</v>
      </c>
      <c r="X2" s="213"/>
      <c r="Y2" s="213"/>
      <c r="Z2" s="213"/>
      <c r="AA2" s="213"/>
      <c r="AB2" s="213"/>
      <c r="AC2" s="213"/>
      <c r="AD2" s="213"/>
      <c r="AE2" s="216"/>
      <c r="AF2" s="134" t="s">
        <v>18</v>
      </c>
      <c r="AG2" s="212" t="s">
        <v>32</v>
      </c>
      <c r="AH2" s="213"/>
      <c r="AI2" s="213"/>
      <c r="AJ2" s="213"/>
      <c r="AK2" s="213"/>
      <c r="AL2" s="213"/>
      <c r="AM2" s="213"/>
      <c r="AN2" s="213"/>
      <c r="AO2" s="213"/>
      <c r="AP2" s="214"/>
      <c r="AQ2" s="215" t="s">
        <v>34</v>
      </c>
      <c r="AR2" s="213"/>
      <c r="AS2" s="213"/>
      <c r="AT2" s="213"/>
      <c r="AU2" s="213"/>
      <c r="AV2" s="213"/>
      <c r="AW2" s="213"/>
      <c r="AX2" s="213"/>
      <c r="AY2" s="213"/>
      <c r="AZ2" s="214"/>
      <c r="BA2" s="215" t="s">
        <v>35</v>
      </c>
      <c r="BB2" s="213"/>
      <c r="BC2" s="213"/>
      <c r="BD2" s="213"/>
      <c r="BE2" s="213"/>
      <c r="BF2" s="213"/>
      <c r="BG2" s="213"/>
      <c r="BH2" s="213"/>
      <c r="BI2" s="216"/>
      <c r="BJ2" s="134" t="s">
        <v>18</v>
      </c>
      <c r="BK2" s="212" t="s">
        <v>32</v>
      </c>
      <c r="BL2" s="213"/>
      <c r="BM2" s="213"/>
      <c r="BN2" s="213"/>
      <c r="BO2" s="213"/>
      <c r="BP2" s="213"/>
      <c r="BQ2" s="213"/>
      <c r="BR2" s="213"/>
      <c r="BS2" s="213"/>
      <c r="BT2" s="214"/>
      <c r="BU2" s="215" t="s">
        <v>34</v>
      </c>
      <c r="BV2" s="213"/>
      <c r="BW2" s="213"/>
      <c r="BX2" s="213"/>
      <c r="BY2" s="213"/>
      <c r="BZ2" s="213"/>
      <c r="CA2" s="213"/>
      <c r="CB2" s="213"/>
      <c r="CC2" s="213"/>
      <c r="CD2" s="214"/>
      <c r="CE2" s="215" t="s">
        <v>35</v>
      </c>
      <c r="CF2" s="213"/>
      <c r="CG2" s="213"/>
      <c r="CH2" s="213"/>
      <c r="CI2" s="213"/>
      <c r="CJ2" s="213"/>
      <c r="CK2" s="213"/>
      <c r="CL2" s="213"/>
      <c r="CM2" s="216"/>
      <c r="CN2" s="134" t="s">
        <v>18</v>
      </c>
      <c r="CO2" s="212" t="s">
        <v>32</v>
      </c>
      <c r="CP2" s="213"/>
      <c r="CQ2" s="213"/>
      <c r="CR2" s="213"/>
      <c r="CS2" s="213"/>
      <c r="CT2" s="213"/>
      <c r="CU2" s="213"/>
      <c r="CV2" s="213"/>
      <c r="CW2" s="213"/>
      <c r="CX2" s="214"/>
      <c r="CY2" s="215" t="s">
        <v>34</v>
      </c>
      <c r="CZ2" s="213"/>
      <c r="DA2" s="213"/>
      <c r="DB2" s="213"/>
      <c r="DC2" s="213"/>
      <c r="DD2" s="213"/>
      <c r="DE2" s="213"/>
      <c r="DF2" s="213"/>
      <c r="DG2" s="213"/>
      <c r="DH2" s="214"/>
      <c r="DI2" s="215" t="s">
        <v>35</v>
      </c>
      <c r="DJ2" s="213"/>
      <c r="DK2" s="213"/>
      <c r="DL2" s="213"/>
      <c r="DM2" s="213"/>
      <c r="DN2" s="213"/>
      <c r="DO2" s="213"/>
      <c r="DP2" s="213"/>
      <c r="DQ2" s="216"/>
      <c r="DR2" s="134" t="s">
        <v>18</v>
      </c>
      <c r="DS2" s="169"/>
    </row>
    <row r="3" spans="1:123" s="129" customFormat="1" x14ac:dyDescent="0.25">
      <c r="A3" s="223" t="s">
        <v>21</v>
      </c>
      <c r="B3" s="224"/>
      <c r="C3" s="136" t="str">
        <f>_xlfn.CONCAT("Max ",C4,":")</f>
        <v>Max Pre T1:</v>
      </c>
      <c r="D3" s="137">
        <v>10</v>
      </c>
      <c r="E3" s="136" t="str">
        <f>_xlfn.CONCAT("Max ",E4,":")</f>
        <v>Max Post T1:</v>
      </c>
      <c r="F3" s="137">
        <v>10</v>
      </c>
      <c r="G3" s="136" t="str">
        <f>_xlfn.CONCAT("Max ",G4,":")</f>
        <v>Max Pre T2:</v>
      </c>
      <c r="H3" s="137">
        <v>10</v>
      </c>
      <c r="I3" s="136" t="str">
        <f>_xlfn.CONCAT("Max ",I4,":")</f>
        <v>Max Post T2:</v>
      </c>
      <c r="J3" s="137">
        <v>10</v>
      </c>
      <c r="K3" s="136" t="str">
        <f>_xlfn.CONCAT("Max ",K4,":")</f>
        <v>Max [Mark]:</v>
      </c>
      <c r="L3" s="138"/>
      <c r="M3" s="136" t="str">
        <f>_xlfn.CONCAT("Max ",M4,":")</f>
        <v>Max [Mark]:</v>
      </c>
      <c r="N3" s="137"/>
      <c r="O3" s="136" t="str">
        <f>_xlfn.CONCAT("Max ",O4,":")</f>
        <v>Max [Mark]:</v>
      </c>
      <c r="P3" s="138"/>
      <c r="Q3" s="136" t="str">
        <f>_xlfn.CONCAT("Max ",Q4,":")</f>
        <v>Max [Mark]:</v>
      </c>
      <c r="R3" s="138"/>
      <c r="S3" s="136" t="str">
        <f>_xlfn.CONCAT("Max ",S4,":")</f>
        <v>Max [Mark]:</v>
      </c>
      <c r="T3" s="138"/>
      <c r="U3" s="136" t="str">
        <f>_xlfn.CONCAT("Max ",U4,":")</f>
        <v>Max [Mark]:</v>
      </c>
      <c r="V3" s="138"/>
      <c r="W3" s="136" t="str">
        <f>_xlfn.CONCAT("Max ",C2,":")</f>
        <v>Max Spelling:</v>
      </c>
      <c r="X3" s="168">
        <f>IF(OR(D3="-",F3="-",H3="-",J3="-",L3="-"),"-",SUM(D3,F3,H3,J3,L3))</f>
        <v>40</v>
      </c>
      <c r="Y3" s="139"/>
      <c r="Z3" s="136" t="str">
        <f>_xlfn.CONCAT("Max ",M2,":")</f>
        <v>Max SD:</v>
      </c>
      <c r="AA3" s="140">
        <f>IF(OR(N3="-",P3="-",R3="-",T3="-",V3="-"),"-",SUM(N3,P3,R3,T3,V3))</f>
        <v>0</v>
      </c>
      <c r="AB3" s="141"/>
      <c r="AC3" s="142"/>
      <c r="AD3" s="142"/>
      <c r="AE3" s="142"/>
      <c r="AF3" s="134" t="s">
        <v>18</v>
      </c>
      <c r="AG3" s="136" t="str">
        <f>_xlfn.CONCAT("Max ",AG4,":")</f>
        <v>Max SU:</v>
      </c>
      <c r="AH3" s="137">
        <v>18</v>
      </c>
      <c r="AI3" s="136" t="str">
        <f>_xlfn.CONCAT("Max ",AI4,":")</f>
        <v>Max SHE:</v>
      </c>
      <c r="AJ3" s="137">
        <v>4</v>
      </c>
      <c r="AK3" s="136" t="str">
        <f>_xlfn.CONCAT("Max ",AK4,":")</f>
        <v>Max [Mark]:</v>
      </c>
      <c r="AL3" s="137"/>
      <c r="AM3" s="136" t="str">
        <f>_xlfn.CONCAT("Max ",AM4,":")</f>
        <v>Max [Mark]:</v>
      </c>
      <c r="AN3" s="137"/>
      <c r="AO3" s="136" t="str">
        <f>_xlfn.CONCAT("Max ",AO4,":")</f>
        <v>Max [Mark]:</v>
      </c>
      <c r="AP3" s="138"/>
      <c r="AQ3" s="136" t="str">
        <f>_xlfn.CONCAT("Max ",AQ4,":")</f>
        <v>Max SD:</v>
      </c>
      <c r="AR3" s="137">
        <v>10</v>
      </c>
      <c r="AS3" s="136" t="str">
        <f>_xlfn.CONCAT("Max ",AS4,":")</f>
        <v>Max [Mark]:</v>
      </c>
      <c r="AT3" s="138"/>
      <c r="AU3" s="136" t="str">
        <f>_xlfn.CONCAT("Max ",AU4,":")</f>
        <v>Max [Mark]:</v>
      </c>
      <c r="AV3" s="138"/>
      <c r="AW3" s="136" t="str">
        <f>_xlfn.CONCAT("Max ",AW4,":")</f>
        <v>Max [Mark]:</v>
      </c>
      <c r="AX3" s="138"/>
      <c r="AY3" s="136" t="str">
        <f>_xlfn.CONCAT("Max ",AY4,":")</f>
        <v>Max [Mark]:</v>
      </c>
      <c r="AZ3" s="138"/>
      <c r="BA3" s="136" t="str">
        <f>_xlfn.CONCAT("Max ",AG2,":")</f>
        <v>Max UD:</v>
      </c>
      <c r="BB3" s="168">
        <f>IF(OR(AH3="-",AJ3="-",AL3="-",AN3="-",AP3="-"),"-",SUM(AH3,AJ3,AL3,AN3,AP3))</f>
        <v>22</v>
      </c>
      <c r="BC3" s="139"/>
      <c r="BD3" s="136" t="str">
        <f>_xlfn.CONCAT("Max ",AQ2,":")</f>
        <v>Max SD:</v>
      </c>
      <c r="BE3" s="140">
        <f>IF(OR(AR3="-",AT3="-",AV3="-",AX3="-",AZ3="-"),"-",SUM(AR3,AT3,AV3,AX3,AZ3))</f>
        <v>10</v>
      </c>
      <c r="BF3" s="141"/>
      <c r="BG3" s="142"/>
      <c r="BH3" s="142"/>
      <c r="BI3" s="142"/>
      <c r="BJ3" s="134" t="s">
        <v>18</v>
      </c>
      <c r="BK3" s="136" t="str">
        <f>_xlfn.CONCAT("Max ",BK4,":")</f>
        <v>Max SU:</v>
      </c>
      <c r="BL3" s="137"/>
      <c r="BM3" s="136" t="str">
        <f>_xlfn.CONCAT("Max ",BM4,":")</f>
        <v>Max SHE:</v>
      </c>
      <c r="BN3" s="137"/>
      <c r="BO3" s="136" t="str">
        <f>_xlfn.CONCAT("Max ",BO4,":")</f>
        <v>Max [Mark]:</v>
      </c>
      <c r="BP3" s="137"/>
      <c r="BQ3" s="136" t="str">
        <f>_xlfn.CONCAT("Max ",BQ4,":")</f>
        <v>Max [Mark]:</v>
      </c>
      <c r="BR3" s="137"/>
      <c r="BS3" s="136" t="str">
        <f>_xlfn.CONCAT("Max ",BS4,":")</f>
        <v>Max [Mark]:</v>
      </c>
      <c r="BT3" s="138"/>
      <c r="BU3" s="136" t="str">
        <f>_xlfn.CONCAT("Max ",BU4,":")</f>
        <v>Max SD:</v>
      </c>
      <c r="BV3" s="137">
        <v>30</v>
      </c>
      <c r="BW3" s="136" t="str">
        <f>_xlfn.CONCAT("Max ",BW4,":")</f>
        <v>Max [Mark]:</v>
      </c>
      <c r="BX3" s="138"/>
      <c r="BY3" s="136" t="str">
        <f>_xlfn.CONCAT("Max ",BY4,":")</f>
        <v>Max [Mark]:</v>
      </c>
      <c r="BZ3" s="138"/>
      <c r="CA3" s="136" t="str">
        <f>_xlfn.CONCAT("Max ",CA4,":")</f>
        <v>Max [Mark]:</v>
      </c>
      <c r="CB3" s="138"/>
      <c r="CC3" s="136" t="str">
        <f>_xlfn.CONCAT("Max ",CC4,":")</f>
        <v>Max [Mark]:</v>
      </c>
      <c r="CD3" s="138"/>
      <c r="CE3" s="136" t="str">
        <f>_xlfn.CONCAT("Max ",BK2,":")</f>
        <v>Max UD:</v>
      </c>
      <c r="CF3" s="217">
        <f>IF(OR(BL3="-",BN3="-",BP3="-",BR3="-",BT3="-"),"-",SUM(BL3,BN3,BP3,BR3,BT3))</f>
        <v>0</v>
      </c>
      <c r="CG3" s="218"/>
      <c r="CH3" s="136" t="str">
        <f>_xlfn.CONCAT("Max ",BU2,":")</f>
        <v>Max SD:</v>
      </c>
      <c r="CI3" s="219">
        <f>IF(OR(BV3="-",BX3="-",BZ3="-",CB3="-",CD3="-"),"-",SUM(BV3,BX3,BZ3,CB3,CD3))</f>
        <v>30</v>
      </c>
      <c r="CJ3" s="220"/>
      <c r="CK3" s="142"/>
      <c r="CL3" s="142"/>
      <c r="CM3" s="142"/>
      <c r="CN3" s="134" t="s">
        <v>18</v>
      </c>
      <c r="CO3" s="136" t="str">
        <f>_xlfn.CONCAT("Max ",CO4,":")</f>
        <v>Max SU:</v>
      </c>
      <c r="CP3" s="137">
        <v>21</v>
      </c>
      <c r="CQ3" s="136" t="str">
        <f>_xlfn.CONCAT("Max ",CQ4,":")</f>
        <v>Max SHE:</v>
      </c>
      <c r="CR3" s="137">
        <v>5.5</v>
      </c>
      <c r="CS3" s="136" t="str">
        <f>_xlfn.CONCAT("Max ",CS4,":")</f>
        <v>Max [Mark]:</v>
      </c>
      <c r="CT3" s="137"/>
      <c r="CU3" s="136" t="str">
        <f>_xlfn.CONCAT("Max ",CU4,":")</f>
        <v>Max [Mark]:</v>
      </c>
      <c r="CV3" s="137"/>
      <c r="CW3" s="136" t="str">
        <f>_xlfn.CONCAT("Max ",CW4,":")</f>
        <v>Max [Mark]:</v>
      </c>
      <c r="CX3" s="138"/>
      <c r="CY3" s="136" t="str">
        <f>_xlfn.CONCAT("Max ",CY4,":")</f>
        <v>Max SD:</v>
      </c>
      <c r="CZ3" s="137">
        <v>7</v>
      </c>
      <c r="DA3" s="136" t="str">
        <f>_xlfn.CONCAT("Max ",DA4,":")</f>
        <v>Max [Mark]:</v>
      </c>
      <c r="DB3" s="138"/>
      <c r="DC3" s="136" t="str">
        <f>_xlfn.CONCAT("Max ",DC4,":")</f>
        <v>Max [Mark]:</v>
      </c>
      <c r="DD3" s="138"/>
      <c r="DE3" s="136" t="str">
        <f>_xlfn.CONCAT("Max ",DE4,":")</f>
        <v>Max [Mark]:</v>
      </c>
      <c r="DF3" s="138"/>
      <c r="DG3" s="136" t="str">
        <f>_xlfn.CONCAT("Max ",DG4,":")</f>
        <v>Max [Mark]:</v>
      </c>
      <c r="DH3" s="138"/>
      <c r="DI3" s="136" t="str">
        <f>_xlfn.CONCAT("Max ",CO2,":")</f>
        <v>Max UD:</v>
      </c>
      <c r="DJ3" s="217">
        <f>IF(OR(CP3="-",CR3="-",CT3="-",CV3="-",CX3="-"),"-",SUM(CP3,CR3,CT3,CV3,CX3))</f>
        <v>26.5</v>
      </c>
      <c r="DK3" s="218"/>
      <c r="DL3" s="136" t="str">
        <f>_xlfn.CONCAT("Max ",CY2,":")</f>
        <v>Max SD:</v>
      </c>
      <c r="DM3" s="219">
        <f>IF(OR(CZ3="-",DB3="-",DD3="-",DF3="-",DH3="-"),"-",SUM(CZ3,DB3,DD3,DF3,DH3))</f>
        <v>7</v>
      </c>
      <c r="DN3" s="220"/>
      <c r="DO3" s="142"/>
      <c r="DP3" s="142"/>
      <c r="DQ3" s="142"/>
      <c r="DR3" s="134" t="s">
        <v>18</v>
      </c>
      <c r="DS3" s="169"/>
    </row>
    <row r="4" spans="1:123" s="129" customFormat="1" ht="15.75" thickBot="1" x14ac:dyDescent="0.3">
      <c r="A4" s="125" t="str">
        <f>ClassInformation!C9</f>
        <v>Last Name</v>
      </c>
      <c r="B4" s="126" t="str">
        <f>ClassInformation!D9</f>
        <v>First Name</v>
      </c>
      <c r="C4" s="207" t="s">
        <v>131</v>
      </c>
      <c r="D4" s="208"/>
      <c r="E4" s="207" t="s">
        <v>132</v>
      </c>
      <c r="F4" s="208"/>
      <c r="G4" s="207" t="s">
        <v>133</v>
      </c>
      <c r="H4" s="208"/>
      <c r="I4" s="207" t="s">
        <v>134</v>
      </c>
      <c r="J4" s="208"/>
      <c r="K4" s="207" t="s">
        <v>40</v>
      </c>
      <c r="L4" s="208"/>
      <c r="M4" s="207" t="s">
        <v>40</v>
      </c>
      <c r="N4" s="208"/>
      <c r="O4" s="207" t="s">
        <v>40</v>
      </c>
      <c r="P4" s="208"/>
      <c r="Q4" s="207" t="s">
        <v>40</v>
      </c>
      <c r="R4" s="208"/>
      <c r="S4" s="207" t="s">
        <v>40</v>
      </c>
      <c r="T4" s="208"/>
      <c r="U4" s="207" t="s">
        <v>40</v>
      </c>
      <c r="V4" s="208"/>
      <c r="W4" s="143" t="str">
        <f>_xlfn.CONCAT(W2," ",C2)</f>
        <v>Overall Spelling</v>
      </c>
      <c r="X4" s="144" t="s">
        <v>33</v>
      </c>
      <c r="Y4" s="145" t="s">
        <v>1</v>
      </c>
      <c r="Z4" s="146" t="str">
        <f>_xlfn.CONCAT(W2," ",M2)</f>
        <v>Overall SD</v>
      </c>
      <c r="AA4" s="147" t="s">
        <v>33</v>
      </c>
      <c r="AB4" s="148" t="s">
        <v>1</v>
      </c>
      <c r="AC4" s="149" t="s">
        <v>55</v>
      </c>
      <c r="AD4" s="149" t="s">
        <v>56</v>
      </c>
      <c r="AE4" s="149" t="str">
        <f>_xlfn.CONCAT(W2," Grade")</f>
        <v>Overall Grade</v>
      </c>
      <c r="AF4" s="134" t="s">
        <v>18</v>
      </c>
      <c r="AG4" s="207" t="s">
        <v>41</v>
      </c>
      <c r="AH4" s="208"/>
      <c r="AI4" s="207" t="s">
        <v>42</v>
      </c>
      <c r="AJ4" s="208"/>
      <c r="AK4" s="207" t="s">
        <v>40</v>
      </c>
      <c r="AL4" s="208"/>
      <c r="AM4" s="207" t="s">
        <v>40</v>
      </c>
      <c r="AN4" s="208"/>
      <c r="AO4" s="207" t="s">
        <v>40</v>
      </c>
      <c r="AP4" s="208"/>
      <c r="AQ4" s="207" t="s">
        <v>34</v>
      </c>
      <c r="AR4" s="208"/>
      <c r="AS4" s="207" t="s">
        <v>40</v>
      </c>
      <c r="AT4" s="208"/>
      <c r="AU4" s="207" t="s">
        <v>40</v>
      </c>
      <c r="AV4" s="208"/>
      <c r="AW4" s="207" t="s">
        <v>40</v>
      </c>
      <c r="AX4" s="208"/>
      <c r="AY4" s="207" t="s">
        <v>40</v>
      </c>
      <c r="AZ4" s="208"/>
      <c r="BA4" s="143" t="str">
        <f>_xlfn.CONCAT(BA2," ",AG2)</f>
        <v>Overall UD</v>
      </c>
      <c r="BB4" s="144" t="s">
        <v>33</v>
      </c>
      <c r="BC4" s="145" t="s">
        <v>1</v>
      </c>
      <c r="BD4" s="146" t="str">
        <f>_xlfn.CONCAT(BA2," ",AQ2)</f>
        <v>Overall SD</v>
      </c>
      <c r="BE4" s="147" t="s">
        <v>33</v>
      </c>
      <c r="BF4" s="148" t="s">
        <v>1</v>
      </c>
      <c r="BG4" s="149" t="s">
        <v>55</v>
      </c>
      <c r="BH4" s="149" t="s">
        <v>56</v>
      </c>
      <c r="BI4" s="149" t="str">
        <f>_xlfn.CONCAT(BA2," Grade")</f>
        <v>Overall Grade</v>
      </c>
      <c r="BJ4" s="134" t="s">
        <v>18</v>
      </c>
      <c r="BK4" s="207" t="s">
        <v>41</v>
      </c>
      <c r="BL4" s="208"/>
      <c r="BM4" s="207" t="s">
        <v>42</v>
      </c>
      <c r="BN4" s="208"/>
      <c r="BO4" s="207" t="s">
        <v>40</v>
      </c>
      <c r="BP4" s="208"/>
      <c r="BQ4" s="207" t="s">
        <v>40</v>
      </c>
      <c r="BR4" s="208"/>
      <c r="BS4" s="207" t="s">
        <v>40</v>
      </c>
      <c r="BT4" s="208"/>
      <c r="BU4" s="207" t="s">
        <v>34</v>
      </c>
      <c r="BV4" s="208"/>
      <c r="BW4" s="207" t="s">
        <v>40</v>
      </c>
      <c r="BX4" s="208"/>
      <c r="BY4" s="207" t="s">
        <v>40</v>
      </c>
      <c r="BZ4" s="208"/>
      <c r="CA4" s="207" t="s">
        <v>40</v>
      </c>
      <c r="CB4" s="208"/>
      <c r="CC4" s="207" t="s">
        <v>40</v>
      </c>
      <c r="CD4" s="208"/>
      <c r="CE4" s="143" t="str">
        <f>_xlfn.CONCAT(CE2," ",BK2)</f>
        <v>Overall UD</v>
      </c>
      <c r="CF4" s="144" t="s">
        <v>33</v>
      </c>
      <c r="CG4" s="145" t="s">
        <v>1</v>
      </c>
      <c r="CH4" s="146" t="str">
        <f>_xlfn.CONCAT(CE2," ",BU2)</f>
        <v>Overall SD</v>
      </c>
      <c r="CI4" s="147" t="s">
        <v>33</v>
      </c>
      <c r="CJ4" s="148" t="s">
        <v>1</v>
      </c>
      <c r="CK4" s="149" t="s">
        <v>55</v>
      </c>
      <c r="CL4" s="149" t="s">
        <v>56</v>
      </c>
      <c r="CM4" s="149" t="str">
        <f>_xlfn.CONCAT(CE2," Grade")</f>
        <v>Overall Grade</v>
      </c>
      <c r="CN4" s="134" t="s">
        <v>18</v>
      </c>
      <c r="CO4" s="207" t="s">
        <v>41</v>
      </c>
      <c r="CP4" s="208"/>
      <c r="CQ4" s="207" t="s">
        <v>42</v>
      </c>
      <c r="CR4" s="208"/>
      <c r="CS4" s="207" t="s">
        <v>40</v>
      </c>
      <c r="CT4" s="208"/>
      <c r="CU4" s="207" t="s">
        <v>40</v>
      </c>
      <c r="CV4" s="208"/>
      <c r="CW4" s="207" t="s">
        <v>40</v>
      </c>
      <c r="CX4" s="208"/>
      <c r="CY4" s="207" t="s">
        <v>34</v>
      </c>
      <c r="CZ4" s="208"/>
      <c r="DA4" s="207" t="s">
        <v>40</v>
      </c>
      <c r="DB4" s="208"/>
      <c r="DC4" s="207" t="s">
        <v>40</v>
      </c>
      <c r="DD4" s="208"/>
      <c r="DE4" s="207" t="s">
        <v>40</v>
      </c>
      <c r="DF4" s="208"/>
      <c r="DG4" s="207" t="s">
        <v>40</v>
      </c>
      <c r="DH4" s="208"/>
      <c r="DI4" s="143" t="str">
        <f>_xlfn.CONCAT(DI2," ",CO2)</f>
        <v>Overall UD</v>
      </c>
      <c r="DJ4" s="144" t="s">
        <v>33</v>
      </c>
      <c r="DK4" s="145" t="s">
        <v>1</v>
      </c>
      <c r="DL4" s="146" t="str">
        <f>_xlfn.CONCAT(DI2," ",CY2)</f>
        <v>Overall SD</v>
      </c>
      <c r="DM4" s="147" t="s">
        <v>33</v>
      </c>
      <c r="DN4" s="148" t="s">
        <v>1</v>
      </c>
      <c r="DO4" s="149" t="s">
        <v>55</v>
      </c>
      <c r="DP4" s="149" t="s">
        <v>56</v>
      </c>
      <c r="DQ4" s="149" t="str">
        <f>_xlfn.CONCAT(DI2," Grade")</f>
        <v>Overall Grade</v>
      </c>
      <c r="DR4" s="134" t="s">
        <v>18</v>
      </c>
      <c r="DS4" s="170" t="s">
        <v>138</v>
      </c>
    </row>
    <row r="5" spans="1:123" s="61" customFormat="1" x14ac:dyDescent="0.25">
      <c r="A5" s="127" t="str">
        <f>IF(ISBLANK(ClassInformation!C10),"ZZZZZ",ClassInformation!C10)</f>
        <v>Amery</v>
      </c>
      <c r="B5" s="128" t="str">
        <f>IF(ISBLANK(ClassInformation!D10),"ZZZZZ",ClassInformation!D10)</f>
        <v>Kyeesha</v>
      </c>
      <c r="C5" s="150"/>
      <c r="D5" s="151"/>
      <c r="E5" s="151">
        <v>10</v>
      </c>
      <c r="F5" s="151"/>
      <c r="G5" s="151">
        <v>6</v>
      </c>
      <c r="H5" s="151"/>
      <c r="I5" s="151"/>
      <c r="J5" s="151"/>
      <c r="K5" s="151"/>
      <c r="L5" s="152"/>
      <c r="M5" s="153"/>
      <c r="N5" s="151"/>
      <c r="O5" s="151"/>
      <c r="P5" s="151"/>
      <c r="Q5" s="151"/>
      <c r="R5" s="151"/>
      <c r="S5" s="151"/>
      <c r="T5" s="151"/>
      <c r="U5" s="151"/>
      <c r="V5" s="154"/>
      <c r="W5" s="116">
        <f>_xlfn.IFS(COUNTIF(C5:L5,"*-*")&gt;0,"-",COUNTBLANK(C5:L5)=10,"",X$3="-","-",TRUE,SUM(C5:L5))</f>
        <v>16</v>
      </c>
      <c r="X5" s="100">
        <f>_xlfn.SWITCH(W5,"","","-","-",W5/X$3)</f>
        <v>0.4</v>
      </c>
      <c r="Y5" s="99" t="str">
        <f>IF(X5="","",VLOOKUP(X5,Table1[],2,TRUE))</f>
        <v>D+</v>
      </c>
      <c r="Z5" s="101" t="str">
        <f>_xlfn.IFS(COUNTIF(M5:V5,"*-*")&gt;0,"-",COUNTBLANK(M5:V5)=10,"",AA$3="-","-",TRUE,SUM(M5:V5))</f>
        <v/>
      </c>
      <c r="AA5" s="102" t="str">
        <f>_xlfn.SWITCH(Z5,"","","-", "-",Z5/AA$3)</f>
        <v/>
      </c>
      <c r="AB5" s="103" t="str">
        <f>IF(AA5="","",VLOOKUP(AA5,Table1[],2,TRUE))</f>
        <v/>
      </c>
      <c r="AC5" s="114" t="str">
        <f>_xlfn.IFS(AND(X5="",AA5=""),"",OR(X5="-",AA5="-"),"-",AND(X$3&lt;&gt;0,AA$3&lt;&gt;0),VLOOKUP(AVERAGE(X5,AA5),Table1[],2,TRUE),AND(X$3&lt;&gt;0,AA$3=0),Y5,TRUE,AB5)</f>
        <v>D+</v>
      </c>
      <c r="AD5" s="115"/>
      <c r="AE5" s="106" t="str">
        <f>IF(ISBLANK(AD5),AC5,AD5)</f>
        <v>D+</v>
      </c>
      <c r="AF5" s="155" t="s">
        <v>18</v>
      </c>
      <c r="AG5" s="150">
        <v>10.5</v>
      </c>
      <c r="AH5" s="151"/>
      <c r="AI5" s="151">
        <v>0</v>
      </c>
      <c r="AJ5" s="151"/>
      <c r="AK5" s="151"/>
      <c r="AL5" s="151"/>
      <c r="AM5" s="151"/>
      <c r="AN5" s="151"/>
      <c r="AO5" s="151"/>
      <c r="AP5" s="152"/>
      <c r="AQ5" s="153">
        <v>5.5</v>
      </c>
      <c r="AR5" s="151"/>
      <c r="AS5" s="151"/>
      <c r="AT5" s="151"/>
      <c r="AU5" s="151"/>
      <c r="AV5" s="151"/>
      <c r="AW5" s="151"/>
      <c r="AX5" s="151"/>
      <c r="AY5" s="151"/>
      <c r="AZ5" s="154"/>
      <c r="BA5" s="116">
        <f>_xlfn.IFS(COUNTIF(AG5:AP5,"*-*")&gt;0,"-",COUNTBLANK(AG5:AP5)=10,"",BB$3="-","-",TRUE,SUM(AG5:AP5))</f>
        <v>10.5</v>
      </c>
      <c r="BB5" s="100">
        <f>_xlfn.SWITCH(BA5,"","","-","-",BA5/BB$3)</f>
        <v>0.47727272727272729</v>
      </c>
      <c r="BC5" s="99" t="str">
        <f>IF(BB5="","",VLOOKUP(BB5,Table1[],2,TRUE))</f>
        <v>C-</v>
      </c>
      <c r="BD5" s="101">
        <f>_xlfn.IFS(COUNTIF(AQ5:AZ5,"*-*")&gt;0,"-",COUNTBLANK(AQ5:AZ5)=10,"",BE$3="-","-",TRUE,SUM(AQ5:AZ5))</f>
        <v>5.5</v>
      </c>
      <c r="BE5" s="102">
        <f>_xlfn.SWITCH(BD5,"","","-", "-",BD5/BE$3)</f>
        <v>0.55000000000000004</v>
      </c>
      <c r="BF5" s="103" t="str">
        <f>IF(BE5="","",VLOOKUP(BE5,Table1[],2,TRUE))</f>
        <v>C</v>
      </c>
      <c r="BG5" s="114" t="str">
        <f>_xlfn.IFS(AND(BB5="",BE5=""),"",OR(BB5="-",BE5="-"),"-",AND(BB$3&lt;&gt;0,BE$3&lt;&gt;0),VLOOKUP(AVERAGE(BB5,BE5),Table1[],2,TRUE),AND(BB$3&lt;&gt;0,BE$3=0),BC5,TRUE,BF5)</f>
        <v>C-</v>
      </c>
      <c r="BH5" s="115"/>
      <c r="BI5" s="106" t="str">
        <f>IF(ISBLANK(BH5),BG5,BH5)</f>
        <v>C-</v>
      </c>
      <c r="BJ5" s="155" t="s">
        <v>18</v>
      </c>
      <c r="BK5" s="150"/>
      <c r="BL5" s="151"/>
      <c r="BM5" s="151"/>
      <c r="BN5" s="151"/>
      <c r="BO5" s="151"/>
      <c r="BP5" s="151"/>
      <c r="BQ5" s="151"/>
      <c r="BR5" s="151"/>
      <c r="BS5" s="151"/>
      <c r="BT5" s="152"/>
      <c r="BU5" s="153">
        <v>9</v>
      </c>
      <c r="BV5" s="151"/>
      <c r="BW5" s="151"/>
      <c r="BX5" s="151"/>
      <c r="BY5" s="151"/>
      <c r="BZ5" s="151"/>
      <c r="CA5" s="151"/>
      <c r="CB5" s="151"/>
      <c r="CC5" s="151"/>
      <c r="CD5" s="154"/>
      <c r="CE5" s="116" t="str">
        <f>_xlfn.IFS(COUNTIF(BK5:BT5,"*-*")&gt;0,"-",COUNTBLANK(BK5:BT5)=10,"",CF$3="-","-",TRUE,SUM(BK5:BT5))</f>
        <v/>
      </c>
      <c r="CF5" s="100" t="str">
        <f>_xlfn.SWITCH(CE5,"","","-","-",CE5/CF$3)</f>
        <v/>
      </c>
      <c r="CG5" s="99" t="str">
        <f>IF(CF5="","",VLOOKUP(CF5,Table1[],2,TRUE))</f>
        <v/>
      </c>
      <c r="CH5" s="101">
        <f>_xlfn.IFS(COUNTIF(BU5:CD5,"*-*")&gt;0,"-",COUNTBLANK(BU5:CD5)=10,"",CI$3="-","-",TRUE,SUM(BU5:CD5))</f>
        <v>9</v>
      </c>
      <c r="CI5" s="102">
        <f>_xlfn.SWITCH(CH5,"","","-", "-",CH5/CI$3)</f>
        <v>0.3</v>
      </c>
      <c r="CJ5" s="103" t="str">
        <f>IF(CI5="","",VLOOKUP(CI5,Table1[],2,TRUE))</f>
        <v>D-</v>
      </c>
      <c r="CK5" s="114" t="str">
        <f>_xlfn.IFS(AND(CF5="",CI5=""),"",OR(CF5="-",CI5="-"),"-",AND(CF$3&lt;&gt;0,CI$3&lt;&gt;0),VLOOKUP(AVERAGE(CF5,CI5),Table1[],2,TRUE),AND(CF$3&lt;&gt;0,CI$3=0),CG5,TRUE,CJ5)</f>
        <v>D-</v>
      </c>
      <c r="CL5" s="115"/>
      <c r="CM5" s="106" t="str">
        <f>IF(ISBLANK(CL5),CK5,CL5)</f>
        <v>D-</v>
      </c>
      <c r="CN5" s="155" t="s">
        <v>18</v>
      </c>
      <c r="CO5" s="150">
        <v>13.5</v>
      </c>
      <c r="CP5" s="151"/>
      <c r="CQ5" s="151">
        <v>2</v>
      </c>
      <c r="CR5" s="151"/>
      <c r="CS5" s="151"/>
      <c r="CT5" s="151"/>
      <c r="CU5" s="151"/>
      <c r="CV5" s="151"/>
      <c r="CW5" s="151"/>
      <c r="CX5" s="152"/>
      <c r="CY5" s="153">
        <v>3.5</v>
      </c>
      <c r="CZ5" s="151"/>
      <c r="DA5" s="151"/>
      <c r="DB5" s="151"/>
      <c r="DC5" s="151"/>
      <c r="DD5" s="151"/>
      <c r="DE5" s="151"/>
      <c r="DF5" s="151"/>
      <c r="DG5" s="151"/>
      <c r="DH5" s="154"/>
      <c r="DI5" s="116">
        <f>_xlfn.IFS(COUNTIF(CO5:CX5,"*-*")&gt;0,"-",COUNTBLANK(CO5:CX5)=10,"",DJ$3="-","-",TRUE,SUM(CO5:CX5))</f>
        <v>15.5</v>
      </c>
      <c r="DJ5" s="100">
        <f>_xlfn.SWITCH(DI5,"","","-","-",DI5/DJ$3)</f>
        <v>0.58490566037735847</v>
      </c>
      <c r="DK5" s="99" t="str">
        <f>IF(DJ5="","",VLOOKUP(DJ5,Table1[],2,TRUE))</f>
        <v>C</v>
      </c>
      <c r="DL5" s="101">
        <f>_xlfn.IFS(COUNTIF(CY5:DH5,"*-*")&gt;0,"-",COUNTBLANK(CY5:DH5)=10,"",DM$3="-","-",TRUE,SUM(CY5:DH5))</f>
        <v>3.5</v>
      </c>
      <c r="DM5" s="102">
        <f>_xlfn.SWITCH(DL5,"","","-", "-",DL5/DM$3)</f>
        <v>0.5</v>
      </c>
      <c r="DN5" s="103" t="str">
        <f>IF(DM5="","",VLOOKUP(DM5,Table1[],2,TRUE))</f>
        <v>C-</v>
      </c>
      <c r="DO5" s="114" t="str">
        <f>_xlfn.IFS(AND(DJ5="",DM5=""),"",OR(DJ5="-",DM5="-"),"-",AND(DJ$3&lt;&gt;0,DM$3&lt;&gt;0),VLOOKUP(AVERAGE(DJ5,DM5),Table1[],2,TRUE),AND(DJ$3&lt;&gt;0,DM$3=0),DK5,TRUE,DN5)</f>
        <v>C</v>
      </c>
      <c r="DP5" s="115"/>
      <c r="DQ5" s="106" t="str">
        <f>IF(ISBLANK(DP5),DO5,DP5)</f>
        <v>C</v>
      </c>
      <c r="DR5" s="155" t="s">
        <v>18</v>
      </c>
      <c r="DS5" s="171" t="s">
        <v>9</v>
      </c>
    </row>
    <row r="6" spans="1:123" s="61" customFormat="1" x14ac:dyDescent="0.25">
      <c r="A6" s="127" t="str">
        <f>IF(ISBLANK(ClassInformation!C11),"ZZZZZ",ClassInformation!C11)</f>
        <v>Barratt</v>
      </c>
      <c r="B6" s="128" t="str">
        <f>IF(ISBLANK(ClassInformation!D11),"ZZZZZ",ClassInformation!D11)</f>
        <v>Oliver</v>
      </c>
      <c r="C6" s="156">
        <v>7</v>
      </c>
      <c r="D6" s="157"/>
      <c r="E6" s="157"/>
      <c r="F6" s="157"/>
      <c r="G6" s="157"/>
      <c r="H6" s="157"/>
      <c r="I6" s="157"/>
      <c r="J6" s="157"/>
      <c r="K6" s="157"/>
      <c r="L6" s="158"/>
      <c r="M6" s="159"/>
      <c r="N6" s="157"/>
      <c r="O6" s="157"/>
      <c r="P6" s="157"/>
      <c r="Q6" s="157"/>
      <c r="R6" s="157"/>
      <c r="S6" s="157"/>
      <c r="T6" s="157"/>
      <c r="U6" s="157"/>
      <c r="V6" s="160"/>
      <c r="W6" s="117">
        <f t="shared" ref="W6:W40" si="0">_xlfn.IFS(COUNTIF(C6:L6,"*-*")&gt;0,"-",COUNTBLANK(C6:L6)=10,"",X$3="-","-",TRUE,SUM(C6:L6))</f>
        <v>7</v>
      </c>
      <c r="X6" s="100">
        <f t="shared" ref="X6:X40" si="1">_xlfn.SWITCH(W6,"","","-","-",W6/X$3)</f>
        <v>0.17499999999999999</v>
      </c>
      <c r="Y6" s="99" t="str">
        <f>IF(W6="","",VLOOKUP(X6,Table1[],2,TRUE))</f>
        <v>E+</v>
      </c>
      <c r="Z6" s="101" t="str">
        <f t="shared" ref="Z6:Z40" si="2">_xlfn.IFS(COUNTIF(M6:V6,"*-*")&gt;0,"-",COUNTBLANK(M6:V6)=10,"",AA$3="-","-",TRUE,SUM(M6:V6))</f>
        <v/>
      </c>
      <c r="AA6" s="102" t="str">
        <f t="shared" ref="AA6:AA40" si="3">_xlfn.SWITCH(Z6,"","","-", "-",Z6/AA$3)</f>
        <v/>
      </c>
      <c r="AB6" s="103" t="str">
        <f>IF(Z6="","",VLOOKUP(AA6,Table1[],2,TRUE))</f>
        <v/>
      </c>
      <c r="AC6" s="104" t="str">
        <f>IF(AND(X6="",AA6=""),"",IF(OR(X6="-",AA6="-"),"-",IF(AND(X$3&lt;&gt;0,AA$3&lt;&gt;0),VLOOKUP(AVERAGE(X6,AA6),Table1[],2,TRUE),IF(AND(X$3&lt;&gt;0,AA$3=0),Y6,AB6))))</f>
        <v>E+</v>
      </c>
      <c r="AD6" s="105"/>
      <c r="AE6" s="107" t="str">
        <f t="shared" ref="AE6:AE40" si="4">IF(ISBLANK(AD6),AC6,AD6)</f>
        <v>E+</v>
      </c>
      <c r="AF6" s="155" t="s">
        <v>18</v>
      </c>
      <c r="AG6" s="156">
        <v>5</v>
      </c>
      <c r="AH6" s="157"/>
      <c r="AI6" s="157">
        <v>1.5</v>
      </c>
      <c r="AJ6" s="157"/>
      <c r="AK6" s="157"/>
      <c r="AL6" s="157"/>
      <c r="AM6" s="157"/>
      <c r="AN6" s="157"/>
      <c r="AO6" s="157"/>
      <c r="AP6" s="158"/>
      <c r="AQ6" s="159">
        <v>6</v>
      </c>
      <c r="AR6" s="157"/>
      <c r="AS6" s="157"/>
      <c r="AT6" s="157"/>
      <c r="AU6" s="157"/>
      <c r="AV6" s="157"/>
      <c r="AW6" s="157"/>
      <c r="AX6" s="157"/>
      <c r="AY6" s="157"/>
      <c r="AZ6" s="160"/>
      <c r="BA6" s="117">
        <f t="shared" ref="BA6:BA40" si="5">_xlfn.IFS(COUNTIF(AG6:AP6,"*-*")&gt;0,"-",COUNTBLANK(AG6:AP6)=10,"",BB$3="-","-",TRUE,SUM(AG6:AP6))</f>
        <v>6.5</v>
      </c>
      <c r="BB6" s="100">
        <f t="shared" ref="BB6:BB40" si="6">_xlfn.SWITCH(BA6,"","","-","-",BA6/BB$3)</f>
        <v>0.29545454545454547</v>
      </c>
      <c r="BC6" s="99" t="str">
        <f>IF(BA6="","",VLOOKUP(BB6,Table1[],2,TRUE))</f>
        <v>D-</v>
      </c>
      <c r="BD6" s="101">
        <f t="shared" ref="BD6:BD40" si="7">_xlfn.IFS(COUNTIF(AQ6:AZ6,"*-*")&gt;0,"-",COUNTBLANK(AQ6:AZ6)=10,"",BE$3="-","-",TRUE,SUM(AQ6:AZ6))</f>
        <v>6</v>
      </c>
      <c r="BE6" s="102">
        <f t="shared" ref="BE6:BE40" si="8">_xlfn.SWITCH(BD6,"","","-", "-",BD6/BE$3)</f>
        <v>0.6</v>
      </c>
      <c r="BF6" s="103" t="str">
        <f>IF(BD6="","",VLOOKUP(BE6,Table1[],2,TRUE))</f>
        <v>C+</v>
      </c>
      <c r="BG6" s="104" t="str">
        <f>IF(AND(BB6="",BE6=""),"",IF(OR(BB6="-",BE6="-"),"-",IF(AND(BB$3&lt;&gt;0,BE$3&lt;&gt;0),VLOOKUP(AVERAGE(BB6,BE6),Table1[],2,TRUE),IF(AND(BB$3&lt;&gt;0,BE$3=0),BC6,BF6))))</f>
        <v>D+</v>
      </c>
      <c r="BH6" s="105"/>
      <c r="BI6" s="107" t="str">
        <f t="shared" ref="BI6:BI40" si="9">IF(ISBLANK(BH6),BG6,BH6)</f>
        <v>D+</v>
      </c>
      <c r="BJ6" s="155" t="s">
        <v>18</v>
      </c>
      <c r="BK6" s="156"/>
      <c r="BL6" s="157"/>
      <c r="BM6" s="157"/>
      <c r="BN6" s="157"/>
      <c r="BO6" s="157"/>
      <c r="BP6" s="157"/>
      <c r="BQ6" s="157"/>
      <c r="BR6" s="157"/>
      <c r="BS6" s="157"/>
      <c r="BT6" s="158"/>
      <c r="BU6" s="159">
        <v>11</v>
      </c>
      <c r="BV6" s="157"/>
      <c r="BW6" s="157"/>
      <c r="BX6" s="157"/>
      <c r="BY6" s="157"/>
      <c r="BZ6" s="157"/>
      <c r="CA6" s="157"/>
      <c r="CB6" s="157"/>
      <c r="CC6" s="157"/>
      <c r="CD6" s="160"/>
      <c r="CE6" s="117" t="str">
        <f t="shared" ref="CE6:CE40" si="10">_xlfn.IFS(COUNTIF(BK6:BT6,"*-*")&gt;0,"-",COUNTBLANK(BK6:BT6)=10,"",CF$3="-","-",TRUE,SUM(BK6:BT6))</f>
        <v/>
      </c>
      <c r="CF6" s="100" t="str">
        <f t="shared" ref="CF6:CF40" si="11">_xlfn.SWITCH(CE6,"","","-","-",CE6/CF$3)</f>
        <v/>
      </c>
      <c r="CG6" s="99" t="str">
        <f>IF(CE6="","",VLOOKUP(CF6,Table1[],2,TRUE))</f>
        <v/>
      </c>
      <c r="CH6" s="101">
        <f t="shared" ref="CH6:CH40" si="12">_xlfn.IFS(COUNTIF(BU6:CD6,"*-*")&gt;0,"-",COUNTBLANK(BU6:CD6)=10,"",CI$3="-","-",TRUE,SUM(BU6:CD6))</f>
        <v>11</v>
      </c>
      <c r="CI6" s="102">
        <f t="shared" ref="CI6:CI40" si="13">_xlfn.SWITCH(CH6,"","","-", "-",CH6/CI$3)</f>
        <v>0.36666666666666664</v>
      </c>
      <c r="CJ6" s="103" t="str">
        <f>IF(CH6="","",VLOOKUP(CI6,Table1[],2,TRUE))</f>
        <v>D</v>
      </c>
      <c r="CK6" s="104" t="str">
        <f>IF(AND(CF6="",CI6=""),"",IF(OR(CF6="-",CI6="-"),"-",IF(AND(CF$3&lt;&gt;0,CI$3&lt;&gt;0),VLOOKUP(AVERAGE(CF6,CI6),Table1[],2,TRUE),IF(AND(CF$3&lt;&gt;0,CI$3=0),CG6,CJ6))))</f>
        <v>D</v>
      </c>
      <c r="CL6" s="105"/>
      <c r="CM6" s="107" t="str">
        <f t="shared" ref="CM6:CM40" si="14">IF(ISBLANK(CL6),CK6,CL6)</f>
        <v>D</v>
      </c>
      <c r="CN6" s="155" t="s">
        <v>18</v>
      </c>
      <c r="CO6" s="156">
        <v>12.5</v>
      </c>
      <c r="CP6" s="157"/>
      <c r="CQ6" s="157">
        <v>2</v>
      </c>
      <c r="CR6" s="157"/>
      <c r="CS6" s="157"/>
      <c r="CT6" s="157"/>
      <c r="CU6" s="157"/>
      <c r="CV6" s="157"/>
      <c r="CW6" s="157"/>
      <c r="CX6" s="158"/>
      <c r="CY6" s="159">
        <v>5.5</v>
      </c>
      <c r="CZ6" s="157"/>
      <c r="DA6" s="157"/>
      <c r="DB6" s="157"/>
      <c r="DC6" s="157"/>
      <c r="DD6" s="157"/>
      <c r="DE6" s="157"/>
      <c r="DF6" s="157"/>
      <c r="DG6" s="157"/>
      <c r="DH6" s="160"/>
      <c r="DI6" s="117">
        <f t="shared" ref="DI6:DI40" si="15">_xlfn.IFS(COUNTIF(CO6:CX6,"*-*")&gt;0,"-",COUNTBLANK(CO6:CX6)=10,"",DJ$3="-","-",TRUE,SUM(CO6:CX6))</f>
        <v>14.5</v>
      </c>
      <c r="DJ6" s="100">
        <f t="shared" ref="DJ6:DJ40" si="16">_xlfn.SWITCH(DI6,"","","-","-",DI6/DJ$3)</f>
        <v>0.54716981132075471</v>
      </c>
      <c r="DK6" s="99" t="str">
        <f>IF(DI6="","",VLOOKUP(DJ6,Table1[],2,TRUE))</f>
        <v>C</v>
      </c>
      <c r="DL6" s="101">
        <f t="shared" ref="DL6:DL40" si="17">_xlfn.IFS(COUNTIF(CY6:DH6,"*-*")&gt;0,"-",COUNTBLANK(CY6:DH6)=10,"",DM$3="-","-",TRUE,SUM(CY6:DH6))</f>
        <v>5.5</v>
      </c>
      <c r="DM6" s="102">
        <f t="shared" ref="DM6:DM40" si="18">_xlfn.SWITCH(DL6,"","","-", "-",DL6/DM$3)</f>
        <v>0.7857142857142857</v>
      </c>
      <c r="DN6" s="103" t="str">
        <f>IF(DL6="","",VLOOKUP(DM6,Table1[],2,TRUE))</f>
        <v>B+</v>
      </c>
      <c r="DO6" s="104" t="str">
        <f>IF(AND(DJ6="",DM6=""),"",IF(OR(DJ6="-",DM6="-"),"-",IF(AND(DJ$3&lt;&gt;0,DM$3&lt;&gt;0),VLOOKUP(AVERAGE(DJ6,DM6),Table1[],2,TRUE),IF(AND(DJ$3&lt;&gt;0,DM$3=0),DK6,DN6))))</f>
        <v>B-</v>
      </c>
      <c r="DP6" s="105"/>
      <c r="DQ6" s="107" t="str">
        <f t="shared" ref="DQ6:DQ40" si="19">IF(ISBLANK(DP6),DO6,DP6)</f>
        <v>B-</v>
      </c>
      <c r="DR6" s="155" t="s">
        <v>18</v>
      </c>
      <c r="DS6" s="171" t="s">
        <v>9</v>
      </c>
    </row>
    <row r="7" spans="1:123" s="61" customFormat="1" x14ac:dyDescent="0.25">
      <c r="A7" s="127" t="str">
        <f>IF(ISBLANK(ClassInformation!C12),"ZZZZZ",ClassInformation!C12)</f>
        <v>Bulacan</v>
      </c>
      <c r="B7" s="128" t="str">
        <f>IF(ISBLANK(ClassInformation!D12),"ZZZZZ",ClassInformation!D12)</f>
        <v>Jed</v>
      </c>
      <c r="C7" s="156"/>
      <c r="D7" s="157"/>
      <c r="E7" s="157"/>
      <c r="F7" s="157"/>
      <c r="G7" s="157">
        <v>7</v>
      </c>
      <c r="H7" s="157"/>
      <c r="I7" s="157"/>
      <c r="J7" s="157"/>
      <c r="K7" s="157"/>
      <c r="L7" s="158"/>
      <c r="M7" s="159"/>
      <c r="N7" s="157"/>
      <c r="O7" s="157"/>
      <c r="P7" s="157"/>
      <c r="Q7" s="157"/>
      <c r="R7" s="157"/>
      <c r="S7" s="157"/>
      <c r="T7" s="157"/>
      <c r="U7" s="157"/>
      <c r="V7" s="160"/>
      <c r="W7" s="117">
        <f t="shared" si="0"/>
        <v>7</v>
      </c>
      <c r="X7" s="100">
        <f t="shared" si="1"/>
        <v>0.17499999999999999</v>
      </c>
      <c r="Y7" s="99" t="str">
        <f>IF(W7="","",VLOOKUP(X7,Table1[],2,TRUE))</f>
        <v>E+</v>
      </c>
      <c r="Z7" s="101" t="str">
        <f t="shared" si="2"/>
        <v/>
      </c>
      <c r="AA7" s="102" t="str">
        <f t="shared" si="3"/>
        <v/>
      </c>
      <c r="AB7" s="103" t="str">
        <f>IF(Z7="","",VLOOKUP(AA7,Table1[],2,TRUE))</f>
        <v/>
      </c>
      <c r="AC7" s="104" t="str">
        <f>IF(AND(X7="",AA7=""),"",IF(OR(X7="-",AA7="-"),"-",IF(AND(X$3&lt;&gt;0,AA$3&lt;&gt;0),VLOOKUP(AVERAGE(X7,AA7),Table1[],2,TRUE),IF(AND(X$3&lt;&gt;0,AA$3=0),Y7,AB7))))</f>
        <v>E+</v>
      </c>
      <c r="AD7" s="105"/>
      <c r="AE7" s="107" t="str">
        <f t="shared" si="4"/>
        <v>E+</v>
      </c>
      <c r="AF7" s="155" t="s">
        <v>18</v>
      </c>
      <c r="AG7" s="156"/>
      <c r="AH7" s="157"/>
      <c r="AI7" s="157"/>
      <c r="AJ7" s="157"/>
      <c r="AK7" s="157"/>
      <c r="AL7" s="157"/>
      <c r="AM7" s="157"/>
      <c r="AN7" s="157"/>
      <c r="AO7" s="157"/>
      <c r="AP7" s="158"/>
      <c r="AQ7" s="159"/>
      <c r="AR7" s="157"/>
      <c r="AS7" s="157"/>
      <c r="AT7" s="157"/>
      <c r="AU7" s="157"/>
      <c r="AV7" s="157"/>
      <c r="AW7" s="157"/>
      <c r="AX7" s="157"/>
      <c r="AY7" s="157"/>
      <c r="AZ7" s="160"/>
      <c r="BA7" s="117" t="str">
        <f t="shared" si="5"/>
        <v/>
      </c>
      <c r="BB7" s="100" t="str">
        <f t="shared" si="6"/>
        <v/>
      </c>
      <c r="BC7" s="99" t="str">
        <f>IF(BA7="","",VLOOKUP(BB7,Table1[],2,TRUE))</f>
        <v/>
      </c>
      <c r="BD7" s="101" t="str">
        <f t="shared" si="7"/>
        <v/>
      </c>
      <c r="BE7" s="102" t="str">
        <f t="shared" si="8"/>
        <v/>
      </c>
      <c r="BF7" s="103" t="str">
        <f>IF(BD7="","",VLOOKUP(BE7,Table1[],2,TRUE))</f>
        <v/>
      </c>
      <c r="BG7" s="104" t="str">
        <f>IF(AND(BB7="",BE7=""),"",IF(OR(BB7="-",BE7="-"),"-",IF(AND(BB$3&lt;&gt;0,BE$3&lt;&gt;0),VLOOKUP(AVERAGE(BB7,BE7),Table1[],2,TRUE),IF(AND(BB$3&lt;&gt;0,BE$3=0),BC7,BF7))))</f>
        <v/>
      </c>
      <c r="BH7" s="105"/>
      <c r="BI7" s="107" t="str">
        <f t="shared" si="9"/>
        <v/>
      </c>
      <c r="BJ7" s="155" t="s">
        <v>18</v>
      </c>
      <c r="BK7" s="156"/>
      <c r="BL7" s="157"/>
      <c r="BM7" s="157"/>
      <c r="BN7" s="157"/>
      <c r="BO7" s="157"/>
      <c r="BP7" s="157"/>
      <c r="BQ7" s="157"/>
      <c r="BR7" s="157"/>
      <c r="BS7" s="157"/>
      <c r="BT7" s="158"/>
      <c r="BU7" s="159" t="s">
        <v>18</v>
      </c>
      <c r="BV7" s="157"/>
      <c r="BW7" s="157"/>
      <c r="BX7" s="157"/>
      <c r="BY7" s="157"/>
      <c r="BZ7" s="157"/>
      <c r="CA7" s="157"/>
      <c r="CB7" s="157"/>
      <c r="CC7" s="157"/>
      <c r="CD7" s="160"/>
      <c r="CE7" s="117" t="str">
        <f t="shared" si="10"/>
        <v/>
      </c>
      <c r="CF7" s="100" t="str">
        <f t="shared" si="11"/>
        <v/>
      </c>
      <c r="CG7" s="99" t="str">
        <f>IF(CE7="","",VLOOKUP(CF7,Table1[],2,TRUE))</f>
        <v/>
      </c>
      <c r="CH7" s="101" t="str">
        <f t="shared" si="12"/>
        <v>-</v>
      </c>
      <c r="CI7" s="102" t="str">
        <f t="shared" si="13"/>
        <v>-</v>
      </c>
      <c r="CJ7" s="103" t="str">
        <f>IF(CH7="","",VLOOKUP(CI7,Table1[],2,TRUE))</f>
        <v>-</v>
      </c>
      <c r="CK7" s="104" t="str">
        <f>IF(AND(CF7="",CI7=""),"",IF(OR(CF7="-",CI7="-"),"-",IF(AND(CF$3&lt;&gt;0,CI$3&lt;&gt;0),VLOOKUP(AVERAGE(CF7,CI7),Table1[],2,TRUE),IF(AND(CF$3&lt;&gt;0,CI$3=0),CG7,CJ7))))</f>
        <v>-</v>
      </c>
      <c r="CL7" s="105"/>
      <c r="CM7" s="107" t="str">
        <f t="shared" si="14"/>
        <v>-</v>
      </c>
      <c r="CN7" s="155" t="s">
        <v>18</v>
      </c>
      <c r="CO7" s="156">
        <v>9.5</v>
      </c>
      <c r="CP7" s="157"/>
      <c r="CQ7" s="157">
        <v>0.5</v>
      </c>
      <c r="CR7" s="157"/>
      <c r="CS7" s="157"/>
      <c r="CT7" s="157"/>
      <c r="CU7" s="157"/>
      <c r="CV7" s="157"/>
      <c r="CW7" s="157"/>
      <c r="CX7" s="158"/>
      <c r="CY7" s="159">
        <v>3.5</v>
      </c>
      <c r="CZ7" s="157"/>
      <c r="DA7" s="157"/>
      <c r="DB7" s="157"/>
      <c r="DC7" s="157"/>
      <c r="DD7" s="157"/>
      <c r="DE7" s="157"/>
      <c r="DF7" s="157"/>
      <c r="DG7" s="157"/>
      <c r="DH7" s="160"/>
      <c r="DI7" s="117">
        <f t="shared" si="15"/>
        <v>10</v>
      </c>
      <c r="DJ7" s="100">
        <f t="shared" si="16"/>
        <v>0.37735849056603776</v>
      </c>
      <c r="DK7" s="99" t="str">
        <f>IF(DI7="","",VLOOKUP(DJ7,Table1[],2,TRUE))</f>
        <v>D</v>
      </c>
      <c r="DL7" s="101">
        <f t="shared" si="17"/>
        <v>3.5</v>
      </c>
      <c r="DM7" s="102">
        <f t="shared" si="18"/>
        <v>0.5</v>
      </c>
      <c r="DN7" s="103" t="str">
        <f>IF(DL7="","",VLOOKUP(DM7,Table1[],2,TRUE))</f>
        <v>C-</v>
      </c>
      <c r="DO7" s="104" t="str">
        <f>IF(AND(DJ7="",DM7=""),"",IF(OR(DJ7="-",DM7="-"),"-",IF(AND(DJ$3&lt;&gt;0,DM$3&lt;&gt;0),VLOOKUP(AVERAGE(DJ7,DM7),Table1[],2,TRUE),IF(AND(DJ$3&lt;&gt;0,DM$3=0),DK7,DN7))))</f>
        <v>D+</v>
      </c>
      <c r="DP7" s="105"/>
      <c r="DQ7" s="107" t="str">
        <f t="shared" si="19"/>
        <v>D+</v>
      </c>
      <c r="DR7" s="155" t="s">
        <v>18</v>
      </c>
      <c r="DS7" s="171" t="s">
        <v>18</v>
      </c>
    </row>
    <row r="8" spans="1:123" s="61" customFormat="1" x14ac:dyDescent="0.25">
      <c r="A8" s="127" t="str">
        <f>IF(ISBLANK(ClassInformation!C13),"ZZZZZ",ClassInformation!C13)</f>
        <v>Chapman</v>
      </c>
      <c r="B8" s="128" t="str">
        <f>IF(ISBLANK(ClassInformation!D13),"ZZZZZ",ClassInformation!D13)</f>
        <v>Michelle</v>
      </c>
      <c r="C8" s="156">
        <v>5</v>
      </c>
      <c r="D8" s="157"/>
      <c r="E8" s="157">
        <v>10</v>
      </c>
      <c r="F8" s="157"/>
      <c r="G8" s="157">
        <v>7</v>
      </c>
      <c r="H8" s="157"/>
      <c r="I8" s="157"/>
      <c r="J8" s="157"/>
      <c r="K8" s="157"/>
      <c r="L8" s="158"/>
      <c r="M8" s="159"/>
      <c r="N8" s="157"/>
      <c r="O8" s="157"/>
      <c r="P8" s="157"/>
      <c r="Q8" s="157"/>
      <c r="R8" s="157"/>
      <c r="S8" s="157"/>
      <c r="T8" s="157"/>
      <c r="U8" s="157"/>
      <c r="V8" s="160"/>
      <c r="W8" s="117">
        <f t="shared" si="0"/>
        <v>22</v>
      </c>
      <c r="X8" s="100">
        <f t="shared" si="1"/>
        <v>0.55000000000000004</v>
      </c>
      <c r="Y8" s="99" t="str">
        <f>IF(W8="","",VLOOKUP(X8,Table1[],2,TRUE))</f>
        <v>C</v>
      </c>
      <c r="Z8" s="101" t="str">
        <f t="shared" si="2"/>
        <v/>
      </c>
      <c r="AA8" s="102" t="str">
        <f t="shared" si="3"/>
        <v/>
      </c>
      <c r="AB8" s="103" t="str">
        <f>IF(Z8="","",VLOOKUP(AA8,Table1[],2,TRUE))</f>
        <v/>
      </c>
      <c r="AC8" s="104" t="str">
        <f>IF(AND(X8="",AA8=""),"",IF(OR(X8="-",AA8="-"),"-",IF(AND(X$3&lt;&gt;0,AA$3&lt;&gt;0),VLOOKUP(AVERAGE(X8,AA8),Table1[],2,TRUE),IF(AND(X$3&lt;&gt;0,AA$3=0),Y8,AB8))))</f>
        <v>C</v>
      </c>
      <c r="AD8" s="105"/>
      <c r="AE8" s="107" t="str">
        <f t="shared" si="4"/>
        <v>C</v>
      </c>
      <c r="AF8" s="155" t="s">
        <v>18</v>
      </c>
      <c r="AG8" s="156">
        <v>7.5</v>
      </c>
      <c r="AH8" s="157"/>
      <c r="AI8" s="157">
        <v>0</v>
      </c>
      <c r="AJ8" s="157"/>
      <c r="AK8" s="157"/>
      <c r="AL8" s="157"/>
      <c r="AM8" s="157"/>
      <c r="AN8" s="157"/>
      <c r="AO8" s="157"/>
      <c r="AP8" s="158"/>
      <c r="AQ8" s="159">
        <v>1.5</v>
      </c>
      <c r="AR8" s="157"/>
      <c r="AS8" s="157"/>
      <c r="AT8" s="157"/>
      <c r="AU8" s="157"/>
      <c r="AV8" s="157"/>
      <c r="AW8" s="157"/>
      <c r="AX8" s="157"/>
      <c r="AY8" s="157"/>
      <c r="AZ8" s="160"/>
      <c r="BA8" s="117">
        <f t="shared" si="5"/>
        <v>7.5</v>
      </c>
      <c r="BB8" s="100">
        <f t="shared" si="6"/>
        <v>0.34090909090909088</v>
      </c>
      <c r="BC8" s="99" t="str">
        <f>IF(BA8="","",VLOOKUP(BB8,Table1[],2,TRUE))</f>
        <v>D</v>
      </c>
      <c r="BD8" s="101">
        <f t="shared" si="7"/>
        <v>1.5</v>
      </c>
      <c r="BE8" s="102">
        <f t="shared" si="8"/>
        <v>0.15</v>
      </c>
      <c r="BF8" s="103" t="str">
        <f>IF(BD8="","",VLOOKUP(BE8,Table1[],2,TRUE))</f>
        <v>E</v>
      </c>
      <c r="BG8" s="104" t="str">
        <f>IF(AND(BB8="",BE8=""),"",IF(OR(BB8="-",BE8="-"),"-",IF(AND(BB$3&lt;&gt;0,BE$3&lt;&gt;0),VLOOKUP(AVERAGE(BB8,BE8),Table1[],2,TRUE),IF(AND(BB$3&lt;&gt;0,BE$3=0),BC8,BF8))))</f>
        <v>E+</v>
      </c>
      <c r="BH8" s="105"/>
      <c r="BI8" s="107" t="str">
        <f t="shared" si="9"/>
        <v>E+</v>
      </c>
      <c r="BJ8" s="155" t="s">
        <v>18</v>
      </c>
      <c r="BK8" s="156"/>
      <c r="BL8" s="157"/>
      <c r="BM8" s="157"/>
      <c r="BN8" s="157"/>
      <c r="BO8" s="157"/>
      <c r="BP8" s="157"/>
      <c r="BQ8" s="157"/>
      <c r="BR8" s="157"/>
      <c r="BS8" s="157"/>
      <c r="BT8" s="158"/>
      <c r="BU8" s="159">
        <v>20</v>
      </c>
      <c r="BV8" s="157"/>
      <c r="BW8" s="157"/>
      <c r="BX8" s="157"/>
      <c r="BY8" s="157"/>
      <c r="BZ8" s="157"/>
      <c r="CA8" s="157"/>
      <c r="CB8" s="157"/>
      <c r="CC8" s="157"/>
      <c r="CD8" s="160"/>
      <c r="CE8" s="117" t="str">
        <f t="shared" si="10"/>
        <v/>
      </c>
      <c r="CF8" s="100" t="str">
        <f t="shared" si="11"/>
        <v/>
      </c>
      <c r="CG8" s="99" t="str">
        <f>IF(CE8="","",VLOOKUP(CF8,Table1[],2,TRUE))</f>
        <v/>
      </c>
      <c r="CH8" s="101">
        <f t="shared" si="12"/>
        <v>20</v>
      </c>
      <c r="CI8" s="102">
        <f t="shared" si="13"/>
        <v>0.66666666666666663</v>
      </c>
      <c r="CJ8" s="103" t="str">
        <f>IF(CH8="","",VLOOKUP(CI8,Table1[],2,TRUE))</f>
        <v>B-</v>
      </c>
      <c r="CK8" s="104" t="str">
        <f>IF(AND(CF8="",CI8=""),"",IF(OR(CF8="-",CI8="-"),"-",IF(AND(CF$3&lt;&gt;0,CI$3&lt;&gt;0),VLOOKUP(AVERAGE(CF8,CI8),Table1[],2,TRUE),IF(AND(CF$3&lt;&gt;0,CI$3=0),CG8,CJ8))))</f>
        <v>B-</v>
      </c>
      <c r="CL8" s="105"/>
      <c r="CM8" s="107" t="str">
        <f t="shared" si="14"/>
        <v>B-</v>
      </c>
      <c r="CN8" s="155" t="s">
        <v>18</v>
      </c>
      <c r="CO8" s="156">
        <v>13.5</v>
      </c>
      <c r="CP8" s="157"/>
      <c r="CQ8" s="157">
        <v>1</v>
      </c>
      <c r="CR8" s="157"/>
      <c r="CS8" s="157"/>
      <c r="CT8" s="157"/>
      <c r="CU8" s="157"/>
      <c r="CV8" s="157"/>
      <c r="CW8" s="157"/>
      <c r="CX8" s="158"/>
      <c r="CY8" s="159">
        <v>4</v>
      </c>
      <c r="CZ8" s="157"/>
      <c r="DA8" s="157"/>
      <c r="DB8" s="157"/>
      <c r="DC8" s="157"/>
      <c r="DD8" s="157"/>
      <c r="DE8" s="157"/>
      <c r="DF8" s="157"/>
      <c r="DG8" s="157"/>
      <c r="DH8" s="160"/>
      <c r="DI8" s="117">
        <f t="shared" si="15"/>
        <v>14.5</v>
      </c>
      <c r="DJ8" s="100">
        <f t="shared" si="16"/>
        <v>0.54716981132075471</v>
      </c>
      <c r="DK8" s="99" t="str">
        <f>IF(DI8="","",VLOOKUP(DJ8,Table1[],2,TRUE))</f>
        <v>C</v>
      </c>
      <c r="DL8" s="101">
        <f t="shared" si="17"/>
        <v>4</v>
      </c>
      <c r="DM8" s="102">
        <f t="shared" si="18"/>
        <v>0.5714285714285714</v>
      </c>
      <c r="DN8" s="103" t="str">
        <f>IF(DL8="","",VLOOKUP(DM8,Table1[],2,TRUE))</f>
        <v>C</v>
      </c>
      <c r="DO8" s="104" t="str">
        <f>IF(AND(DJ8="",DM8=""),"",IF(OR(DJ8="-",DM8="-"),"-",IF(AND(DJ$3&lt;&gt;0,DM$3&lt;&gt;0),VLOOKUP(AVERAGE(DJ8,DM8),Table1[],2,TRUE),IF(AND(DJ$3&lt;&gt;0,DM$3=0),DK8,DN8))))</f>
        <v>C</v>
      </c>
      <c r="DP8" s="105"/>
      <c r="DQ8" s="107" t="str">
        <f t="shared" si="19"/>
        <v>C</v>
      </c>
      <c r="DR8" s="155" t="s">
        <v>18</v>
      </c>
      <c r="DS8" s="171" t="s">
        <v>9</v>
      </c>
    </row>
    <row r="9" spans="1:123" s="61" customFormat="1" x14ac:dyDescent="0.25">
      <c r="A9" s="127" t="str">
        <f>IF(ISBLANK(ClassInformation!C14),"ZZZZZ",ClassInformation!C14)</f>
        <v>Comber</v>
      </c>
      <c r="B9" s="128" t="str">
        <f>IF(ISBLANK(ClassInformation!D14),"ZZZZZ",ClassInformation!D14)</f>
        <v>Gabi</v>
      </c>
      <c r="C9" s="156">
        <v>5.5</v>
      </c>
      <c r="D9" s="157"/>
      <c r="E9" s="157">
        <v>10</v>
      </c>
      <c r="F9" s="157"/>
      <c r="G9" s="157">
        <v>9</v>
      </c>
      <c r="H9" s="157"/>
      <c r="I9" s="157"/>
      <c r="J9" s="157"/>
      <c r="K9" s="157"/>
      <c r="L9" s="158"/>
      <c r="M9" s="159"/>
      <c r="N9" s="157"/>
      <c r="O9" s="157"/>
      <c r="P9" s="157"/>
      <c r="Q9" s="157"/>
      <c r="R9" s="157"/>
      <c r="S9" s="157"/>
      <c r="T9" s="157"/>
      <c r="U9" s="157"/>
      <c r="V9" s="160"/>
      <c r="W9" s="117">
        <f t="shared" si="0"/>
        <v>24.5</v>
      </c>
      <c r="X9" s="100">
        <f t="shared" si="1"/>
        <v>0.61250000000000004</v>
      </c>
      <c r="Y9" s="99" t="str">
        <f>IF(W9="","",VLOOKUP(X9,Table1[],2,TRUE))</f>
        <v>C+</v>
      </c>
      <c r="Z9" s="101" t="str">
        <f t="shared" si="2"/>
        <v/>
      </c>
      <c r="AA9" s="102" t="str">
        <f t="shared" si="3"/>
        <v/>
      </c>
      <c r="AB9" s="103" t="str">
        <f>IF(Z9="","",VLOOKUP(AA9,Table1[],2,TRUE))</f>
        <v/>
      </c>
      <c r="AC9" s="104" t="str">
        <f>IF(AND(X9="",AA9=""),"",IF(OR(X9="-",AA9="-"),"-",IF(AND(X$3&lt;&gt;0,AA$3&lt;&gt;0),VLOOKUP(AVERAGE(X9,AA9),Table1[],2,TRUE),IF(AND(X$3&lt;&gt;0,AA$3=0),Y9,AB9))))</f>
        <v>C+</v>
      </c>
      <c r="AD9" s="105"/>
      <c r="AE9" s="107" t="str">
        <f t="shared" si="4"/>
        <v>C+</v>
      </c>
      <c r="AF9" s="155" t="s">
        <v>18</v>
      </c>
      <c r="AG9" s="156">
        <v>8</v>
      </c>
      <c r="AH9" s="157"/>
      <c r="AI9" s="157">
        <v>1</v>
      </c>
      <c r="AJ9" s="157"/>
      <c r="AK9" s="157"/>
      <c r="AL9" s="157"/>
      <c r="AM9" s="157"/>
      <c r="AN9" s="157"/>
      <c r="AO9" s="157"/>
      <c r="AP9" s="158"/>
      <c r="AQ9" s="159">
        <v>1</v>
      </c>
      <c r="AR9" s="157"/>
      <c r="AS9" s="157"/>
      <c r="AT9" s="157"/>
      <c r="AU9" s="157"/>
      <c r="AV9" s="157"/>
      <c r="AW9" s="157"/>
      <c r="AX9" s="157"/>
      <c r="AY9" s="157"/>
      <c r="AZ9" s="160"/>
      <c r="BA9" s="117">
        <f t="shared" si="5"/>
        <v>9</v>
      </c>
      <c r="BB9" s="100">
        <f t="shared" si="6"/>
        <v>0.40909090909090912</v>
      </c>
      <c r="BC9" s="99" t="str">
        <f>IF(BA9="","",VLOOKUP(BB9,Table1[],2,TRUE))</f>
        <v>D+</v>
      </c>
      <c r="BD9" s="101">
        <f t="shared" si="7"/>
        <v>1</v>
      </c>
      <c r="BE9" s="102">
        <f t="shared" si="8"/>
        <v>0.1</v>
      </c>
      <c r="BF9" s="103" t="str">
        <f>IF(BD9="","",VLOOKUP(BE9,Table1[],2,TRUE))</f>
        <v>E</v>
      </c>
      <c r="BG9" s="104" t="str">
        <f>IF(AND(BB9="",BE9=""),"",IF(OR(BB9="-",BE9="-"),"-",IF(AND(BB$3&lt;&gt;0,BE$3&lt;&gt;0),VLOOKUP(AVERAGE(BB9,BE9),Table1[],2,TRUE),IF(AND(BB$3&lt;&gt;0,BE$3=0),BC9,BF9))))</f>
        <v>D-</v>
      </c>
      <c r="BH9" s="105"/>
      <c r="BI9" s="107" t="str">
        <f t="shared" si="9"/>
        <v>D-</v>
      </c>
      <c r="BJ9" s="155" t="s">
        <v>18</v>
      </c>
      <c r="BK9" s="156"/>
      <c r="BL9" s="157"/>
      <c r="BM9" s="157"/>
      <c r="BN9" s="157"/>
      <c r="BO9" s="157"/>
      <c r="BP9" s="157"/>
      <c r="BQ9" s="157"/>
      <c r="BR9" s="157"/>
      <c r="BS9" s="157"/>
      <c r="BT9" s="158"/>
      <c r="BU9" s="159">
        <v>13.5</v>
      </c>
      <c r="BV9" s="157"/>
      <c r="BW9" s="157"/>
      <c r="BX9" s="157"/>
      <c r="BY9" s="157"/>
      <c r="BZ9" s="157"/>
      <c r="CA9" s="157"/>
      <c r="CB9" s="157"/>
      <c r="CC9" s="157"/>
      <c r="CD9" s="160"/>
      <c r="CE9" s="117" t="str">
        <f t="shared" si="10"/>
        <v/>
      </c>
      <c r="CF9" s="100" t="str">
        <f t="shared" si="11"/>
        <v/>
      </c>
      <c r="CG9" s="99" t="str">
        <f>IF(CE9="","",VLOOKUP(CF9,Table1[],2,TRUE))</f>
        <v/>
      </c>
      <c r="CH9" s="101">
        <f t="shared" si="12"/>
        <v>13.5</v>
      </c>
      <c r="CI9" s="102">
        <f t="shared" si="13"/>
        <v>0.45</v>
      </c>
      <c r="CJ9" s="103" t="str">
        <f>IF(CH9="","",VLOOKUP(CI9,Table1[],2,TRUE))</f>
        <v>C-</v>
      </c>
      <c r="CK9" s="104" t="str">
        <f>IF(AND(CF9="",CI9=""),"",IF(OR(CF9="-",CI9="-"),"-",IF(AND(CF$3&lt;&gt;0,CI$3&lt;&gt;0),VLOOKUP(AVERAGE(CF9,CI9),Table1[],2,TRUE),IF(AND(CF$3&lt;&gt;0,CI$3=0),CG9,CJ9))))</f>
        <v>C-</v>
      </c>
      <c r="CL9" s="105"/>
      <c r="CM9" s="107" t="str">
        <f t="shared" si="14"/>
        <v>C-</v>
      </c>
      <c r="CN9" s="155" t="s">
        <v>18</v>
      </c>
      <c r="CO9" s="156">
        <v>10.5</v>
      </c>
      <c r="CP9" s="157"/>
      <c r="CQ9" s="157">
        <v>3</v>
      </c>
      <c r="CR9" s="157"/>
      <c r="CS9" s="157"/>
      <c r="CT9" s="157"/>
      <c r="CU9" s="157"/>
      <c r="CV9" s="157"/>
      <c r="CW9" s="157"/>
      <c r="CX9" s="158"/>
      <c r="CY9" s="159">
        <v>3.5</v>
      </c>
      <c r="CZ9" s="157"/>
      <c r="DA9" s="157"/>
      <c r="DB9" s="157"/>
      <c r="DC9" s="157"/>
      <c r="DD9" s="157"/>
      <c r="DE9" s="157"/>
      <c r="DF9" s="157"/>
      <c r="DG9" s="157"/>
      <c r="DH9" s="160"/>
      <c r="DI9" s="117">
        <f t="shared" si="15"/>
        <v>13.5</v>
      </c>
      <c r="DJ9" s="100">
        <f t="shared" si="16"/>
        <v>0.50943396226415094</v>
      </c>
      <c r="DK9" s="99" t="str">
        <f>IF(DI9="","",VLOOKUP(DJ9,Table1[],2,TRUE))</f>
        <v>C-</v>
      </c>
      <c r="DL9" s="101">
        <f t="shared" si="17"/>
        <v>3.5</v>
      </c>
      <c r="DM9" s="102">
        <f t="shared" si="18"/>
        <v>0.5</v>
      </c>
      <c r="DN9" s="103" t="str">
        <f>IF(DL9="","",VLOOKUP(DM9,Table1[],2,TRUE))</f>
        <v>C-</v>
      </c>
      <c r="DO9" s="104" t="str">
        <f>IF(AND(DJ9="",DM9=""),"",IF(OR(DJ9="-",DM9="-"),"-",IF(AND(DJ$3&lt;&gt;0,DM$3&lt;&gt;0),VLOOKUP(AVERAGE(DJ9,DM9),Table1[],2,TRUE),IF(AND(DJ$3&lt;&gt;0,DM$3=0),DK9,DN9))))</f>
        <v>C-</v>
      </c>
      <c r="DP9" s="105"/>
      <c r="DQ9" s="107" t="str">
        <f t="shared" si="19"/>
        <v>C-</v>
      </c>
      <c r="DR9" s="155" t="s">
        <v>18</v>
      </c>
      <c r="DS9" s="171" t="s">
        <v>8</v>
      </c>
    </row>
    <row r="10" spans="1:123" s="61" customFormat="1" x14ac:dyDescent="0.25">
      <c r="A10" s="127" t="str">
        <f>IF(ISBLANK(ClassInformation!C15),"ZZZZZ",ClassInformation!C15)</f>
        <v>Cook</v>
      </c>
      <c r="B10" s="128" t="str">
        <f>IF(ISBLANK(ClassInformation!D15),"ZZZZZ",ClassInformation!D15)</f>
        <v>Kaylee</v>
      </c>
      <c r="C10" s="156">
        <v>4.5</v>
      </c>
      <c r="D10" s="157"/>
      <c r="E10" s="157">
        <v>9</v>
      </c>
      <c r="F10" s="157"/>
      <c r="G10" s="157">
        <v>5</v>
      </c>
      <c r="H10" s="157"/>
      <c r="I10" s="157"/>
      <c r="J10" s="157"/>
      <c r="K10" s="157"/>
      <c r="L10" s="158"/>
      <c r="M10" s="159"/>
      <c r="N10" s="157"/>
      <c r="O10" s="157"/>
      <c r="P10" s="157"/>
      <c r="Q10" s="157"/>
      <c r="R10" s="157"/>
      <c r="S10" s="157"/>
      <c r="T10" s="157"/>
      <c r="U10" s="157"/>
      <c r="V10" s="160"/>
      <c r="W10" s="117">
        <f t="shared" si="0"/>
        <v>18.5</v>
      </c>
      <c r="X10" s="100">
        <f t="shared" si="1"/>
        <v>0.46250000000000002</v>
      </c>
      <c r="Y10" s="99" t="str">
        <f>IF(W10="","",VLOOKUP(X10,Table1[],2,TRUE))</f>
        <v>C-</v>
      </c>
      <c r="Z10" s="101" t="str">
        <f t="shared" si="2"/>
        <v/>
      </c>
      <c r="AA10" s="102" t="str">
        <f t="shared" si="3"/>
        <v/>
      </c>
      <c r="AB10" s="103" t="str">
        <f>IF(Z10="","",VLOOKUP(AA10,Table1[],2,TRUE))</f>
        <v/>
      </c>
      <c r="AC10" s="104" t="str">
        <f>IF(AND(X10="",AA10=""),"",IF(OR(X10="-",AA10="-"),"-",IF(AND(X$3&lt;&gt;0,AA$3&lt;&gt;0),VLOOKUP(AVERAGE(X10,AA10),Table1[],2,TRUE),IF(AND(X$3&lt;&gt;0,AA$3=0),Y10,AB10))))</f>
        <v>C-</v>
      </c>
      <c r="AD10" s="105"/>
      <c r="AE10" s="107" t="str">
        <f t="shared" si="4"/>
        <v>C-</v>
      </c>
      <c r="AF10" s="155" t="s">
        <v>18</v>
      </c>
      <c r="AG10" s="156">
        <v>11</v>
      </c>
      <c r="AH10" s="157"/>
      <c r="AI10" s="157">
        <v>1</v>
      </c>
      <c r="AJ10" s="157"/>
      <c r="AK10" s="157"/>
      <c r="AL10" s="157"/>
      <c r="AM10" s="157"/>
      <c r="AN10" s="157"/>
      <c r="AO10" s="157"/>
      <c r="AP10" s="158"/>
      <c r="AQ10" s="159">
        <v>8.5</v>
      </c>
      <c r="AR10" s="157"/>
      <c r="AS10" s="157"/>
      <c r="AT10" s="157"/>
      <c r="AU10" s="157"/>
      <c r="AV10" s="157"/>
      <c r="AW10" s="157"/>
      <c r="AX10" s="157"/>
      <c r="AY10" s="157"/>
      <c r="AZ10" s="160"/>
      <c r="BA10" s="117">
        <f t="shared" si="5"/>
        <v>12</v>
      </c>
      <c r="BB10" s="100">
        <f t="shared" si="6"/>
        <v>0.54545454545454541</v>
      </c>
      <c r="BC10" s="99" t="str">
        <f>IF(BA10="","",VLOOKUP(BB10,Table1[],2,TRUE))</f>
        <v>C</v>
      </c>
      <c r="BD10" s="101">
        <f t="shared" si="7"/>
        <v>8.5</v>
      </c>
      <c r="BE10" s="102">
        <f t="shared" si="8"/>
        <v>0.85</v>
      </c>
      <c r="BF10" s="103" t="str">
        <f>IF(BD10="","",VLOOKUP(BE10,Table1[],2,TRUE))</f>
        <v>A-</v>
      </c>
      <c r="BG10" s="104" t="str">
        <f>IF(AND(BB10="",BE10=""),"",IF(OR(BB10="-",BE10="-"),"-",IF(AND(BB$3&lt;&gt;0,BE$3&lt;&gt;0),VLOOKUP(AVERAGE(BB10,BE10),Table1[],2,TRUE),IF(AND(BB$3&lt;&gt;0,BE$3=0),BC10,BF10))))</f>
        <v>B-</v>
      </c>
      <c r="BH10" s="105"/>
      <c r="BI10" s="107" t="str">
        <f t="shared" si="9"/>
        <v>B-</v>
      </c>
      <c r="BJ10" s="155" t="s">
        <v>18</v>
      </c>
      <c r="BK10" s="156"/>
      <c r="BL10" s="157"/>
      <c r="BM10" s="157"/>
      <c r="BN10" s="157"/>
      <c r="BO10" s="157"/>
      <c r="BP10" s="157"/>
      <c r="BQ10" s="157"/>
      <c r="BR10" s="157"/>
      <c r="BS10" s="157"/>
      <c r="BT10" s="158"/>
      <c r="BU10" s="159">
        <v>17</v>
      </c>
      <c r="BV10" s="157"/>
      <c r="BW10" s="157"/>
      <c r="BX10" s="157"/>
      <c r="BY10" s="157"/>
      <c r="BZ10" s="157"/>
      <c r="CA10" s="157"/>
      <c r="CB10" s="157"/>
      <c r="CC10" s="157"/>
      <c r="CD10" s="160"/>
      <c r="CE10" s="117" t="str">
        <f t="shared" si="10"/>
        <v/>
      </c>
      <c r="CF10" s="100" t="str">
        <f t="shared" si="11"/>
        <v/>
      </c>
      <c r="CG10" s="99" t="str">
        <f>IF(CE10="","",VLOOKUP(CF10,Table1[],2,TRUE))</f>
        <v/>
      </c>
      <c r="CH10" s="101">
        <f t="shared" si="12"/>
        <v>17</v>
      </c>
      <c r="CI10" s="102">
        <f t="shared" si="13"/>
        <v>0.56666666666666665</v>
      </c>
      <c r="CJ10" s="103" t="str">
        <f>IF(CH10="","",VLOOKUP(CI10,Table1[],2,TRUE))</f>
        <v>C</v>
      </c>
      <c r="CK10" s="104" t="str">
        <f>IF(AND(CF10="",CI10=""),"",IF(OR(CF10="-",CI10="-"),"-",IF(AND(CF$3&lt;&gt;0,CI$3&lt;&gt;0),VLOOKUP(AVERAGE(CF10,CI10),Table1[],2,TRUE),IF(AND(CF$3&lt;&gt;0,CI$3=0),CG10,CJ10))))</f>
        <v>C</v>
      </c>
      <c r="CL10" s="105"/>
      <c r="CM10" s="107" t="str">
        <f t="shared" si="14"/>
        <v>C</v>
      </c>
      <c r="CN10" s="155" t="s">
        <v>18</v>
      </c>
      <c r="CO10" s="156">
        <v>15</v>
      </c>
      <c r="CP10" s="157"/>
      <c r="CQ10" s="157">
        <v>3</v>
      </c>
      <c r="CR10" s="157"/>
      <c r="CS10" s="157"/>
      <c r="CT10" s="157"/>
      <c r="CU10" s="157"/>
      <c r="CV10" s="157"/>
      <c r="CW10" s="157"/>
      <c r="CX10" s="158"/>
      <c r="CY10" s="159">
        <v>2.5</v>
      </c>
      <c r="CZ10" s="157"/>
      <c r="DA10" s="157"/>
      <c r="DB10" s="157"/>
      <c r="DC10" s="157"/>
      <c r="DD10" s="157"/>
      <c r="DE10" s="157"/>
      <c r="DF10" s="157"/>
      <c r="DG10" s="157"/>
      <c r="DH10" s="160"/>
      <c r="DI10" s="117">
        <f t="shared" si="15"/>
        <v>18</v>
      </c>
      <c r="DJ10" s="100">
        <f t="shared" si="16"/>
        <v>0.67924528301886788</v>
      </c>
      <c r="DK10" s="99" t="str">
        <f>IF(DI10="","",VLOOKUP(DJ10,Table1[],2,TRUE))</f>
        <v>B-</v>
      </c>
      <c r="DL10" s="101">
        <f t="shared" si="17"/>
        <v>2.5</v>
      </c>
      <c r="DM10" s="102">
        <f t="shared" si="18"/>
        <v>0.35714285714285715</v>
      </c>
      <c r="DN10" s="103" t="str">
        <f>IF(DL10="","",VLOOKUP(DM10,Table1[],2,TRUE))</f>
        <v>D</v>
      </c>
      <c r="DO10" s="104" t="str">
        <f>IF(AND(DJ10="",DM10=""),"",IF(OR(DJ10="-",DM10="-"),"-",IF(AND(DJ$3&lt;&gt;0,DM$3&lt;&gt;0),VLOOKUP(AVERAGE(DJ10,DM10),Table1[],2,TRUE),IF(AND(DJ$3&lt;&gt;0,DM$3=0),DK10,DN10))))</f>
        <v>C-</v>
      </c>
      <c r="DP10" s="105"/>
      <c r="DQ10" s="107" t="str">
        <f t="shared" si="19"/>
        <v>C-</v>
      </c>
      <c r="DR10" s="155" t="s">
        <v>18</v>
      </c>
      <c r="DS10" s="171" t="s">
        <v>10</v>
      </c>
    </row>
    <row r="11" spans="1:123" s="61" customFormat="1" x14ac:dyDescent="0.25">
      <c r="A11" s="127" t="str">
        <f>IF(ISBLANK(ClassInformation!C16),"ZZZZZ",ClassInformation!C16)</f>
        <v>Coulahan</v>
      </c>
      <c r="B11" s="128" t="str">
        <f>IF(ISBLANK(ClassInformation!D16),"ZZZZZ",ClassInformation!D16)</f>
        <v>Zechariah</v>
      </c>
      <c r="C11" s="156">
        <v>9</v>
      </c>
      <c r="D11" s="157"/>
      <c r="E11" s="157">
        <v>9</v>
      </c>
      <c r="F11" s="157"/>
      <c r="G11" s="157"/>
      <c r="H11" s="157"/>
      <c r="I11" s="157"/>
      <c r="J11" s="157"/>
      <c r="K11" s="157"/>
      <c r="L11" s="158"/>
      <c r="M11" s="159"/>
      <c r="N11" s="157"/>
      <c r="O11" s="157"/>
      <c r="P11" s="157"/>
      <c r="Q11" s="157"/>
      <c r="R11" s="157"/>
      <c r="S11" s="157"/>
      <c r="T11" s="157"/>
      <c r="U11" s="157"/>
      <c r="V11" s="160"/>
      <c r="W11" s="117">
        <f t="shared" si="0"/>
        <v>18</v>
      </c>
      <c r="X11" s="100">
        <f t="shared" si="1"/>
        <v>0.45</v>
      </c>
      <c r="Y11" s="99" t="str">
        <f>IF(W11="","",VLOOKUP(X11,Table1[],2,TRUE))</f>
        <v>C-</v>
      </c>
      <c r="Z11" s="101" t="str">
        <f t="shared" si="2"/>
        <v/>
      </c>
      <c r="AA11" s="102" t="str">
        <f t="shared" si="3"/>
        <v/>
      </c>
      <c r="AB11" s="103" t="str">
        <f>IF(Z11="","",VLOOKUP(AA11,Table1[],2,TRUE))</f>
        <v/>
      </c>
      <c r="AC11" s="104" t="str">
        <f>IF(AND(X11="",AA11=""),"",IF(OR(X11="-",AA11="-"),"-",IF(AND(X$3&lt;&gt;0,AA$3&lt;&gt;0),VLOOKUP(AVERAGE(X11,AA11),Table1[],2,TRUE),IF(AND(X$3&lt;&gt;0,AA$3=0),Y11,AB11))))</f>
        <v>C-</v>
      </c>
      <c r="AD11" s="105"/>
      <c r="AE11" s="107" t="str">
        <f t="shared" si="4"/>
        <v>C-</v>
      </c>
      <c r="AF11" s="155" t="s">
        <v>18</v>
      </c>
      <c r="AG11" s="156" t="s">
        <v>18</v>
      </c>
      <c r="AH11" s="157"/>
      <c r="AI11" s="157" t="s">
        <v>18</v>
      </c>
      <c r="AJ11" s="157"/>
      <c r="AK11" s="157"/>
      <c r="AL11" s="157"/>
      <c r="AM11" s="157"/>
      <c r="AN11" s="157"/>
      <c r="AO11" s="157"/>
      <c r="AP11" s="158"/>
      <c r="AQ11" s="159" t="s">
        <v>18</v>
      </c>
      <c r="AR11" s="157"/>
      <c r="AS11" s="157"/>
      <c r="AT11" s="157"/>
      <c r="AU11" s="157"/>
      <c r="AV11" s="157"/>
      <c r="AW11" s="157"/>
      <c r="AX11" s="157"/>
      <c r="AY11" s="157"/>
      <c r="AZ11" s="160"/>
      <c r="BA11" s="117" t="str">
        <f t="shared" si="5"/>
        <v>-</v>
      </c>
      <c r="BB11" s="100" t="str">
        <f t="shared" si="6"/>
        <v>-</v>
      </c>
      <c r="BC11" s="99" t="str">
        <f>IF(BA11="","",VLOOKUP(BB11,Table1[],2,TRUE))</f>
        <v>-</v>
      </c>
      <c r="BD11" s="101" t="str">
        <f t="shared" si="7"/>
        <v>-</v>
      </c>
      <c r="BE11" s="102" t="str">
        <f t="shared" si="8"/>
        <v>-</v>
      </c>
      <c r="BF11" s="103" t="str">
        <f>IF(BD11="","",VLOOKUP(BE11,Table1[],2,TRUE))</f>
        <v>-</v>
      </c>
      <c r="BG11" s="104" t="str">
        <f>IF(AND(BB11="",BE11=""),"",IF(OR(BB11="-",BE11="-"),"-",IF(AND(BB$3&lt;&gt;0,BE$3&lt;&gt;0),VLOOKUP(AVERAGE(BB11,BE11),Table1[],2,TRUE),IF(AND(BB$3&lt;&gt;0,BE$3=0),BC11,BF11))))</f>
        <v>-</v>
      </c>
      <c r="BH11" s="105"/>
      <c r="BI11" s="107" t="str">
        <f t="shared" si="9"/>
        <v>-</v>
      </c>
      <c r="BJ11" s="155" t="s">
        <v>18</v>
      </c>
      <c r="BK11" s="156"/>
      <c r="BL11" s="157"/>
      <c r="BM11" s="157"/>
      <c r="BN11" s="157"/>
      <c r="BO11" s="157"/>
      <c r="BP11" s="157"/>
      <c r="BQ11" s="157"/>
      <c r="BR11" s="157"/>
      <c r="BS11" s="157"/>
      <c r="BT11" s="158"/>
      <c r="BU11" s="159">
        <v>18</v>
      </c>
      <c r="BV11" s="157"/>
      <c r="BW11" s="157"/>
      <c r="BX11" s="157"/>
      <c r="BY11" s="157"/>
      <c r="BZ11" s="157"/>
      <c r="CA11" s="157"/>
      <c r="CB11" s="157"/>
      <c r="CC11" s="157"/>
      <c r="CD11" s="160"/>
      <c r="CE11" s="117" t="str">
        <f t="shared" si="10"/>
        <v/>
      </c>
      <c r="CF11" s="100" t="str">
        <f t="shared" si="11"/>
        <v/>
      </c>
      <c r="CG11" s="99" t="str">
        <f>IF(CE11="","",VLOOKUP(CF11,Table1[],2,TRUE))</f>
        <v/>
      </c>
      <c r="CH11" s="101">
        <f t="shared" si="12"/>
        <v>18</v>
      </c>
      <c r="CI11" s="102">
        <f t="shared" si="13"/>
        <v>0.6</v>
      </c>
      <c r="CJ11" s="103" t="str">
        <f>IF(CH11="","",VLOOKUP(CI11,Table1[],2,TRUE))</f>
        <v>C+</v>
      </c>
      <c r="CK11" s="104" t="str">
        <f>IF(AND(CF11="",CI11=""),"",IF(OR(CF11="-",CI11="-"),"-",IF(AND(CF$3&lt;&gt;0,CI$3&lt;&gt;0),VLOOKUP(AVERAGE(CF11,CI11),Table1[],2,TRUE),IF(AND(CF$3&lt;&gt;0,CI$3=0),CG11,CJ11))))</f>
        <v>C+</v>
      </c>
      <c r="CL11" s="105"/>
      <c r="CM11" s="107" t="str">
        <f t="shared" si="14"/>
        <v>C+</v>
      </c>
      <c r="CN11" s="155" t="s">
        <v>18</v>
      </c>
      <c r="CO11" s="156">
        <v>12.5</v>
      </c>
      <c r="CP11" s="157"/>
      <c r="CQ11" s="157">
        <v>1.5</v>
      </c>
      <c r="CR11" s="157"/>
      <c r="CS11" s="157"/>
      <c r="CT11" s="157"/>
      <c r="CU11" s="157"/>
      <c r="CV11" s="157"/>
      <c r="CW11" s="157"/>
      <c r="CX11" s="158"/>
      <c r="CY11" s="159">
        <v>5</v>
      </c>
      <c r="CZ11" s="157"/>
      <c r="DA11" s="157"/>
      <c r="DB11" s="157"/>
      <c r="DC11" s="157"/>
      <c r="DD11" s="157"/>
      <c r="DE11" s="157"/>
      <c r="DF11" s="157"/>
      <c r="DG11" s="157"/>
      <c r="DH11" s="160"/>
      <c r="DI11" s="117">
        <f t="shared" si="15"/>
        <v>14</v>
      </c>
      <c r="DJ11" s="100">
        <f t="shared" si="16"/>
        <v>0.52830188679245282</v>
      </c>
      <c r="DK11" s="99" t="str">
        <f>IF(DI11="","",VLOOKUP(DJ11,Table1[],2,TRUE))</f>
        <v>C</v>
      </c>
      <c r="DL11" s="101">
        <f t="shared" si="17"/>
        <v>5</v>
      </c>
      <c r="DM11" s="102">
        <f t="shared" si="18"/>
        <v>0.7142857142857143</v>
      </c>
      <c r="DN11" s="103" t="str">
        <f>IF(DL11="","",VLOOKUP(DM11,Table1[],2,TRUE))</f>
        <v>B</v>
      </c>
      <c r="DO11" s="104" t="str">
        <f>IF(AND(DJ11="",DM11=""),"",IF(OR(DJ11="-",DM11="-"),"-",IF(AND(DJ$3&lt;&gt;0,DM$3&lt;&gt;0),VLOOKUP(AVERAGE(DJ11,DM11),Table1[],2,TRUE),IF(AND(DJ$3&lt;&gt;0,DM$3=0),DK11,DN11))))</f>
        <v>C+</v>
      </c>
      <c r="DP11" s="105"/>
      <c r="DQ11" s="107" t="str">
        <f t="shared" si="19"/>
        <v>C+</v>
      </c>
      <c r="DR11" s="155" t="s">
        <v>18</v>
      </c>
      <c r="DS11" s="171" t="s">
        <v>10</v>
      </c>
    </row>
    <row r="12" spans="1:123" s="61" customFormat="1" x14ac:dyDescent="0.25">
      <c r="A12" s="127" t="str">
        <f>IF(ISBLANK(ClassInformation!C17),"ZZZZZ",ClassInformation!C17)</f>
        <v>Cubacub</v>
      </c>
      <c r="B12" s="128" t="str">
        <f>IF(ISBLANK(ClassInformation!D17),"ZZZZZ",ClassInformation!D17)</f>
        <v>Raffi</v>
      </c>
      <c r="C12" s="156">
        <v>9</v>
      </c>
      <c r="D12" s="157"/>
      <c r="E12" s="157">
        <v>10</v>
      </c>
      <c r="F12" s="157"/>
      <c r="G12" s="157">
        <v>9</v>
      </c>
      <c r="H12" s="157"/>
      <c r="I12" s="157"/>
      <c r="J12" s="157"/>
      <c r="K12" s="157"/>
      <c r="L12" s="158"/>
      <c r="M12" s="159"/>
      <c r="N12" s="157"/>
      <c r="O12" s="157"/>
      <c r="P12" s="157"/>
      <c r="Q12" s="157"/>
      <c r="R12" s="157"/>
      <c r="S12" s="157"/>
      <c r="T12" s="157"/>
      <c r="U12" s="157"/>
      <c r="V12" s="160"/>
      <c r="W12" s="117">
        <f t="shared" si="0"/>
        <v>28</v>
      </c>
      <c r="X12" s="100">
        <f t="shared" si="1"/>
        <v>0.7</v>
      </c>
      <c r="Y12" s="99" t="str">
        <f>IF(W12="","",VLOOKUP(X12,Table1[],2,TRUE))</f>
        <v>B</v>
      </c>
      <c r="Z12" s="101" t="str">
        <f t="shared" si="2"/>
        <v/>
      </c>
      <c r="AA12" s="102" t="str">
        <f t="shared" si="3"/>
        <v/>
      </c>
      <c r="AB12" s="103" t="str">
        <f>IF(Z12="","",VLOOKUP(AA12,Table1[],2,TRUE))</f>
        <v/>
      </c>
      <c r="AC12" s="104" t="str">
        <f>IF(AND(X12="",AA12=""),"",IF(OR(X12="-",AA12="-"),"-",IF(AND(X$3&lt;&gt;0,AA$3&lt;&gt;0),VLOOKUP(AVERAGE(X12,AA12),Table1[],2,TRUE),IF(AND(X$3&lt;&gt;0,AA$3=0),Y12,AB12))))</f>
        <v>B</v>
      </c>
      <c r="AD12" s="105"/>
      <c r="AE12" s="107" t="str">
        <f t="shared" si="4"/>
        <v>B</v>
      </c>
      <c r="AF12" s="155" t="s">
        <v>18</v>
      </c>
      <c r="AG12" s="156" t="s">
        <v>18</v>
      </c>
      <c r="AH12" s="157"/>
      <c r="AI12" s="157" t="s">
        <v>18</v>
      </c>
      <c r="AJ12" s="157"/>
      <c r="AK12" s="157"/>
      <c r="AL12" s="157"/>
      <c r="AM12" s="157"/>
      <c r="AN12" s="157"/>
      <c r="AO12" s="157"/>
      <c r="AP12" s="158"/>
      <c r="AQ12" s="159">
        <v>9</v>
      </c>
      <c r="AR12" s="157"/>
      <c r="AS12" s="157"/>
      <c r="AT12" s="157"/>
      <c r="AU12" s="157"/>
      <c r="AV12" s="157"/>
      <c r="AW12" s="157"/>
      <c r="AX12" s="157"/>
      <c r="AY12" s="157"/>
      <c r="AZ12" s="160"/>
      <c r="BA12" s="117" t="str">
        <f t="shared" si="5"/>
        <v>-</v>
      </c>
      <c r="BB12" s="100" t="str">
        <f t="shared" si="6"/>
        <v>-</v>
      </c>
      <c r="BC12" s="99" t="str">
        <f>IF(BA12="","",VLOOKUP(BB12,Table1[],2,TRUE))</f>
        <v>-</v>
      </c>
      <c r="BD12" s="101">
        <f t="shared" si="7"/>
        <v>9</v>
      </c>
      <c r="BE12" s="102">
        <f t="shared" si="8"/>
        <v>0.9</v>
      </c>
      <c r="BF12" s="103" t="str">
        <f>IF(BD12="","",VLOOKUP(BE12,Table1[],2,TRUE))</f>
        <v>A</v>
      </c>
      <c r="BG12" s="104" t="str">
        <f>IF(AND(BB12="",BE12=""),"",IF(OR(BB12="-",BE12="-"),"-",IF(AND(BB$3&lt;&gt;0,BE$3&lt;&gt;0),VLOOKUP(AVERAGE(BB12,BE12),Table1[],2,TRUE),IF(AND(BB$3&lt;&gt;0,BE$3=0),BC12,BF12))))</f>
        <v>-</v>
      </c>
      <c r="BH12" s="105"/>
      <c r="BI12" s="107" t="str">
        <f t="shared" si="9"/>
        <v>-</v>
      </c>
      <c r="BJ12" s="155" t="s">
        <v>18</v>
      </c>
      <c r="BK12" s="156"/>
      <c r="BL12" s="157"/>
      <c r="BM12" s="157"/>
      <c r="BN12" s="157"/>
      <c r="BO12" s="157"/>
      <c r="BP12" s="157"/>
      <c r="BQ12" s="157"/>
      <c r="BR12" s="157"/>
      <c r="BS12" s="157"/>
      <c r="BT12" s="158"/>
      <c r="BU12" s="159">
        <v>26.5</v>
      </c>
      <c r="BV12" s="157"/>
      <c r="BW12" s="157"/>
      <c r="BX12" s="157"/>
      <c r="BY12" s="157"/>
      <c r="BZ12" s="157"/>
      <c r="CA12" s="157"/>
      <c r="CB12" s="157"/>
      <c r="CC12" s="157"/>
      <c r="CD12" s="160"/>
      <c r="CE12" s="117" t="str">
        <f t="shared" si="10"/>
        <v/>
      </c>
      <c r="CF12" s="100" t="str">
        <f t="shared" si="11"/>
        <v/>
      </c>
      <c r="CG12" s="99" t="str">
        <f>IF(CE12="","",VLOOKUP(CF12,Table1[],2,TRUE))</f>
        <v/>
      </c>
      <c r="CH12" s="101">
        <f t="shared" si="12"/>
        <v>26.5</v>
      </c>
      <c r="CI12" s="102">
        <f t="shared" si="13"/>
        <v>0.8833333333333333</v>
      </c>
      <c r="CJ12" s="103" t="str">
        <f>IF(CH12="","",VLOOKUP(CI12,Table1[],2,TRUE))</f>
        <v>A</v>
      </c>
      <c r="CK12" s="104" t="str">
        <f>IF(AND(CF12="",CI12=""),"",IF(OR(CF12="-",CI12="-"),"-",IF(AND(CF$3&lt;&gt;0,CI$3&lt;&gt;0),VLOOKUP(AVERAGE(CF12,CI12),Table1[],2,TRUE),IF(AND(CF$3&lt;&gt;0,CI$3=0),CG12,CJ12))))</f>
        <v>A</v>
      </c>
      <c r="CL12" s="105"/>
      <c r="CM12" s="107" t="str">
        <f t="shared" si="14"/>
        <v>A</v>
      </c>
      <c r="CN12" s="155" t="s">
        <v>18</v>
      </c>
      <c r="CO12" s="156">
        <v>17</v>
      </c>
      <c r="CP12" s="157"/>
      <c r="CQ12" s="157">
        <v>2</v>
      </c>
      <c r="CR12" s="157"/>
      <c r="CS12" s="157"/>
      <c r="CT12" s="157"/>
      <c r="CU12" s="157"/>
      <c r="CV12" s="157"/>
      <c r="CW12" s="157"/>
      <c r="CX12" s="158"/>
      <c r="CY12" s="159">
        <v>3.5</v>
      </c>
      <c r="CZ12" s="157"/>
      <c r="DA12" s="157"/>
      <c r="DB12" s="157"/>
      <c r="DC12" s="157"/>
      <c r="DD12" s="157"/>
      <c r="DE12" s="157"/>
      <c r="DF12" s="157"/>
      <c r="DG12" s="157"/>
      <c r="DH12" s="160"/>
      <c r="DI12" s="117">
        <f t="shared" si="15"/>
        <v>19</v>
      </c>
      <c r="DJ12" s="100">
        <f t="shared" si="16"/>
        <v>0.71698113207547165</v>
      </c>
      <c r="DK12" s="99" t="str">
        <f>IF(DI12="","",VLOOKUP(DJ12,Table1[],2,TRUE))</f>
        <v>B</v>
      </c>
      <c r="DL12" s="101">
        <f t="shared" si="17"/>
        <v>3.5</v>
      </c>
      <c r="DM12" s="102">
        <f t="shared" si="18"/>
        <v>0.5</v>
      </c>
      <c r="DN12" s="103" t="str">
        <f>IF(DL12="","",VLOOKUP(DM12,Table1[],2,TRUE))</f>
        <v>C-</v>
      </c>
      <c r="DO12" s="104" t="str">
        <f>IF(AND(DJ12="",DM12=""),"",IF(OR(DJ12="-",DM12="-"),"-",IF(AND(DJ$3&lt;&gt;0,DM$3&lt;&gt;0),VLOOKUP(AVERAGE(DJ12,DM12),Table1[],2,TRUE),IF(AND(DJ$3&lt;&gt;0,DM$3=0),DK12,DN12))))</f>
        <v>C+</v>
      </c>
      <c r="DP12" s="105"/>
      <c r="DQ12" s="107" t="str">
        <f t="shared" si="19"/>
        <v>C+</v>
      </c>
      <c r="DR12" s="155" t="s">
        <v>18</v>
      </c>
      <c r="DS12" s="171" t="s">
        <v>12</v>
      </c>
    </row>
    <row r="13" spans="1:123" s="61" customFormat="1" x14ac:dyDescent="0.25">
      <c r="A13" s="127" t="str">
        <f>IF(ISBLANK(ClassInformation!C18),"ZZZZZ",ClassInformation!C18)</f>
        <v>Davis</v>
      </c>
      <c r="B13" s="128" t="str">
        <f>IF(ISBLANK(ClassInformation!D18),"ZZZZZ",ClassInformation!D18)</f>
        <v>Billy</v>
      </c>
      <c r="C13" s="156">
        <v>6.5</v>
      </c>
      <c r="D13" s="157"/>
      <c r="E13" s="157"/>
      <c r="F13" s="157"/>
      <c r="G13" s="157">
        <v>6</v>
      </c>
      <c r="H13" s="157"/>
      <c r="I13" s="157"/>
      <c r="J13" s="157"/>
      <c r="K13" s="157"/>
      <c r="L13" s="158"/>
      <c r="M13" s="159"/>
      <c r="N13" s="157"/>
      <c r="O13" s="157"/>
      <c r="P13" s="157"/>
      <c r="Q13" s="157"/>
      <c r="R13" s="157"/>
      <c r="S13" s="157"/>
      <c r="T13" s="157"/>
      <c r="U13" s="157"/>
      <c r="V13" s="160"/>
      <c r="W13" s="117">
        <f t="shared" si="0"/>
        <v>12.5</v>
      </c>
      <c r="X13" s="100">
        <f t="shared" si="1"/>
        <v>0.3125</v>
      </c>
      <c r="Y13" s="99" t="str">
        <f>IF(W13="","",VLOOKUP(X13,Table1[],2,TRUE))</f>
        <v>D-</v>
      </c>
      <c r="Z13" s="101" t="str">
        <f t="shared" si="2"/>
        <v/>
      </c>
      <c r="AA13" s="102" t="str">
        <f t="shared" si="3"/>
        <v/>
      </c>
      <c r="AB13" s="103" t="str">
        <f>IF(Z13="","",VLOOKUP(AA13,Table1[],2,TRUE))</f>
        <v/>
      </c>
      <c r="AC13" s="104" t="str">
        <f>IF(AND(X13="",AA13=""),"",IF(OR(X13="-",AA13="-"),"-",IF(AND(X$3&lt;&gt;0,AA$3&lt;&gt;0),VLOOKUP(AVERAGE(X13,AA13),Table1[],2,TRUE),IF(AND(X$3&lt;&gt;0,AA$3=0),Y13,AB13))))</f>
        <v>D-</v>
      </c>
      <c r="AD13" s="105"/>
      <c r="AE13" s="107" t="str">
        <f t="shared" si="4"/>
        <v>D-</v>
      </c>
      <c r="AF13" s="155" t="s">
        <v>18</v>
      </c>
      <c r="AG13" s="156">
        <v>9</v>
      </c>
      <c r="AH13" s="157"/>
      <c r="AI13" s="157">
        <v>2.5</v>
      </c>
      <c r="AJ13" s="157"/>
      <c r="AK13" s="157"/>
      <c r="AL13" s="157"/>
      <c r="AM13" s="157"/>
      <c r="AN13" s="157"/>
      <c r="AO13" s="157"/>
      <c r="AP13" s="158"/>
      <c r="AQ13" s="159">
        <v>6</v>
      </c>
      <c r="AR13" s="157"/>
      <c r="AS13" s="157"/>
      <c r="AT13" s="157"/>
      <c r="AU13" s="157"/>
      <c r="AV13" s="157"/>
      <c r="AW13" s="157"/>
      <c r="AX13" s="157"/>
      <c r="AY13" s="157"/>
      <c r="AZ13" s="160"/>
      <c r="BA13" s="117">
        <f t="shared" si="5"/>
        <v>11.5</v>
      </c>
      <c r="BB13" s="100">
        <f t="shared" si="6"/>
        <v>0.52272727272727271</v>
      </c>
      <c r="BC13" s="99" t="str">
        <f>IF(BA13="","",VLOOKUP(BB13,Table1[],2,TRUE))</f>
        <v>C</v>
      </c>
      <c r="BD13" s="101">
        <f t="shared" si="7"/>
        <v>6</v>
      </c>
      <c r="BE13" s="102">
        <f t="shared" si="8"/>
        <v>0.6</v>
      </c>
      <c r="BF13" s="103" t="str">
        <f>IF(BD13="","",VLOOKUP(BE13,Table1[],2,TRUE))</f>
        <v>C+</v>
      </c>
      <c r="BG13" s="104" t="str">
        <f>IF(AND(BB13="",BE13=""),"",IF(OR(BB13="-",BE13="-"),"-",IF(AND(BB$3&lt;&gt;0,BE$3&lt;&gt;0),VLOOKUP(AVERAGE(BB13,BE13),Table1[],2,TRUE),IF(AND(BB$3&lt;&gt;0,BE$3=0),BC13,BF13))))</f>
        <v>C</v>
      </c>
      <c r="BH13" s="105"/>
      <c r="BI13" s="107" t="str">
        <f t="shared" si="9"/>
        <v>C</v>
      </c>
      <c r="BJ13" s="155" t="s">
        <v>18</v>
      </c>
      <c r="BK13" s="156"/>
      <c r="BL13" s="157"/>
      <c r="BM13" s="157"/>
      <c r="BN13" s="157"/>
      <c r="BO13" s="157"/>
      <c r="BP13" s="157"/>
      <c r="BQ13" s="157"/>
      <c r="BR13" s="157"/>
      <c r="BS13" s="157"/>
      <c r="BT13" s="158"/>
      <c r="BU13" s="159">
        <v>5.5</v>
      </c>
      <c r="BV13" s="157"/>
      <c r="BW13" s="157"/>
      <c r="BX13" s="157"/>
      <c r="BY13" s="157"/>
      <c r="BZ13" s="157"/>
      <c r="CA13" s="157"/>
      <c r="CB13" s="157"/>
      <c r="CC13" s="157"/>
      <c r="CD13" s="160"/>
      <c r="CE13" s="117" t="str">
        <f t="shared" si="10"/>
        <v/>
      </c>
      <c r="CF13" s="100" t="str">
        <f t="shared" si="11"/>
        <v/>
      </c>
      <c r="CG13" s="99" t="str">
        <f>IF(CE13="","",VLOOKUP(CF13,Table1[],2,TRUE))</f>
        <v/>
      </c>
      <c r="CH13" s="101">
        <f t="shared" si="12"/>
        <v>5.5</v>
      </c>
      <c r="CI13" s="102">
        <f t="shared" si="13"/>
        <v>0.18333333333333332</v>
      </c>
      <c r="CJ13" s="103" t="str">
        <f>IF(CH13="","",VLOOKUP(CI13,Table1[],2,TRUE))</f>
        <v>E+</v>
      </c>
      <c r="CK13" s="104" t="str">
        <f>IF(AND(CF13="",CI13=""),"",IF(OR(CF13="-",CI13="-"),"-",IF(AND(CF$3&lt;&gt;0,CI$3&lt;&gt;0),VLOOKUP(AVERAGE(CF13,CI13),Table1[],2,TRUE),IF(AND(CF$3&lt;&gt;0,CI$3=0),CG13,CJ13))))</f>
        <v>E+</v>
      </c>
      <c r="CL13" s="105"/>
      <c r="CM13" s="107" t="str">
        <f t="shared" si="14"/>
        <v>E+</v>
      </c>
      <c r="CN13" s="155" t="s">
        <v>18</v>
      </c>
      <c r="CO13" s="156">
        <v>16</v>
      </c>
      <c r="CP13" s="157"/>
      <c r="CQ13" s="157">
        <v>2</v>
      </c>
      <c r="CR13" s="157"/>
      <c r="CS13" s="157"/>
      <c r="CT13" s="157"/>
      <c r="CU13" s="157"/>
      <c r="CV13" s="157"/>
      <c r="CW13" s="157"/>
      <c r="CX13" s="158"/>
      <c r="CY13" s="159">
        <v>2</v>
      </c>
      <c r="CZ13" s="157"/>
      <c r="DA13" s="157"/>
      <c r="DB13" s="157"/>
      <c r="DC13" s="157"/>
      <c r="DD13" s="157"/>
      <c r="DE13" s="157"/>
      <c r="DF13" s="157"/>
      <c r="DG13" s="157"/>
      <c r="DH13" s="160"/>
      <c r="DI13" s="117">
        <f t="shared" si="15"/>
        <v>18</v>
      </c>
      <c r="DJ13" s="100">
        <f t="shared" si="16"/>
        <v>0.67924528301886788</v>
      </c>
      <c r="DK13" s="99" t="str">
        <f>IF(DI13="","",VLOOKUP(DJ13,Table1[],2,TRUE))</f>
        <v>B-</v>
      </c>
      <c r="DL13" s="101">
        <f t="shared" si="17"/>
        <v>2</v>
      </c>
      <c r="DM13" s="102">
        <f t="shared" si="18"/>
        <v>0.2857142857142857</v>
      </c>
      <c r="DN13" s="103" t="str">
        <f>IF(DL13="","",VLOOKUP(DM13,Table1[],2,TRUE))</f>
        <v>D-</v>
      </c>
      <c r="DO13" s="104" t="str">
        <f>IF(AND(DJ13="",DM13=""),"",IF(OR(DJ13="-",DM13="-"),"-",IF(AND(DJ$3&lt;&gt;0,DM$3&lt;&gt;0),VLOOKUP(AVERAGE(DJ13,DM13),Table1[],2,TRUE),IF(AND(DJ$3&lt;&gt;0,DM$3=0),DK13,DN13))))</f>
        <v>C-</v>
      </c>
      <c r="DP13" s="105"/>
      <c r="DQ13" s="107" t="str">
        <f t="shared" si="19"/>
        <v>C-</v>
      </c>
      <c r="DR13" s="155" t="s">
        <v>18</v>
      </c>
      <c r="DS13" s="171" t="s">
        <v>9</v>
      </c>
    </row>
    <row r="14" spans="1:123" s="61" customFormat="1" x14ac:dyDescent="0.25">
      <c r="A14" s="127" t="str">
        <f>IF(ISBLANK(ClassInformation!C19),"ZZZZZ",ClassInformation!C19)</f>
        <v>Fitzsimmons</v>
      </c>
      <c r="B14" s="128" t="str">
        <f>IF(ISBLANK(ClassInformation!D19),"ZZZZZ",ClassInformation!D19)</f>
        <v>Sullivan</v>
      </c>
      <c r="C14" s="156">
        <v>6</v>
      </c>
      <c r="D14" s="157"/>
      <c r="E14" s="157">
        <v>8</v>
      </c>
      <c r="F14" s="157"/>
      <c r="G14" s="157"/>
      <c r="H14" s="157"/>
      <c r="I14" s="157"/>
      <c r="J14" s="157"/>
      <c r="K14" s="157"/>
      <c r="L14" s="158"/>
      <c r="M14" s="159"/>
      <c r="N14" s="157"/>
      <c r="O14" s="157"/>
      <c r="P14" s="157"/>
      <c r="Q14" s="157"/>
      <c r="R14" s="157"/>
      <c r="S14" s="157"/>
      <c r="T14" s="157"/>
      <c r="U14" s="157"/>
      <c r="V14" s="160"/>
      <c r="W14" s="117">
        <f t="shared" si="0"/>
        <v>14</v>
      </c>
      <c r="X14" s="100">
        <f t="shared" si="1"/>
        <v>0.35</v>
      </c>
      <c r="Y14" s="99" t="str">
        <f>IF(W14="","",VLOOKUP(X14,Table1[],2,TRUE))</f>
        <v>D</v>
      </c>
      <c r="Z14" s="101" t="str">
        <f t="shared" si="2"/>
        <v/>
      </c>
      <c r="AA14" s="102" t="str">
        <f t="shared" si="3"/>
        <v/>
      </c>
      <c r="AB14" s="103" t="str">
        <f>IF(Z14="","",VLOOKUP(AA14,Table1[],2,TRUE))</f>
        <v/>
      </c>
      <c r="AC14" s="104" t="str">
        <f>IF(AND(X14="",AA14=""),"",IF(OR(X14="-",AA14="-"),"-",IF(AND(X$3&lt;&gt;0,AA$3&lt;&gt;0),VLOOKUP(AVERAGE(X14,AA14),Table1[],2,TRUE),IF(AND(X$3&lt;&gt;0,AA$3=0),Y14,AB14))))</f>
        <v>D</v>
      </c>
      <c r="AD14" s="105"/>
      <c r="AE14" s="107" t="str">
        <f t="shared" si="4"/>
        <v>D</v>
      </c>
      <c r="AF14" s="155" t="s">
        <v>18</v>
      </c>
      <c r="AG14" s="156">
        <v>11.5</v>
      </c>
      <c r="AH14" s="157"/>
      <c r="AI14" s="157">
        <v>3</v>
      </c>
      <c r="AJ14" s="157"/>
      <c r="AK14" s="157"/>
      <c r="AL14" s="157"/>
      <c r="AM14" s="157"/>
      <c r="AN14" s="157"/>
      <c r="AO14" s="157"/>
      <c r="AP14" s="158"/>
      <c r="AQ14" s="159">
        <v>7</v>
      </c>
      <c r="AR14" s="157"/>
      <c r="AS14" s="157"/>
      <c r="AT14" s="157"/>
      <c r="AU14" s="157"/>
      <c r="AV14" s="157"/>
      <c r="AW14" s="157"/>
      <c r="AX14" s="157"/>
      <c r="AY14" s="157"/>
      <c r="AZ14" s="160"/>
      <c r="BA14" s="117">
        <f t="shared" si="5"/>
        <v>14.5</v>
      </c>
      <c r="BB14" s="100">
        <f t="shared" si="6"/>
        <v>0.65909090909090906</v>
      </c>
      <c r="BC14" s="99" t="str">
        <f>IF(BA14="","",VLOOKUP(BB14,Table1[],2,TRUE))</f>
        <v>B-</v>
      </c>
      <c r="BD14" s="101">
        <f t="shared" si="7"/>
        <v>7</v>
      </c>
      <c r="BE14" s="102">
        <f t="shared" si="8"/>
        <v>0.7</v>
      </c>
      <c r="BF14" s="103" t="str">
        <f>IF(BD14="","",VLOOKUP(BE14,Table1[],2,TRUE))</f>
        <v>B</v>
      </c>
      <c r="BG14" s="104" t="str">
        <f>IF(AND(BB14="",BE14=""),"",IF(OR(BB14="-",BE14="-"),"-",IF(AND(BB$3&lt;&gt;0,BE$3&lt;&gt;0),VLOOKUP(AVERAGE(BB14,BE14),Table1[],2,TRUE),IF(AND(BB$3&lt;&gt;0,BE$3=0),BC14,BF14))))</f>
        <v>B-</v>
      </c>
      <c r="BH14" s="105"/>
      <c r="BI14" s="107" t="str">
        <f t="shared" si="9"/>
        <v>B-</v>
      </c>
      <c r="BJ14" s="155" t="s">
        <v>18</v>
      </c>
      <c r="BK14" s="156"/>
      <c r="BL14" s="157"/>
      <c r="BM14" s="157"/>
      <c r="BN14" s="157"/>
      <c r="BO14" s="157"/>
      <c r="BP14" s="157"/>
      <c r="BQ14" s="157"/>
      <c r="BR14" s="157"/>
      <c r="BS14" s="157"/>
      <c r="BT14" s="158"/>
      <c r="BU14" s="159">
        <v>23.5</v>
      </c>
      <c r="BV14" s="157"/>
      <c r="BW14" s="157"/>
      <c r="BX14" s="157"/>
      <c r="BY14" s="157"/>
      <c r="BZ14" s="157"/>
      <c r="CA14" s="157"/>
      <c r="CB14" s="157"/>
      <c r="CC14" s="157"/>
      <c r="CD14" s="160"/>
      <c r="CE14" s="117" t="str">
        <f t="shared" si="10"/>
        <v/>
      </c>
      <c r="CF14" s="100" t="str">
        <f t="shared" si="11"/>
        <v/>
      </c>
      <c r="CG14" s="99" t="str">
        <f>IF(CE14="","",VLOOKUP(CF14,Table1[],2,TRUE))</f>
        <v/>
      </c>
      <c r="CH14" s="101">
        <f t="shared" si="12"/>
        <v>23.5</v>
      </c>
      <c r="CI14" s="102">
        <f t="shared" si="13"/>
        <v>0.78333333333333333</v>
      </c>
      <c r="CJ14" s="103" t="str">
        <f>IF(CH14="","",VLOOKUP(CI14,Table1[],2,TRUE))</f>
        <v>B+</v>
      </c>
      <c r="CK14" s="104" t="str">
        <f>IF(AND(CF14="",CI14=""),"",IF(OR(CF14="-",CI14="-"),"-",IF(AND(CF$3&lt;&gt;0,CI$3&lt;&gt;0),VLOOKUP(AVERAGE(CF14,CI14),Table1[],2,TRUE),IF(AND(CF$3&lt;&gt;0,CI$3=0),CG14,CJ14))))</f>
        <v>B+</v>
      </c>
      <c r="CL14" s="105"/>
      <c r="CM14" s="107" t="str">
        <f t="shared" si="14"/>
        <v>B+</v>
      </c>
      <c r="CN14" s="155" t="s">
        <v>18</v>
      </c>
      <c r="CO14" s="156">
        <v>18</v>
      </c>
      <c r="CP14" s="157"/>
      <c r="CQ14" s="157">
        <v>3</v>
      </c>
      <c r="CR14" s="157"/>
      <c r="CS14" s="157"/>
      <c r="CT14" s="157"/>
      <c r="CU14" s="157"/>
      <c r="CV14" s="157"/>
      <c r="CW14" s="157"/>
      <c r="CX14" s="158"/>
      <c r="CY14" s="159">
        <v>3.5</v>
      </c>
      <c r="CZ14" s="157"/>
      <c r="DA14" s="157"/>
      <c r="DB14" s="157"/>
      <c r="DC14" s="157"/>
      <c r="DD14" s="157"/>
      <c r="DE14" s="157"/>
      <c r="DF14" s="157"/>
      <c r="DG14" s="157"/>
      <c r="DH14" s="160"/>
      <c r="DI14" s="117">
        <f t="shared" si="15"/>
        <v>21</v>
      </c>
      <c r="DJ14" s="100">
        <f t="shared" si="16"/>
        <v>0.79245283018867929</v>
      </c>
      <c r="DK14" s="99" t="str">
        <f>IF(DI14="","",VLOOKUP(DJ14,Table1[],2,TRUE))</f>
        <v>B+</v>
      </c>
      <c r="DL14" s="101">
        <f t="shared" si="17"/>
        <v>3.5</v>
      </c>
      <c r="DM14" s="102">
        <f t="shared" si="18"/>
        <v>0.5</v>
      </c>
      <c r="DN14" s="103" t="str">
        <f>IF(DL14="","",VLOOKUP(DM14,Table1[],2,TRUE))</f>
        <v>C-</v>
      </c>
      <c r="DO14" s="104" t="str">
        <f>IF(AND(DJ14="",DM14=""),"",IF(OR(DJ14="-",DM14="-"),"-",IF(AND(DJ$3&lt;&gt;0,DM$3&lt;&gt;0),VLOOKUP(AVERAGE(DJ14,DM14),Table1[],2,TRUE),IF(AND(DJ$3&lt;&gt;0,DM$3=0),DK14,DN14))))</f>
        <v>C+</v>
      </c>
      <c r="DP14" s="105"/>
      <c r="DQ14" s="107" t="str">
        <f t="shared" si="19"/>
        <v>C+</v>
      </c>
      <c r="DR14" s="155" t="s">
        <v>18</v>
      </c>
      <c r="DS14" s="171" t="s">
        <v>12</v>
      </c>
    </row>
    <row r="15" spans="1:123" s="61" customFormat="1" x14ac:dyDescent="0.25">
      <c r="A15" s="127" t="str">
        <f>IF(ISBLANK(ClassInformation!C20),"ZZZZZ",ClassInformation!C20)</f>
        <v>Franciscus</v>
      </c>
      <c r="B15" s="128" t="str">
        <f>IF(ISBLANK(ClassInformation!D20),"ZZZZZ",ClassInformation!D20)</f>
        <v>Sonny</v>
      </c>
      <c r="C15" s="156">
        <v>0</v>
      </c>
      <c r="D15" s="157"/>
      <c r="E15" s="157"/>
      <c r="F15" s="157"/>
      <c r="G15" s="157">
        <v>6</v>
      </c>
      <c r="H15" s="157"/>
      <c r="I15" s="157"/>
      <c r="J15" s="157"/>
      <c r="K15" s="157"/>
      <c r="L15" s="158"/>
      <c r="M15" s="159"/>
      <c r="N15" s="157"/>
      <c r="O15" s="157"/>
      <c r="P15" s="157"/>
      <c r="Q15" s="157"/>
      <c r="R15" s="157"/>
      <c r="S15" s="157"/>
      <c r="T15" s="157"/>
      <c r="U15" s="157"/>
      <c r="V15" s="160"/>
      <c r="W15" s="117">
        <f t="shared" si="0"/>
        <v>6</v>
      </c>
      <c r="X15" s="100">
        <f t="shared" si="1"/>
        <v>0.15</v>
      </c>
      <c r="Y15" s="99" t="str">
        <f>IF(W15="","",VLOOKUP(X15,Table1[],2,TRUE))</f>
        <v>E</v>
      </c>
      <c r="Z15" s="101" t="str">
        <f t="shared" si="2"/>
        <v/>
      </c>
      <c r="AA15" s="102" t="str">
        <f t="shared" si="3"/>
        <v/>
      </c>
      <c r="AB15" s="103" t="str">
        <f>IF(Z15="","",VLOOKUP(AA15,Table1[],2,TRUE))</f>
        <v/>
      </c>
      <c r="AC15" s="104" t="str">
        <f>IF(AND(X15="",AA15=""),"",IF(OR(X15="-",AA15="-"),"-",IF(AND(X$3&lt;&gt;0,AA$3&lt;&gt;0),VLOOKUP(AVERAGE(X15,AA15),Table1[],2,TRUE),IF(AND(X$3&lt;&gt;0,AA$3=0),Y15,AB15))))</f>
        <v>E</v>
      </c>
      <c r="AD15" s="105"/>
      <c r="AE15" s="107" t="str">
        <f t="shared" si="4"/>
        <v>E</v>
      </c>
      <c r="AF15" s="155" t="s">
        <v>18</v>
      </c>
      <c r="AG15" s="156">
        <v>12</v>
      </c>
      <c r="AH15" s="157"/>
      <c r="AI15" s="157">
        <v>1</v>
      </c>
      <c r="AJ15" s="157"/>
      <c r="AK15" s="157"/>
      <c r="AL15" s="157"/>
      <c r="AM15" s="157"/>
      <c r="AN15" s="157"/>
      <c r="AO15" s="157"/>
      <c r="AP15" s="158"/>
      <c r="AQ15" s="159">
        <v>7.5</v>
      </c>
      <c r="AR15" s="157"/>
      <c r="AS15" s="157"/>
      <c r="AT15" s="157"/>
      <c r="AU15" s="157"/>
      <c r="AV15" s="157"/>
      <c r="AW15" s="157"/>
      <c r="AX15" s="157"/>
      <c r="AY15" s="157"/>
      <c r="AZ15" s="160"/>
      <c r="BA15" s="117">
        <f t="shared" si="5"/>
        <v>13</v>
      </c>
      <c r="BB15" s="100">
        <f t="shared" si="6"/>
        <v>0.59090909090909094</v>
      </c>
      <c r="BC15" s="99" t="str">
        <f>IF(BA15="","",VLOOKUP(BB15,Table1[],2,TRUE))</f>
        <v>C+</v>
      </c>
      <c r="BD15" s="101">
        <f t="shared" si="7"/>
        <v>7.5</v>
      </c>
      <c r="BE15" s="102">
        <f t="shared" si="8"/>
        <v>0.75</v>
      </c>
      <c r="BF15" s="103" t="str">
        <f>IF(BD15="","",VLOOKUP(BE15,Table1[],2,TRUE))</f>
        <v>B+</v>
      </c>
      <c r="BG15" s="104" t="str">
        <f>IF(AND(BB15="",BE15=""),"",IF(OR(BB15="-",BE15="-"),"-",IF(AND(BB$3&lt;&gt;0,BE$3&lt;&gt;0),VLOOKUP(AVERAGE(BB15,BE15),Table1[],2,TRUE),IF(AND(BB$3&lt;&gt;0,BE$3=0),BC15,BF15))))</f>
        <v>B-</v>
      </c>
      <c r="BH15" s="105"/>
      <c r="BI15" s="107" t="str">
        <f t="shared" si="9"/>
        <v>B-</v>
      </c>
      <c r="BJ15" s="155" t="s">
        <v>18</v>
      </c>
      <c r="BK15" s="156"/>
      <c r="BL15" s="157"/>
      <c r="BM15" s="157"/>
      <c r="BN15" s="157"/>
      <c r="BO15" s="157"/>
      <c r="BP15" s="157"/>
      <c r="BQ15" s="157"/>
      <c r="BR15" s="157"/>
      <c r="BS15" s="157"/>
      <c r="BT15" s="158"/>
      <c r="BU15" s="159">
        <v>11.5</v>
      </c>
      <c r="BV15" s="157"/>
      <c r="BW15" s="157"/>
      <c r="BX15" s="157"/>
      <c r="BY15" s="157"/>
      <c r="BZ15" s="157"/>
      <c r="CA15" s="157"/>
      <c r="CB15" s="157"/>
      <c r="CC15" s="157"/>
      <c r="CD15" s="160"/>
      <c r="CE15" s="117" t="str">
        <f t="shared" si="10"/>
        <v/>
      </c>
      <c r="CF15" s="100" t="str">
        <f t="shared" si="11"/>
        <v/>
      </c>
      <c r="CG15" s="99" t="str">
        <f>IF(CE15="","",VLOOKUP(CF15,Table1[],2,TRUE))</f>
        <v/>
      </c>
      <c r="CH15" s="101">
        <f t="shared" si="12"/>
        <v>11.5</v>
      </c>
      <c r="CI15" s="102">
        <f t="shared" si="13"/>
        <v>0.38333333333333336</v>
      </c>
      <c r="CJ15" s="103" t="str">
        <f>IF(CH15="","",VLOOKUP(CI15,Table1[],2,TRUE))</f>
        <v>D+</v>
      </c>
      <c r="CK15" s="104" t="str">
        <f>IF(AND(CF15="",CI15=""),"",IF(OR(CF15="-",CI15="-"),"-",IF(AND(CF$3&lt;&gt;0,CI$3&lt;&gt;0),VLOOKUP(AVERAGE(CF15,CI15),Table1[],2,TRUE),IF(AND(CF$3&lt;&gt;0,CI$3=0),CG15,CJ15))))</f>
        <v>D+</v>
      </c>
      <c r="CL15" s="105"/>
      <c r="CM15" s="107" t="str">
        <f t="shared" si="14"/>
        <v>D+</v>
      </c>
      <c r="CN15" s="155" t="s">
        <v>18</v>
      </c>
      <c r="CO15" s="156">
        <v>15</v>
      </c>
      <c r="CP15" s="157"/>
      <c r="CQ15" s="157">
        <v>2</v>
      </c>
      <c r="CR15" s="157"/>
      <c r="CS15" s="157"/>
      <c r="CT15" s="157"/>
      <c r="CU15" s="157"/>
      <c r="CV15" s="157"/>
      <c r="CW15" s="157"/>
      <c r="CX15" s="158"/>
      <c r="CY15" s="159">
        <v>3</v>
      </c>
      <c r="CZ15" s="157"/>
      <c r="DA15" s="157"/>
      <c r="DB15" s="157"/>
      <c r="DC15" s="157"/>
      <c r="DD15" s="157"/>
      <c r="DE15" s="157"/>
      <c r="DF15" s="157"/>
      <c r="DG15" s="157"/>
      <c r="DH15" s="160"/>
      <c r="DI15" s="117">
        <f t="shared" si="15"/>
        <v>17</v>
      </c>
      <c r="DJ15" s="100">
        <f t="shared" si="16"/>
        <v>0.64150943396226412</v>
      </c>
      <c r="DK15" s="99" t="str">
        <f>IF(DI15="","",VLOOKUP(DJ15,Table1[],2,TRUE))</f>
        <v>C+</v>
      </c>
      <c r="DL15" s="101">
        <f t="shared" si="17"/>
        <v>3</v>
      </c>
      <c r="DM15" s="102">
        <f t="shared" si="18"/>
        <v>0.42857142857142855</v>
      </c>
      <c r="DN15" s="103" t="str">
        <f>IF(DL15="","",VLOOKUP(DM15,Table1[],2,TRUE))</f>
        <v>D+</v>
      </c>
      <c r="DO15" s="104" t="str">
        <f>IF(AND(DJ15="",DM15=""),"",IF(OR(DJ15="-",DM15="-"),"-",IF(AND(DJ$3&lt;&gt;0,DM$3&lt;&gt;0),VLOOKUP(AVERAGE(DJ15,DM15),Table1[],2,TRUE),IF(AND(DJ$3&lt;&gt;0,DM$3=0),DK15,DN15))))</f>
        <v>C</v>
      </c>
      <c r="DP15" s="105"/>
      <c r="DQ15" s="107" t="str">
        <f t="shared" si="19"/>
        <v>C</v>
      </c>
      <c r="DR15" s="155" t="s">
        <v>18</v>
      </c>
      <c r="DS15" s="171" t="s">
        <v>10</v>
      </c>
    </row>
    <row r="16" spans="1:123" s="61" customFormat="1" x14ac:dyDescent="0.25">
      <c r="A16" s="127" t="str">
        <f>IF(ISBLANK(ClassInformation!C21),"ZZZZZ",ClassInformation!C21)</f>
        <v>Hamilton</v>
      </c>
      <c r="B16" s="128" t="str">
        <f>IF(ISBLANK(ClassInformation!D21),"ZZZZZ",ClassInformation!D21)</f>
        <v>Ella</v>
      </c>
      <c r="C16" s="156">
        <v>6</v>
      </c>
      <c r="D16" s="157"/>
      <c r="E16" s="157">
        <v>10</v>
      </c>
      <c r="F16" s="157"/>
      <c r="G16" s="157">
        <v>6</v>
      </c>
      <c r="H16" s="157"/>
      <c r="I16" s="157"/>
      <c r="J16" s="157"/>
      <c r="K16" s="157"/>
      <c r="L16" s="158"/>
      <c r="M16" s="159"/>
      <c r="N16" s="157"/>
      <c r="O16" s="157"/>
      <c r="P16" s="157"/>
      <c r="Q16" s="157"/>
      <c r="R16" s="157"/>
      <c r="S16" s="157"/>
      <c r="T16" s="157"/>
      <c r="U16" s="157"/>
      <c r="V16" s="160"/>
      <c r="W16" s="117">
        <f t="shared" si="0"/>
        <v>22</v>
      </c>
      <c r="X16" s="100">
        <f t="shared" si="1"/>
        <v>0.55000000000000004</v>
      </c>
      <c r="Y16" s="99" t="str">
        <f>IF(W16="","",VLOOKUP(X16,Table1[],2,TRUE))</f>
        <v>C</v>
      </c>
      <c r="Z16" s="101" t="str">
        <f t="shared" si="2"/>
        <v/>
      </c>
      <c r="AA16" s="102" t="str">
        <f t="shared" si="3"/>
        <v/>
      </c>
      <c r="AB16" s="103" t="str">
        <f>IF(Z16="","",VLOOKUP(AA16,Table1[],2,TRUE))</f>
        <v/>
      </c>
      <c r="AC16" s="104" t="str">
        <f>IF(AND(X16="",AA16=""),"",IF(OR(X16="-",AA16="-"),"-",IF(AND(X$3&lt;&gt;0,AA$3&lt;&gt;0),VLOOKUP(AVERAGE(X16,AA16),Table1[],2,TRUE),IF(AND(X$3&lt;&gt;0,AA$3=0),Y16,AB16))))</f>
        <v>C</v>
      </c>
      <c r="AD16" s="105"/>
      <c r="AE16" s="107" t="str">
        <f t="shared" si="4"/>
        <v>C</v>
      </c>
      <c r="AF16" s="155" t="s">
        <v>18</v>
      </c>
      <c r="AG16" s="156">
        <v>13</v>
      </c>
      <c r="AH16" s="157"/>
      <c r="AI16" s="157">
        <v>2</v>
      </c>
      <c r="AJ16" s="157"/>
      <c r="AK16" s="157"/>
      <c r="AL16" s="157"/>
      <c r="AM16" s="157"/>
      <c r="AN16" s="157"/>
      <c r="AO16" s="157"/>
      <c r="AP16" s="158"/>
      <c r="AQ16" s="159">
        <v>7</v>
      </c>
      <c r="AR16" s="157"/>
      <c r="AS16" s="157"/>
      <c r="AT16" s="157"/>
      <c r="AU16" s="157"/>
      <c r="AV16" s="157"/>
      <c r="AW16" s="157"/>
      <c r="AX16" s="157"/>
      <c r="AY16" s="157"/>
      <c r="AZ16" s="160"/>
      <c r="BA16" s="117">
        <f t="shared" si="5"/>
        <v>15</v>
      </c>
      <c r="BB16" s="100">
        <f t="shared" si="6"/>
        <v>0.68181818181818177</v>
      </c>
      <c r="BC16" s="99" t="str">
        <f>IF(BA16="","",VLOOKUP(BB16,Table1[],2,TRUE))</f>
        <v>B-</v>
      </c>
      <c r="BD16" s="101">
        <f t="shared" si="7"/>
        <v>7</v>
      </c>
      <c r="BE16" s="102">
        <f t="shared" si="8"/>
        <v>0.7</v>
      </c>
      <c r="BF16" s="103" t="str">
        <f>IF(BD16="","",VLOOKUP(BE16,Table1[],2,TRUE))</f>
        <v>B</v>
      </c>
      <c r="BG16" s="104" t="str">
        <f>IF(AND(BB16="",BE16=""),"",IF(OR(BB16="-",BE16="-"),"-",IF(AND(BB$3&lt;&gt;0,BE$3&lt;&gt;0),VLOOKUP(AVERAGE(BB16,BE16),Table1[],2,TRUE),IF(AND(BB$3&lt;&gt;0,BE$3=0),BC16,BF16))))</f>
        <v>B-</v>
      </c>
      <c r="BH16" s="105"/>
      <c r="BI16" s="107" t="str">
        <f t="shared" si="9"/>
        <v>B-</v>
      </c>
      <c r="BJ16" s="155" t="s">
        <v>18</v>
      </c>
      <c r="BK16" s="156"/>
      <c r="BL16" s="157"/>
      <c r="BM16" s="157"/>
      <c r="BN16" s="157"/>
      <c r="BO16" s="157"/>
      <c r="BP16" s="157"/>
      <c r="BQ16" s="157"/>
      <c r="BR16" s="157"/>
      <c r="BS16" s="157"/>
      <c r="BT16" s="158"/>
      <c r="BU16" s="159">
        <v>21.5</v>
      </c>
      <c r="BV16" s="157"/>
      <c r="BW16" s="157"/>
      <c r="BX16" s="157"/>
      <c r="BY16" s="157"/>
      <c r="BZ16" s="157"/>
      <c r="CA16" s="157"/>
      <c r="CB16" s="157"/>
      <c r="CC16" s="157"/>
      <c r="CD16" s="160"/>
      <c r="CE16" s="117" t="str">
        <f t="shared" si="10"/>
        <v/>
      </c>
      <c r="CF16" s="100" t="str">
        <f t="shared" si="11"/>
        <v/>
      </c>
      <c r="CG16" s="99" t="str">
        <f>IF(CE16="","",VLOOKUP(CF16,Table1[],2,TRUE))</f>
        <v/>
      </c>
      <c r="CH16" s="101">
        <f t="shared" si="12"/>
        <v>21.5</v>
      </c>
      <c r="CI16" s="102">
        <f t="shared" si="13"/>
        <v>0.71666666666666667</v>
      </c>
      <c r="CJ16" s="103" t="str">
        <f>IF(CH16="","",VLOOKUP(CI16,Table1[],2,TRUE))</f>
        <v>B</v>
      </c>
      <c r="CK16" s="104" t="str">
        <f>IF(AND(CF16="",CI16=""),"",IF(OR(CF16="-",CI16="-"),"-",IF(AND(CF$3&lt;&gt;0,CI$3&lt;&gt;0),VLOOKUP(AVERAGE(CF16,CI16),Table1[],2,TRUE),IF(AND(CF$3&lt;&gt;0,CI$3=0),CG16,CJ16))))</f>
        <v>B</v>
      </c>
      <c r="CL16" s="105"/>
      <c r="CM16" s="107" t="str">
        <f t="shared" si="14"/>
        <v>B</v>
      </c>
      <c r="CN16" s="155" t="s">
        <v>18</v>
      </c>
      <c r="CO16" s="156">
        <v>16</v>
      </c>
      <c r="CP16" s="157"/>
      <c r="CQ16" s="157">
        <v>3.5</v>
      </c>
      <c r="CR16" s="157"/>
      <c r="CS16" s="157"/>
      <c r="CT16" s="157"/>
      <c r="CU16" s="157"/>
      <c r="CV16" s="157"/>
      <c r="CW16" s="157"/>
      <c r="CX16" s="158"/>
      <c r="CY16" s="159">
        <v>4.5</v>
      </c>
      <c r="CZ16" s="157"/>
      <c r="DA16" s="157"/>
      <c r="DB16" s="157"/>
      <c r="DC16" s="157"/>
      <c r="DD16" s="157"/>
      <c r="DE16" s="157"/>
      <c r="DF16" s="157"/>
      <c r="DG16" s="157"/>
      <c r="DH16" s="160"/>
      <c r="DI16" s="117">
        <f t="shared" si="15"/>
        <v>19.5</v>
      </c>
      <c r="DJ16" s="100">
        <f t="shared" si="16"/>
        <v>0.73584905660377353</v>
      </c>
      <c r="DK16" s="99" t="str">
        <f>IF(DI16="","",VLOOKUP(DJ16,Table1[],2,TRUE))</f>
        <v>B</v>
      </c>
      <c r="DL16" s="101">
        <f t="shared" si="17"/>
        <v>4.5</v>
      </c>
      <c r="DM16" s="102">
        <f t="shared" si="18"/>
        <v>0.6428571428571429</v>
      </c>
      <c r="DN16" s="103" t="str">
        <f>IF(DL16="","",VLOOKUP(DM16,Table1[],2,TRUE))</f>
        <v>C+</v>
      </c>
      <c r="DO16" s="104" t="str">
        <f>IF(AND(DJ16="",DM16=""),"",IF(OR(DJ16="-",DM16="-"),"-",IF(AND(DJ$3&lt;&gt;0,DM$3&lt;&gt;0),VLOOKUP(AVERAGE(DJ16,DM16),Table1[],2,TRUE),IF(AND(DJ$3&lt;&gt;0,DM$3=0),DK16,DN16))))</f>
        <v>B-</v>
      </c>
      <c r="DP16" s="105"/>
      <c r="DQ16" s="107" t="str">
        <f t="shared" si="19"/>
        <v>B-</v>
      </c>
      <c r="DR16" s="155" t="s">
        <v>18</v>
      </c>
      <c r="DS16" s="171" t="s">
        <v>12</v>
      </c>
    </row>
    <row r="17" spans="1:123" s="61" customFormat="1" x14ac:dyDescent="0.25">
      <c r="A17" s="127" t="str">
        <f>IF(ISBLANK(ClassInformation!C22),"ZZZZZ",ClassInformation!C22)</f>
        <v>Harris</v>
      </c>
      <c r="B17" s="128" t="str">
        <f>IF(ISBLANK(ClassInformation!D22),"ZZZZZ",ClassInformation!D22)</f>
        <v>Emily</v>
      </c>
      <c r="C17" s="156">
        <v>6</v>
      </c>
      <c r="D17" s="157"/>
      <c r="E17" s="157">
        <v>10</v>
      </c>
      <c r="F17" s="157"/>
      <c r="G17" s="157">
        <v>6</v>
      </c>
      <c r="H17" s="157"/>
      <c r="I17" s="157"/>
      <c r="J17" s="157"/>
      <c r="K17" s="157"/>
      <c r="L17" s="158"/>
      <c r="M17" s="159"/>
      <c r="N17" s="157"/>
      <c r="O17" s="157"/>
      <c r="P17" s="157"/>
      <c r="Q17" s="157"/>
      <c r="R17" s="157"/>
      <c r="S17" s="157"/>
      <c r="T17" s="157"/>
      <c r="U17" s="157"/>
      <c r="V17" s="160"/>
      <c r="W17" s="117">
        <f t="shared" si="0"/>
        <v>22</v>
      </c>
      <c r="X17" s="100">
        <f t="shared" si="1"/>
        <v>0.55000000000000004</v>
      </c>
      <c r="Y17" s="99" t="str">
        <f>IF(W17="","",VLOOKUP(X17,Table1[],2,TRUE))</f>
        <v>C</v>
      </c>
      <c r="Z17" s="101" t="str">
        <f t="shared" si="2"/>
        <v/>
      </c>
      <c r="AA17" s="102" t="str">
        <f t="shared" si="3"/>
        <v/>
      </c>
      <c r="AB17" s="103" t="str">
        <f>IF(Z17="","",VLOOKUP(AA17,Table1[],2,TRUE))</f>
        <v/>
      </c>
      <c r="AC17" s="104" t="str">
        <f>IF(AND(X17="",AA17=""),"",IF(OR(X17="-",AA17="-"),"-",IF(AND(X$3&lt;&gt;0,AA$3&lt;&gt;0),VLOOKUP(AVERAGE(X17,AA17),Table1[],2,TRUE),IF(AND(X$3&lt;&gt;0,AA$3=0),Y17,AB17))))</f>
        <v>C</v>
      </c>
      <c r="AD17" s="105"/>
      <c r="AE17" s="107" t="str">
        <f t="shared" si="4"/>
        <v>C</v>
      </c>
      <c r="AF17" s="155" t="s">
        <v>18</v>
      </c>
      <c r="AG17" s="156">
        <v>14.5</v>
      </c>
      <c r="AH17" s="157"/>
      <c r="AI17" s="157">
        <v>2</v>
      </c>
      <c r="AJ17" s="157"/>
      <c r="AK17" s="157"/>
      <c r="AL17" s="157"/>
      <c r="AM17" s="157"/>
      <c r="AN17" s="157"/>
      <c r="AO17" s="157"/>
      <c r="AP17" s="158"/>
      <c r="AQ17" s="159">
        <v>5.5</v>
      </c>
      <c r="AR17" s="157"/>
      <c r="AS17" s="157"/>
      <c r="AT17" s="157"/>
      <c r="AU17" s="157"/>
      <c r="AV17" s="157"/>
      <c r="AW17" s="157"/>
      <c r="AX17" s="157"/>
      <c r="AY17" s="157"/>
      <c r="AZ17" s="160"/>
      <c r="BA17" s="117">
        <f t="shared" si="5"/>
        <v>16.5</v>
      </c>
      <c r="BB17" s="100">
        <f t="shared" si="6"/>
        <v>0.75</v>
      </c>
      <c r="BC17" s="99" t="str">
        <f>IF(BA17="","",VLOOKUP(BB17,Table1[],2,TRUE))</f>
        <v>B+</v>
      </c>
      <c r="BD17" s="101">
        <f t="shared" si="7"/>
        <v>5.5</v>
      </c>
      <c r="BE17" s="102">
        <f t="shared" si="8"/>
        <v>0.55000000000000004</v>
      </c>
      <c r="BF17" s="103" t="str">
        <f>IF(BD17="","",VLOOKUP(BE17,Table1[],2,TRUE))</f>
        <v>C</v>
      </c>
      <c r="BG17" s="104" t="str">
        <f>IF(AND(BB17="",BE17=""),"",IF(OR(BB17="-",BE17="-"),"-",IF(AND(BB$3&lt;&gt;0,BE$3&lt;&gt;0),VLOOKUP(AVERAGE(BB17,BE17),Table1[],2,TRUE),IF(AND(BB$3&lt;&gt;0,BE$3=0),BC17,BF17))))</f>
        <v>B-</v>
      </c>
      <c r="BH17" s="105"/>
      <c r="BI17" s="107" t="str">
        <f t="shared" si="9"/>
        <v>B-</v>
      </c>
      <c r="BJ17" s="155" t="s">
        <v>18</v>
      </c>
      <c r="BK17" s="156"/>
      <c r="BL17" s="157"/>
      <c r="BM17" s="157"/>
      <c r="BN17" s="157"/>
      <c r="BO17" s="157"/>
      <c r="BP17" s="157"/>
      <c r="BQ17" s="157"/>
      <c r="BR17" s="157"/>
      <c r="BS17" s="157"/>
      <c r="BT17" s="158"/>
      <c r="BU17" s="159">
        <v>23</v>
      </c>
      <c r="BV17" s="157"/>
      <c r="BW17" s="157"/>
      <c r="BX17" s="157"/>
      <c r="BY17" s="157"/>
      <c r="BZ17" s="157"/>
      <c r="CA17" s="157"/>
      <c r="CB17" s="157"/>
      <c r="CC17" s="157"/>
      <c r="CD17" s="160"/>
      <c r="CE17" s="117" t="str">
        <f t="shared" si="10"/>
        <v/>
      </c>
      <c r="CF17" s="100" t="str">
        <f t="shared" si="11"/>
        <v/>
      </c>
      <c r="CG17" s="99" t="str">
        <f>IF(CE17="","",VLOOKUP(CF17,Table1[],2,TRUE))</f>
        <v/>
      </c>
      <c r="CH17" s="101">
        <f t="shared" si="12"/>
        <v>23</v>
      </c>
      <c r="CI17" s="102">
        <f t="shared" si="13"/>
        <v>0.76666666666666672</v>
      </c>
      <c r="CJ17" s="103" t="str">
        <f>IF(CH17="","",VLOOKUP(CI17,Table1[],2,TRUE))</f>
        <v>B+</v>
      </c>
      <c r="CK17" s="104" t="str">
        <f>IF(AND(CF17="",CI17=""),"",IF(OR(CF17="-",CI17="-"),"-",IF(AND(CF$3&lt;&gt;0,CI$3&lt;&gt;0),VLOOKUP(AVERAGE(CF17,CI17),Table1[],2,TRUE),IF(AND(CF$3&lt;&gt;0,CI$3=0),CG17,CJ17))))</f>
        <v>B+</v>
      </c>
      <c r="CL17" s="105"/>
      <c r="CM17" s="107" t="str">
        <f t="shared" si="14"/>
        <v>B+</v>
      </c>
      <c r="CN17" s="155" t="s">
        <v>18</v>
      </c>
      <c r="CO17" s="156">
        <v>18.5</v>
      </c>
      <c r="CP17" s="157"/>
      <c r="CQ17" s="157">
        <v>3</v>
      </c>
      <c r="CR17" s="157"/>
      <c r="CS17" s="157"/>
      <c r="CT17" s="157"/>
      <c r="CU17" s="157"/>
      <c r="CV17" s="157"/>
      <c r="CW17" s="157"/>
      <c r="CX17" s="158"/>
      <c r="CY17" s="159">
        <v>4</v>
      </c>
      <c r="CZ17" s="157"/>
      <c r="DA17" s="157"/>
      <c r="DB17" s="157"/>
      <c r="DC17" s="157"/>
      <c r="DD17" s="157"/>
      <c r="DE17" s="157"/>
      <c r="DF17" s="157"/>
      <c r="DG17" s="157"/>
      <c r="DH17" s="160"/>
      <c r="DI17" s="117">
        <f t="shared" si="15"/>
        <v>21.5</v>
      </c>
      <c r="DJ17" s="100">
        <f t="shared" si="16"/>
        <v>0.81132075471698117</v>
      </c>
      <c r="DK17" s="99" t="str">
        <f>IF(DI17="","",VLOOKUP(DJ17,Table1[],2,TRUE))</f>
        <v>A-</v>
      </c>
      <c r="DL17" s="101">
        <f t="shared" si="17"/>
        <v>4</v>
      </c>
      <c r="DM17" s="102">
        <f t="shared" si="18"/>
        <v>0.5714285714285714</v>
      </c>
      <c r="DN17" s="103" t="str">
        <f>IF(DL17="","",VLOOKUP(DM17,Table1[],2,TRUE))</f>
        <v>C</v>
      </c>
      <c r="DO17" s="104" t="str">
        <f>IF(AND(DJ17="",DM17=""),"",IF(OR(DJ17="-",DM17="-"),"-",IF(AND(DJ$3&lt;&gt;0,DM$3&lt;&gt;0),VLOOKUP(AVERAGE(DJ17,DM17),Table1[],2,TRUE),IF(AND(DJ$3&lt;&gt;0,DM$3=0),DK17,DN17))))</f>
        <v>B-</v>
      </c>
      <c r="DP17" s="105"/>
      <c r="DQ17" s="107" t="str">
        <f t="shared" si="19"/>
        <v>B-</v>
      </c>
      <c r="DR17" s="155" t="s">
        <v>18</v>
      </c>
      <c r="DS17" s="171" t="s">
        <v>12</v>
      </c>
    </row>
    <row r="18" spans="1:123" s="61" customFormat="1" x14ac:dyDescent="0.25">
      <c r="A18" s="127" t="str">
        <f>IF(ISBLANK(ClassInformation!C23),"ZZZZZ",ClassInformation!C23)</f>
        <v>Harvey</v>
      </c>
      <c r="B18" s="128" t="str">
        <f>IF(ISBLANK(ClassInformation!D23),"ZZZZZ",ClassInformation!D23)</f>
        <v>Isabel</v>
      </c>
      <c r="C18" s="156">
        <v>5</v>
      </c>
      <c r="D18" s="157"/>
      <c r="E18" s="157"/>
      <c r="F18" s="157"/>
      <c r="G18" s="157"/>
      <c r="H18" s="157"/>
      <c r="I18" s="157"/>
      <c r="J18" s="157"/>
      <c r="K18" s="157"/>
      <c r="L18" s="158"/>
      <c r="M18" s="159"/>
      <c r="N18" s="157"/>
      <c r="O18" s="157"/>
      <c r="P18" s="157"/>
      <c r="Q18" s="157"/>
      <c r="R18" s="157"/>
      <c r="S18" s="157"/>
      <c r="T18" s="157"/>
      <c r="U18" s="157"/>
      <c r="V18" s="160"/>
      <c r="W18" s="117">
        <f t="shared" si="0"/>
        <v>5</v>
      </c>
      <c r="X18" s="100">
        <f t="shared" si="1"/>
        <v>0.125</v>
      </c>
      <c r="Y18" s="99" t="str">
        <f>IF(W18="","",VLOOKUP(X18,Table1[],2,TRUE))</f>
        <v>E</v>
      </c>
      <c r="Z18" s="101" t="str">
        <f t="shared" si="2"/>
        <v/>
      </c>
      <c r="AA18" s="102" t="str">
        <f t="shared" si="3"/>
        <v/>
      </c>
      <c r="AB18" s="103" t="str">
        <f>IF(Z18="","",VLOOKUP(AA18,Table1[],2,TRUE))</f>
        <v/>
      </c>
      <c r="AC18" s="104" t="str">
        <f>IF(AND(X18="",AA18=""),"",IF(OR(X18="-",AA18="-"),"-",IF(AND(X$3&lt;&gt;0,AA$3&lt;&gt;0),VLOOKUP(AVERAGE(X18,AA18),Table1[],2,TRUE),IF(AND(X$3&lt;&gt;0,AA$3=0),Y18,AB18))))</f>
        <v>E</v>
      </c>
      <c r="AD18" s="105"/>
      <c r="AE18" s="107" t="str">
        <f t="shared" si="4"/>
        <v>E</v>
      </c>
      <c r="AF18" s="155" t="s">
        <v>18</v>
      </c>
      <c r="AG18" s="156" t="s">
        <v>18</v>
      </c>
      <c r="AH18" s="157"/>
      <c r="AI18" s="157" t="s">
        <v>18</v>
      </c>
      <c r="AJ18" s="157"/>
      <c r="AK18" s="157"/>
      <c r="AL18" s="157"/>
      <c r="AM18" s="157"/>
      <c r="AN18" s="157"/>
      <c r="AO18" s="157"/>
      <c r="AP18" s="158"/>
      <c r="AQ18" s="159" t="s">
        <v>18</v>
      </c>
      <c r="AR18" s="157"/>
      <c r="AS18" s="157"/>
      <c r="AT18" s="157"/>
      <c r="AU18" s="157"/>
      <c r="AV18" s="157"/>
      <c r="AW18" s="157"/>
      <c r="AX18" s="157"/>
      <c r="AY18" s="157"/>
      <c r="AZ18" s="160"/>
      <c r="BA18" s="117" t="str">
        <f t="shared" si="5"/>
        <v>-</v>
      </c>
      <c r="BB18" s="100" t="str">
        <f t="shared" si="6"/>
        <v>-</v>
      </c>
      <c r="BC18" s="99" t="str">
        <f>IF(BA18="","",VLOOKUP(BB18,Table1[],2,TRUE))</f>
        <v>-</v>
      </c>
      <c r="BD18" s="101" t="str">
        <f t="shared" si="7"/>
        <v>-</v>
      </c>
      <c r="BE18" s="102" t="str">
        <f t="shared" si="8"/>
        <v>-</v>
      </c>
      <c r="BF18" s="103" t="str">
        <f>IF(BD18="","",VLOOKUP(BE18,Table1[],2,TRUE))</f>
        <v>-</v>
      </c>
      <c r="BG18" s="104" t="str">
        <f>IF(AND(BB18="",BE18=""),"",IF(OR(BB18="-",BE18="-"),"-",IF(AND(BB$3&lt;&gt;0,BE$3&lt;&gt;0),VLOOKUP(AVERAGE(BB18,BE18),Table1[],2,TRUE),IF(AND(BB$3&lt;&gt;0,BE$3=0),BC18,BF18))))</f>
        <v>-</v>
      </c>
      <c r="BH18" s="105"/>
      <c r="BI18" s="107" t="str">
        <f t="shared" si="9"/>
        <v>-</v>
      </c>
      <c r="BJ18" s="155" t="s">
        <v>18</v>
      </c>
      <c r="BK18" s="156"/>
      <c r="BL18" s="157"/>
      <c r="BM18" s="157"/>
      <c r="BN18" s="157"/>
      <c r="BO18" s="157"/>
      <c r="BP18" s="157"/>
      <c r="BQ18" s="157"/>
      <c r="BR18" s="157"/>
      <c r="BS18" s="157"/>
      <c r="BT18" s="158"/>
      <c r="BU18" s="159">
        <v>16</v>
      </c>
      <c r="BV18" s="157"/>
      <c r="BW18" s="157"/>
      <c r="BX18" s="157"/>
      <c r="BY18" s="157"/>
      <c r="BZ18" s="157"/>
      <c r="CA18" s="157"/>
      <c r="CB18" s="157"/>
      <c r="CC18" s="157"/>
      <c r="CD18" s="160"/>
      <c r="CE18" s="117" t="str">
        <f t="shared" si="10"/>
        <v/>
      </c>
      <c r="CF18" s="100" t="str">
        <f t="shared" si="11"/>
        <v/>
      </c>
      <c r="CG18" s="99" t="str">
        <f>IF(CE18="","",VLOOKUP(CF18,Table1[],2,TRUE))</f>
        <v/>
      </c>
      <c r="CH18" s="101">
        <f t="shared" si="12"/>
        <v>16</v>
      </c>
      <c r="CI18" s="102">
        <f t="shared" si="13"/>
        <v>0.53333333333333333</v>
      </c>
      <c r="CJ18" s="103" t="str">
        <f>IF(CH18="","",VLOOKUP(CI18,Table1[],2,TRUE))</f>
        <v>C</v>
      </c>
      <c r="CK18" s="104" t="str">
        <f>IF(AND(CF18="",CI18=""),"",IF(OR(CF18="-",CI18="-"),"-",IF(AND(CF$3&lt;&gt;0,CI$3&lt;&gt;0),VLOOKUP(AVERAGE(CF18,CI18),Table1[],2,TRUE),IF(AND(CF$3&lt;&gt;0,CI$3=0),CG18,CJ18))))</f>
        <v>C</v>
      </c>
      <c r="CL18" s="105"/>
      <c r="CM18" s="107" t="str">
        <f t="shared" si="14"/>
        <v>C</v>
      </c>
      <c r="CN18" s="155" t="s">
        <v>18</v>
      </c>
      <c r="CO18" s="156">
        <v>15.5</v>
      </c>
      <c r="CP18" s="157"/>
      <c r="CQ18" s="157">
        <v>2.5</v>
      </c>
      <c r="CR18" s="157"/>
      <c r="CS18" s="157"/>
      <c r="CT18" s="157"/>
      <c r="CU18" s="157"/>
      <c r="CV18" s="157"/>
      <c r="CW18" s="157"/>
      <c r="CX18" s="158"/>
      <c r="CY18" s="159">
        <v>3.5</v>
      </c>
      <c r="CZ18" s="157"/>
      <c r="DA18" s="157"/>
      <c r="DB18" s="157"/>
      <c r="DC18" s="157"/>
      <c r="DD18" s="157"/>
      <c r="DE18" s="157"/>
      <c r="DF18" s="157"/>
      <c r="DG18" s="157"/>
      <c r="DH18" s="160"/>
      <c r="DI18" s="117">
        <f t="shared" si="15"/>
        <v>18</v>
      </c>
      <c r="DJ18" s="100">
        <f t="shared" si="16"/>
        <v>0.67924528301886788</v>
      </c>
      <c r="DK18" s="99" t="str">
        <f>IF(DI18="","",VLOOKUP(DJ18,Table1[],2,TRUE))</f>
        <v>B-</v>
      </c>
      <c r="DL18" s="101">
        <f t="shared" si="17"/>
        <v>3.5</v>
      </c>
      <c r="DM18" s="102">
        <f t="shared" si="18"/>
        <v>0.5</v>
      </c>
      <c r="DN18" s="103" t="str">
        <f>IF(DL18="","",VLOOKUP(DM18,Table1[],2,TRUE))</f>
        <v>C-</v>
      </c>
      <c r="DO18" s="104" t="str">
        <f>IF(AND(DJ18="",DM18=""),"",IF(OR(DJ18="-",DM18="-"),"-",IF(AND(DJ$3&lt;&gt;0,DM$3&lt;&gt;0),VLOOKUP(AVERAGE(DJ18,DM18),Table1[],2,TRUE),IF(AND(DJ$3&lt;&gt;0,DM$3=0),DK18,DN18))))</f>
        <v>C</v>
      </c>
      <c r="DP18" s="105"/>
      <c r="DQ18" s="107" t="str">
        <f t="shared" si="19"/>
        <v>C</v>
      </c>
      <c r="DR18" s="155" t="s">
        <v>18</v>
      </c>
      <c r="DS18" s="171" t="s">
        <v>11</v>
      </c>
    </row>
    <row r="19" spans="1:123" s="61" customFormat="1" x14ac:dyDescent="0.25">
      <c r="A19" s="127" t="str">
        <f>IF(ISBLANK(ClassInformation!C24),"ZZZZZ",ClassInformation!C24)</f>
        <v>Macdonald</v>
      </c>
      <c r="B19" s="128" t="str">
        <f>IF(ISBLANK(ClassInformation!D24),"ZZZZZ",ClassInformation!D24)</f>
        <v>Dominic</v>
      </c>
      <c r="C19" s="156">
        <v>6</v>
      </c>
      <c r="D19" s="157"/>
      <c r="E19" s="157">
        <v>10</v>
      </c>
      <c r="F19" s="157"/>
      <c r="G19" s="157">
        <v>6</v>
      </c>
      <c r="H19" s="157"/>
      <c r="I19" s="157"/>
      <c r="J19" s="157"/>
      <c r="K19" s="157"/>
      <c r="L19" s="158"/>
      <c r="M19" s="159"/>
      <c r="N19" s="157"/>
      <c r="O19" s="157"/>
      <c r="P19" s="157"/>
      <c r="Q19" s="157"/>
      <c r="R19" s="157"/>
      <c r="S19" s="157"/>
      <c r="T19" s="157"/>
      <c r="U19" s="157"/>
      <c r="V19" s="160"/>
      <c r="W19" s="117">
        <f t="shared" si="0"/>
        <v>22</v>
      </c>
      <c r="X19" s="100">
        <f t="shared" si="1"/>
        <v>0.55000000000000004</v>
      </c>
      <c r="Y19" s="99" t="str">
        <f>IF(W19="","",VLOOKUP(X19,Table1[],2,TRUE))</f>
        <v>C</v>
      </c>
      <c r="Z19" s="101" t="str">
        <f t="shared" si="2"/>
        <v/>
      </c>
      <c r="AA19" s="102" t="str">
        <f t="shared" si="3"/>
        <v/>
      </c>
      <c r="AB19" s="103" t="str">
        <f>IF(Z19="","",VLOOKUP(AA19,Table1[],2,TRUE))</f>
        <v/>
      </c>
      <c r="AC19" s="104" t="str">
        <f>IF(AND(X19="",AA19=""),"",IF(OR(X19="-",AA19="-"),"-",IF(AND(X$3&lt;&gt;0,AA$3&lt;&gt;0),VLOOKUP(AVERAGE(X19,AA19),Table1[],2,TRUE),IF(AND(X$3&lt;&gt;0,AA$3=0),Y19,AB19))))</f>
        <v>C</v>
      </c>
      <c r="AD19" s="105"/>
      <c r="AE19" s="107" t="str">
        <f t="shared" si="4"/>
        <v>C</v>
      </c>
      <c r="AF19" s="155" t="s">
        <v>18</v>
      </c>
      <c r="AG19" s="156">
        <v>12</v>
      </c>
      <c r="AH19" s="157"/>
      <c r="AI19" s="157">
        <v>2</v>
      </c>
      <c r="AJ19" s="157"/>
      <c r="AK19" s="157"/>
      <c r="AL19" s="157"/>
      <c r="AM19" s="157"/>
      <c r="AN19" s="157"/>
      <c r="AO19" s="157"/>
      <c r="AP19" s="158"/>
      <c r="AQ19" s="159">
        <v>6</v>
      </c>
      <c r="AR19" s="157"/>
      <c r="AS19" s="157"/>
      <c r="AT19" s="157"/>
      <c r="AU19" s="157"/>
      <c r="AV19" s="157"/>
      <c r="AW19" s="157"/>
      <c r="AX19" s="157"/>
      <c r="AY19" s="157"/>
      <c r="AZ19" s="160"/>
      <c r="BA19" s="117">
        <f t="shared" si="5"/>
        <v>14</v>
      </c>
      <c r="BB19" s="100">
        <f t="shared" si="6"/>
        <v>0.63636363636363635</v>
      </c>
      <c r="BC19" s="99" t="str">
        <f>IF(BA19="","",VLOOKUP(BB19,Table1[],2,TRUE))</f>
        <v>C+</v>
      </c>
      <c r="BD19" s="101">
        <f t="shared" si="7"/>
        <v>6</v>
      </c>
      <c r="BE19" s="102">
        <f t="shared" si="8"/>
        <v>0.6</v>
      </c>
      <c r="BF19" s="103" t="str">
        <f>IF(BD19="","",VLOOKUP(BE19,Table1[],2,TRUE))</f>
        <v>C+</v>
      </c>
      <c r="BG19" s="104" t="str">
        <f>IF(AND(BB19="",BE19=""),"",IF(OR(BB19="-",BE19="-"),"-",IF(AND(BB$3&lt;&gt;0,BE$3&lt;&gt;0),VLOOKUP(AVERAGE(BB19,BE19),Table1[],2,TRUE),IF(AND(BB$3&lt;&gt;0,BE$3=0),BC19,BF19))))</f>
        <v>C+</v>
      </c>
      <c r="BH19" s="105"/>
      <c r="BI19" s="107" t="str">
        <f t="shared" si="9"/>
        <v>C+</v>
      </c>
      <c r="BJ19" s="155" t="s">
        <v>18</v>
      </c>
      <c r="BK19" s="156"/>
      <c r="BL19" s="157"/>
      <c r="BM19" s="157"/>
      <c r="BN19" s="157"/>
      <c r="BO19" s="157"/>
      <c r="BP19" s="157"/>
      <c r="BQ19" s="157"/>
      <c r="BR19" s="157"/>
      <c r="BS19" s="157"/>
      <c r="BT19" s="158"/>
      <c r="BU19" s="159">
        <v>24.5</v>
      </c>
      <c r="BV19" s="157"/>
      <c r="BW19" s="157"/>
      <c r="BX19" s="157"/>
      <c r="BY19" s="157"/>
      <c r="BZ19" s="157"/>
      <c r="CA19" s="157"/>
      <c r="CB19" s="157"/>
      <c r="CC19" s="157"/>
      <c r="CD19" s="160"/>
      <c r="CE19" s="117" t="str">
        <f t="shared" si="10"/>
        <v/>
      </c>
      <c r="CF19" s="100" t="str">
        <f t="shared" si="11"/>
        <v/>
      </c>
      <c r="CG19" s="99" t="str">
        <f>IF(CE19="","",VLOOKUP(CF19,Table1[],2,TRUE))</f>
        <v/>
      </c>
      <c r="CH19" s="101">
        <f t="shared" si="12"/>
        <v>24.5</v>
      </c>
      <c r="CI19" s="102">
        <f t="shared" si="13"/>
        <v>0.81666666666666665</v>
      </c>
      <c r="CJ19" s="103" t="str">
        <f>IF(CH19="","",VLOOKUP(CI19,Table1[],2,TRUE))</f>
        <v>A-</v>
      </c>
      <c r="CK19" s="104" t="str">
        <f>IF(AND(CF19="",CI19=""),"",IF(OR(CF19="-",CI19="-"),"-",IF(AND(CF$3&lt;&gt;0,CI$3&lt;&gt;0),VLOOKUP(AVERAGE(CF19,CI19),Table1[],2,TRUE),IF(AND(CF$3&lt;&gt;0,CI$3=0),CG19,CJ19))))</f>
        <v>A-</v>
      </c>
      <c r="CL19" s="105"/>
      <c r="CM19" s="107" t="str">
        <f t="shared" si="14"/>
        <v>A-</v>
      </c>
      <c r="CN19" s="155" t="s">
        <v>18</v>
      </c>
      <c r="CO19" s="156">
        <v>14</v>
      </c>
      <c r="CP19" s="157"/>
      <c r="CQ19" s="157">
        <v>1.5</v>
      </c>
      <c r="CR19" s="157"/>
      <c r="CS19" s="157"/>
      <c r="CT19" s="157"/>
      <c r="CU19" s="157"/>
      <c r="CV19" s="157"/>
      <c r="CW19" s="157"/>
      <c r="CX19" s="158"/>
      <c r="CY19" s="159">
        <v>5.5</v>
      </c>
      <c r="CZ19" s="157"/>
      <c r="DA19" s="157"/>
      <c r="DB19" s="157"/>
      <c r="DC19" s="157"/>
      <c r="DD19" s="157"/>
      <c r="DE19" s="157"/>
      <c r="DF19" s="157"/>
      <c r="DG19" s="157"/>
      <c r="DH19" s="160"/>
      <c r="DI19" s="117">
        <f t="shared" si="15"/>
        <v>15.5</v>
      </c>
      <c r="DJ19" s="100">
        <f t="shared" si="16"/>
        <v>0.58490566037735847</v>
      </c>
      <c r="DK19" s="99" t="str">
        <f>IF(DI19="","",VLOOKUP(DJ19,Table1[],2,TRUE))</f>
        <v>C</v>
      </c>
      <c r="DL19" s="101">
        <f t="shared" si="17"/>
        <v>5.5</v>
      </c>
      <c r="DM19" s="102">
        <f t="shared" si="18"/>
        <v>0.7857142857142857</v>
      </c>
      <c r="DN19" s="103" t="str">
        <f>IF(DL19="","",VLOOKUP(DM19,Table1[],2,TRUE))</f>
        <v>B+</v>
      </c>
      <c r="DO19" s="104" t="str">
        <f>IF(AND(DJ19="",DM19=""),"",IF(OR(DJ19="-",DM19="-"),"-",IF(AND(DJ$3&lt;&gt;0,DM$3&lt;&gt;0),VLOOKUP(AVERAGE(DJ19,DM19),Table1[],2,TRUE),IF(AND(DJ$3&lt;&gt;0,DM$3=0),DK19,DN19))))</f>
        <v>B-</v>
      </c>
      <c r="DP19" s="105"/>
      <c r="DQ19" s="107" t="str">
        <f t="shared" si="19"/>
        <v>B-</v>
      </c>
      <c r="DR19" s="155" t="s">
        <v>18</v>
      </c>
      <c r="DS19" s="171" t="s">
        <v>11</v>
      </c>
    </row>
    <row r="20" spans="1:123" s="61" customFormat="1" x14ac:dyDescent="0.25">
      <c r="A20" s="127" t="str">
        <f>IF(ISBLANK(ClassInformation!C25),"ZZZZZ",ClassInformation!C25)</f>
        <v>Manolis</v>
      </c>
      <c r="B20" s="128" t="str">
        <f>IF(ISBLANK(ClassInformation!D25),"ZZZZZ",ClassInformation!D25)</f>
        <v>India</v>
      </c>
      <c r="C20" s="156">
        <v>7</v>
      </c>
      <c r="D20" s="157"/>
      <c r="E20" s="157">
        <v>9</v>
      </c>
      <c r="F20" s="157"/>
      <c r="G20" s="157">
        <v>8</v>
      </c>
      <c r="H20" s="157"/>
      <c r="I20" s="157"/>
      <c r="J20" s="157"/>
      <c r="K20" s="157"/>
      <c r="L20" s="158"/>
      <c r="M20" s="159"/>
      <c r="N20" s="157"/>
      <c r="O20" s="157"/>
      <c r="P20" s="157"/>
      <c r="Q20" s="157"/>
      <c r="R20" s="157"/>
      <c r="S20" s="157"/>
      <c r="T20" s="157"/>
      <c r="U20" s="157"/>
      <c r="V20" s="160"/>
      <c r="W20" s="117">
        <f t="shared" si="0"/>
        <v>24</v>
      </c>
      <c r="X20" s="100">
        <f t="shared" si="1"/>
        <v>0.6</v>
      </c>
      <c r="Y20" s="99" t="str">
        <f>IF(W20="","",VLOOKUP(X20,Table1[],2,TRUE))</f>
        <v>C+</v>
      </c>
      <c r="Z20" s="101" t="str">
        <f t="shared" si="2"/>
        <v/>
      </c>
      <c r="AA20" s="102" t="str">
        <f t="shared" si="3"/>
        <v/>
      </c>
      <c r="AB20" s="103" t="str">
        <f>IF(Z20="","",VLOOKUP(AA20,Table1[],2,TRUE))</f>
        <v/>
      </c>
      <c r="AC20" s="104" t="str">
        <f>IF(AND(X20="",AA20=""),"",IF(OR(X20="-",AA20="-"),"-",IF(AND(X$3&lt;&gt;0,AA$3&lt;&gt;0),VLOOKUP(AVERAGE(X20,AA20),Table1[],2,TRUE),IF(AND(X$3&lt;&gt;0,AA$3=0),Y20,AB20))))</f>
        <v>C+</v>
      </c>
      <c r="AD20" s="105"/>
      <c r="AE20" s="107" t="str">
        <f t="shared" si="4"/>
        <v>C+</v>
      </c>
      <c r="AF20" s="155" t="s">
        <v>18</v>
      </c>
      <c r="AG20" s="156">
        <v>12</v>
      </c>
      <c r="AH20" s="157"/>
      <c r="AI20" s="157">
        <v>3</v>
      </c>
      <c r="AJ20" s="157"/>
      <c r="AK20" s="157"/>
      <c r="AL20" s="157"/>
      <c r="AM20" s="157"/>
      <c r="AN20" s="157"/>
      <c r="AO20" s="157"/>
      <c r="AP20" s="158"/>
      <c r="AQ20" s="159">
        <v>6.5</v>
      </c>
      <c r="AR20" s="157"/>
      <c r="AS20" s="157"/>
      <c r="AT20" s="157"/>
      <c r="AU20" s="157"/>
      <c r="AV20" s="157"/>
      <c r="AW20" s="157"/>
      <c r="AX20" s="157"/>
      <c r="AY20" s="157"/>
      <c r="AZ20" s="160"/>
      <c r="BA20" s="117">
        <f t="shared" si="5"/>
        <v>15</v>
      </c>
      <c r="BB20" s="100">
        <f t="shared" si="6"/>
        <v>0.68181818181818177</v>
      </c>
      <c r="BC20" s="99" t="str">
        <f>IF(BA20="","",VLOOKUP(BB20,Table1[],2,TRUE))</f>
        <v>B-</v>
      </c>
      <c r="BD20" s="101">
        <f t="shared" si="7"/>
        <v>6.5</v>
      </c>
      <c r="BE20" s="102">
        <f t="shared" si="8"/>
        <v>0.65</v>
      </c>
      <c r="BF20" s="103" t="str">
        <f>IF(BD20="","",VLOOKUP(BE20,Table1[],2,TRUE))</f>
        <v>B-</v>
      </c>
      <c r="BG20" s="104" t="str">
        <f>IF(AND(BB20="",BE20=""),"",IF(OR(BB20="-",BE20="-"),"-",IF(AND(BB$3&lt;&gt;0,BE$3&lt;&gt;0),VLOOKUP(AVERAGE(BB20,BE20),Table1[],2,TRUE),IF(AND(BB$3&lt;&gt;0,BE$3=0),BC20,BF20))))</f>
        <v>B-</v>
      </c>
      <c r="BH20" s="105"/>
      <c r="BI20" s="107" t="str">
        <f t="shared" si="9"/>
        <v>B-</v>
      </c>
      <c r="BJ20" s="155" t="s">
        <v>18</v>
      </c>
      <c r="BK20" s="156"/>
      <c r="BL20" s="157"/>
      <c r="BM20" s="157"/>
      <c r="BN20" s="157"/>
      <c r="BO20" s="157"/>
      <c r="BP20" s="157"/>
      <c r="BQ20" s="157"/>
      <c r="BR20" s="157"/>
      <c r="BS20" s="157"/>
      <c r="BT20" s="158"/>
      <c r="BU20" s="159">
        <v>19</v>
      </c>
      <c r="BV20" s="157"/>
      <c r="BW20" s="157"/>
      <c r="BX20" s="157"/>
      <c r="BY20" s="157"/>
      <c r="BZ20" s="157"/>
      <c r="CA20" s="157"/>
      <c r="CB20" s="157"/>
      <c r="CC20" s="157"/>
      <c r="CD20" s="160"/>
      <c r="CE20" s="117" t="str">
        <f t="shared" si="10"/>
        <v/>
      </c>
      <c r="CF20" s="100" t="str">
        <f t="shared" si="11"/>
        <v/>
      </c>
      <c r="CG20" s="99" t="str">
        <f>IF(CE20="","",VLOOKUP(CF20,Table1[],2,TRUE))</f>
        <v/>
      </c>
      <c r="CH20" s="101">
        <f t="shared" si="12"/>
        <v>19</v>
      </c>
      <c r="CI20" s="102">
        <f t="shared" si="13"/>
        <v>0.6333333333333333</v>
      </c>
      <c r="CJ20" s="103" t="str">
        <f>IF(CH20="","",VLOOKUP(CI20,Table1[],2,TRUE))</f>
        <v>C+</v>
      </c>
      <c r="CK20" s="104" t="str">
        <f>IF(AND(CF20="",CI20=""),"",IF(OR(CF20="-",CI20="-"),"-",IF(AND(CF$3&lt;&gt;0,CI$3&lt;&gt;0),VLOOKUP(AVERAGE(CF20,CI20),Table1[],2,TRUE),IF(AND(CF$3&lt;&gt;0,CI$3=0),CG20,CJ20))))</f>
        <v>C+</v>
      </c>
      <c r="CL20" s="105"/>
      <c r="CM20" s="107" t="str">
        <f t="shared" si="14"/>
        <v>C+</v>
      </c>
      <c r="CN20" s="155" t="s">
        <v>18</v>
      </c>
      <c r="CO20" s="156">
        <v>15</v>
      </c>
      <c r="CP20" s="157"/>
      <c r="CQ20" s="157">
        <v>4.5</v>
      </c>
      <c r="CR20" s="157"/>
      <c r="CS20" s="157"/>
      <c r="CT20" s="157"/>
      <c r="CU20" s="157"/>
      <c r="CV20" s="157"/>
      <c r="CW20" s="157"/>
      <c r="CX20" s="158"/>
      <c r="CY20" s="159">
        <v>4</v>
      </c>
      <c r="CZ20" s="157"/>
      <c r="DA20" s="157"/>
      <c r="DB20" s="157"/>
      <c r="DC20" s="157"/>
      <c r="DD20" s="157"/>
      <c r="DE20" s="157"/>
      <c r="DF20" s="157"/>
      <c r="DG20" s="157"/>
      <c r="DH20" s="160"/>
      <c r="DI20" s="117">
        <f t="shared" si="15"/>
        <v>19.5</v>
      </c>
      <c r="DJ20" s="100">
        <f t="shared" si="16"/>
        <v>0.73584905660377353</v>
      </c>
      <c r="DK20" s="99" t="str">
        <f>IF(DI20="","",VLOOKUP(DJ20,Table1[],2,TRUE))</f>
        <v>B</v>
      </c>
      <c r="DL20" s="101">
        <f t="shared" si="17"/>
        <v>4</v>
      </c>
      <c r="DM20" s="102">
        <f t="shared" si="18"/>
        <v>0.5714285714285714</v>
      </c>
      <c r="DN20" s="103" t="str">
        <f>IF(DL20="","",VLOOKUP(DM20,Table1[],2,TRUE))</f>
        <v>C</v>
      </c>
      <c r="DO20" s="104" t="str">
        <f>IF(AND(DJ20="",DM20=""),"",IF(OR(DJ20="-",DM20="-"),"-",IF(AND(DJ$3&lt;&gt;0,DM$3&lt;&gt;0),VLOOKUP(AVERAGE(DJ20,DM20),Table1[],2,TRUE),IF(AND(DJ$3&lt;&gt;0,DM$3=0),DK20,DN20))))</f>
        <v>B-</v>
      </c>
      <c r="DP20" s="105"/>
      <c r="DQ20" s="107" t="str">
        <f t="shared" si="19"/>
        <v>B-</v>
      </c>
      <c r="DR20" s="155" t="s">
        <v>18</v>
      </c>
      <c r="DS20" s="171" t="s">
        <v>13</v>
      </c>
    </row>
    <row r="21" spans="1:123" s="61" customFormat="1" x14ac:dyDescent="0.25">
      <c r="A21" s="127" t="str">
        <f>IF(ISBLANK(ClassInformation!C26),"ZZZZZ",ClassInformation!C26)</f>
        <v>Milton</v>
      </c>
      <c r="B21" s="128" t="str">
        <f>IF(ISBLANK(ClassInformation!D26),"ZZZZZ",ClassInformation!D26)</f>
        <v>Charlie</v>
      </c>
      <c r="C21" s="156"/>
      <c r="D21" s="157"/>
      <c r="E21" s="157"/>
      <c r="F21" s="157"/>
      <c r="G21" s="157">
        <v>9</v>
      </c>
      <c r="H21" s="157"/>
      <c r="I21" s="157"/>
      <c r="J21" s="157"/>
      <c r="K21" s="157"/>
      <c r="L21" s="158"/>
      <c r="M21" s="159"/>
      <c r="N21" s="157"/>
      <c r="O21" s="157"/>
      <c r="P21" s="157"/>
      <c r="Q21" s="157"/>
      <c r="R21" s="157"/>
      <c r="S21" s="157"/>
      <c r="T21" s="157"/>
      <c r="U21" s="157"/>
      <c r="V21" s="160"/>
      <c r="W21" s="117">
        <f t="shared" si="0"/>
        <v>9</v>
      </c>
      <c r="X21" s="100">
        <f t="shared" si="1"/>
        <v>0.22500000000000001</v>
      </c>
      <c r="Y21" s="99" t="str">
        <f>IF(W21="","",VLOOKUP(X21,Table1[],2,TRUE))</f>
        <v>E+</v>
      </c>
      <c r="Z21" s="101" t="str">
        <f t="shared" si="2"/>
        <v/>
      </c>
      <c r="AA21" s="102" t="str">
        <f t="shared" si="3"/>
        <v/>
      </c>
      <c r="AB21" s="103" t="str">
        <f>IF(Z21="","",VLOOKUP(AA21,Table1[],2,TRUE))</f>
        <v/>
      </c>
      <c r="AC21" s="104" t="str">
        <f>IF(AND(X21="",AA21=""),"",IF(OR(X21="-",AA21="-"),"-",IF(AND(X$3&lt;&gt;0,AA$3&lt;&gt;0),VLOOKUP(AVERAGE(X21,AA21),Table1[],2,TRUE),IF(AND(X$3&lt;&gt;0,AA$3=0),Y21,AB21))))</f>
        <v>E+</v>
      </c>
      <c r="AD21" s="105"/>
      <c r="AE21" s="107" t="str">
        <f t="shared" si="4"/>
        <v>E+</v>
      </c>
      <c r="AF21" s="155" t="s">
        <v>18</v>
      </c>
      <c r="AG21" s="156">
        <v>10</v>
      </c>
      <c r="AH21" s="157"/>
      <c r="AI21" s="157">
        <v>1</v>
      </c>
      <c r="AJ21" s="157"/>
      <c r="AK21" s="157"/>
      <c r="AL21" s="157"/>
      <c r="AM21" s="157"/>
      <c r="AN21" s="157"/>
      <c r="AO21" s="157"/>
      <c r="AP21" s="158"/>
      <c r="AQ21" s="159">
        <v>6.5</v>
      </c>
      <c r="AR21" s="157"/>
      <c r="AS21" s="157"/>
      <c r="AT21" s="157"/>
      <c r="AU21" s="157"/>
      <c r="AV21" s="157"/>
      <c r="AW21" s="157"/>
      <c r="AX21" s="157"/>
      <c r="AY21" s="157"/>
      <c r="AZ21" s="160"/>
      <c r="BA21" s="117">
        <f t="shared" si="5"/>
        <v>11</v>
      </c>
      <c r="BB21" s="100">
        <f t="shared" si="6"/>
        <v>0.5</v>
      </c>
      <c r="BC21" s="99" t="str">
        <f>IF(BA21="","",VLOOKUP(BB21,Table1[],2,TRUE))</f>
        <v>C-</v>
      </c>
      <c r="BD21" s="101">
        <f t="shared" si="7"/>
        <v>6.5</v>
      </c>
      <c r="BE21" s="102">
        <f t="shared" si="8"/>
        <v>0.65</v>
      </c>
      <c r="BF21" s="103" t="str">
        <f>IF(BD21="","",VLOOKUP(BE21,Table1[],2,TRUE))</f>
        <v>B-</v>
      </c>
      <c r="BG21" s="104" t="str">
        <f>IF(AND(BB21="",BE21=""),"",IF(OR(BB21="-",BE21="-"),"-",IF(AND(BB$3&lt;&gt;0,BE$3&lt;&gt;0),VLOOKUP(AVERAGE(BB21,BE21),Table1[],2,TRUE),IF(AND(BB$3&lt;&gt;0,BE$3=0),BC21,BF21))))</f>
        <v>C</v>
      </c>
      <c r="BH21" s="105"/>
      <c r="BI21" s="107" t="str">
        <f t="shared" si="9"/>
        <v>C</v>
      </c>
      <c r="BJ21" s="155" t="s">
        <v>18</v>
      </c>
      <c r="BK21" s="156"/>
      <c r="BL21" s="157"/>
      <c r="BM21" s="157"/>
      <c r="BN21" s="157"/>
      <c r="BO21" s="157"/>
      <c r="BP21" s="157"/>
      <c r="BQ21" s="157"/>
      <c r="BR21" s="157"/>
      <c r="BS21" s="157"/>
      <c r="BT21" s="158"/>
      <c r="BU21" s="159">
        <v>16</v>
      </c>
      <c r="BV21" s="157"/>
      <c r="BW21" s="157"/>
      <c r="BX21" s="157"/>
      <c r="BY21" s="157"/>
      <c r="BZ21" s="157"/>
      <c r="CA21" s="157"/>
      <c r="CB21" s="157"/>
      <c r="CC21" s="157"/>
      <c r="CD21" s="160"/>
      <c r="CE21" s="117" t="str">
        <f t="shared" si="10"/>
        <v/>
      </c>
      <c r="CF21" s="100" t="str">
        <f t="shared" si="11"/>
        <v/>
      </c>
      <c r="CG21" s="99" t="str">
        <f>IF(CE21="","",VLOOKUP(CF21,Table1[],2,TRUE))</f>
        <v/>
      </c>
      <c r="CH21" s="101">
        <f t="shared" si="12"/>
        <v>16</v>
      </c>
      <c r="CI21" s="102">
        <f t="shared" si="13"/>
        <v>0.53333333333333333</v>
      </c>
      <c r="CJ21" s="103" t="str">
        <f>IF(CH21="","",VLOOKUP(CI21,Table1[],2,TRUE))</f>
        <v>C</v>
      </c>
      <c r="CK21" s="104" t="str">
        <f>IF(AND(CF21="",CI21=""),"",IF(OR(CF21="-",CI21="-"),"-",IF(AND(CF$3&lt;&gt;0,CI$3&lt;&gt;0),VLOOKUP(AVERAGE(CF21,CI21),Table1[],2,TRUE),IF(AND(CF$3&lt;&gt;0,CI$3=0),CG21,CJ21))))</f>
        <v>C</v>
      </c>
      <c r="CL21" s="105"/>
      <c r="CM21" s="107" t="str">
        <f t="shared" si="14"/>
        <v>C</v>
      </c>
      <c r="CN21" s="155" t="s">
        <v>18</v>
      </c>
      <c r="CO21" s="156">
        <v>11.5</v>
      </c>
      <c r="CP21" s="157"/>
      <c r="CQ21" s="157">
        <v>1.5</v>
      </c>
      <c r="CR21" s="157"/>
      <c r="CS21" s="157"/>
      <c r="CT21" s="157"/>
      <c r="CU21" s="157"/>
      <c r="CV21" s="157"/>
      <c r="CW21" s="157"/>
      <c r="CX21" s="158"/>
      <c r="CY21" s="159">
        <v>3</v>
      </c>
      <c r="CZ21" s="157"/>
      <c r="DA21" s="157"/>
      <c r="DB21" s="157"/>
      <c r="DC21" s="157"/>
      <c r="DD21" s="157"/>
      <c r="DE21" s="157"/>
      <c r="DF21" s="157"/>
      <c r="DG21" s="157"/>
      <c r="DH21" s="160"/>
      <c r="DI21" s="117">
        <f t="shared" si="15"/>
        <v>13</v>
      </c>
      <c r="DJ21" s="100">
        <f t="shared" si="16"/>
        <v>0.49056603773584906</v>
      </c>
      <c r="DK21" s="99" t="str">
        <f>IF(DI21="","",VLOOKUP(DJ21,Table1[],2,TRUE))</f>
        <v>C-</v>
      </c>
      <c r="DL21" s="101">
        <f t="shared" si="17"/>
        <v>3</v>
      </c>
      <c r="DM21" s="102">
        <f t="shared" si="18"/>
        <v>0.42857142857142855</v>
      </c>
      <c r="DN21" s="103" t="str">
        <f>IF(DL21="","",VLOOKUP(DM21,Table1[],2,TRUE))</f>
        <v>D+</v>
      </c>
      <c r="DO21" s="104" t="str">
        <f>IF(AND(DJ21="",DM21=""),"",IF(OR(DJ21="-",DM21="-"),"-",IF(AND(DJ$3&lt;&gt;0,DM$3&lt;&gt;0),VLOOKUP(AVERAGE(DJ21,DM21),Table1[],2,TRUE),IF(AND(DJ$3&lt;&gt;0,DM$3=0),DK21,DN21))))</f>
        <v>C-</v>
      </c>
      <c r="DP21" s="105"/>
      <c r="DQ21" s="107" t="str">
        <f t="shared" si="19"/>
        <v>C-</v>
      </c>
      <c r="DR21" s="155" t="s">
        <v>18</v>
      </c>
      <c r="DS21" s="171" t="s">
        <v>9</v>
      </c>
    </row>
    <row r="22" spans="1:123" s="61" customFormat="1" x14ac:dyDescent="0.25">
      <c r="A22" s="127" t="str">
        <f>IF(ISBLANK(ClassInformation!C27),"ZZZZZ",ClassInformation!C27)</f>
        <v>Olguin</v>
      </c>
      <c r="B22" s="128" t="str">
        <f>IF(ISBLANK(ClassInformation!D27),"ZZZZZ",ClassInformation!D27)</f>
        <v>Scarlett</v>
      </c>
      <c r="C22" s="156">
        <v>4</v>
      </c>
      <c r="D22" s="157"/>
      <c r="E22" s="157">
        <v>10</v>
      </c>
      <c r="F22" s="157"/>
      <c r="G22" s="157">
        <v>6</v>
      </c>
      <c r="H22" s="157"/>
      <c r="I22" s="157"/>
      <c r="J22" s="157"/>
      <c r="K22" s="157"/>
      <c r="L22" s="158"/>
      <c r="M22" s="159"/>
      <c r="N22" s="157"/>
      <c r="O22" s="157"/>
      <c r="P22" s="157"/>
      <c r="Q22" s="157"/>
      <c r="R22" s="157"/>
      <c r="S22" s="157"/>
      <c r="T22" s="157"/>
      <c r="U22" s="157"/>
      <c r="V22" s="160"/>
      <c r="W22" s="117">
        <f t="shared" si="0"/>
        <v>20</v>
      </c>
      <c r="X22" s="100">
        <f t="shared" si="1"/>
        <v>0.5</v>
      </c>
      <c r="Y22" s="99" t="str">
        <f>IF(W22="","",VLOOKUP(X22,Table1[],2,TRUE))</f>
        <v>C-</v>
      </c>
      <c r="Z22" s="101" t="str">
        <f t="shared" si="2"/>
        <v/>
      </c>
      <c r="AA22" s="102" t="str">
        <f t="shared" si="3"/>
        <v/>
      </c>
      <c r="AB22" s="103" t="str">
        <f>IF(Z22="","",VLOOKUP(AA22,Table1[],2,TRUE))</f>
        <v/>
      </c>
      <c r="AC22" s="104" t="str">
        <f>IF(AND(X22="",AA22=""),"",IF(OR(X22="-",AA22="-"),"-",IF(AND(X$3&lt;&gt;0,AA$3&lt;&gt;0),VLOOKUP(AVERAGE(X22,AA22),Table1[],2,TRUE),IF(AND(X$3&lt;&gt;0,AA$3=0),Y22,AB22))))</f>
        <v>C-</v>
      </c>
      <c r="AD22" s="105"/>
      <c r="AE22" s="107" t="str">
        <f t="shared" si="4"/>
        <v>C-</v>
      </c>
      <c r="AF22" s="155" t="s">
        <v>18</v>
      </c>
      <c r="AG22" s="156">
        <v>8</v>
      </c>
      <c r="AH22" s="157"/>
      <c r="AI22" s="157">
        <v>1</v>
      </c>
      <c r="AJ22" s="157"/>
      <c r="AK22" s="157"/>
      <c r="AL22" s="157"/>
      <c r="AM22" s="157"/>
      <c r="AN22" s="157"/>
      <c r="AO22" s="157"/>
      <c r="AP22" s="158"/>
      <c r="AQ22" s="159">
        <v>6.5</v>
      </c>
      <c r="AR22" s="157"/>
      <c r="AS22" s="157"/>
      <c r="AT22" s="157"/>
      <c r="AU22" s="157"/>
      <c r="AV22" s="157"/>
      <c r="AW22" s="157"/>
      <c r="AX22" s="157"/>
      <c r="AY22" s="157"/>
      <c r="AZ22" s="160"/>
      <c r="BA22" s="117">
        <f t="shared" si="5"/>
        <v>9</v>
      </c>
      <c r="BB22" s="100">
        <f t="shared" si="6"/>
        <v>0.40909090909090912</v>
      </c>
      <c r="BC22" s="99" t="str">
        <f>IF(BA22="","",VLOOKUP(BB22,Table1[],2,TRUE))</f>
        <v>D+</v>
      </c>
      <c r="BD22" s="101">
        <f t="shared" si="7"/>
        <v>6.5</v>
      </c>
      <c r="BE22" s="102">
        <f t="shared" si="8"/>
        <v>0.65</v>
      </c>
      <c r="BF22" s="103" t="str">
        <f>IF(BD22="","",VLOOKUP(BE22,Table1[],2,TRUE))</f>
        <v>B-</v>
      </c>
      <c r="BG22" s="104" t="str">
        <f>IF(AND(BB22="",BE22=""),"",IF(OR(BB22="-",BE22="-"),"-",IF(AND(BB$3&lt;&gt;0,BE$3&lt;&gt;0),VLOOKUP(AVERAGE(BB22,BE22),Table1[],2,TRUE),IF(AND(BB$3&lt;&gt;0,BE$3=0),BC22,BF22))))</f>
        <v>C</v>
      </c>
      <c r="BH22" s="105"/>
      <c r="BI22" s="107" t="str">
        <f t="shared" si="9"/>
        <v>C</v>
      </c>
      <c r="BJ22" s="155" t="s">
        <v>18</v>
      </c>
      <c r="BK22" s="156"/>
      <c r="BL22" s="157"/>
      <c r="BM22" s="157"/>
      <c r="BN22" s="157"/>
      <c r="BO22" s="157"/>
      <c r="BP22" s="157"/>
      <c r="BQ22" s="157"/>
      <c r="BR22" s="157"/>
      <c r="BS22" s="157"/>
      <c r="BT22" s="158"/>
      <c r="BU22" s="159">
        <v>21.5</v>
      </c>
      <c r="BV22" s="157"/>
      <c r="BW22" s="157"/>
      <c r="BX22" s="157"/>
      <c r="BY22" s="157"/>
      <c r="BZ22" s="157"/>
      <c r="CA22" s="157"/>
      <c r="CB22" s="157"/>
      <c r="CC22" s="157"/>
      <c r="CD22" s="160"/>
      <c r="CE22" s="117" t="str">
        <f t="shared" si="10"/>
        <v/>
      </c>
      <c r="CF22" s="100" t="str">
        <f t="shared" si="11"/>
        <v/>
      </c>
      <c r="CG22" s="99" t="str">
        <f>IF(CE22="","",VLOOKUP(CF22,Table1[],2,TRUE))</f>
        <v/>
      </c>
      <c r="CH22" s="101">
        <f t="shared" si="12"/>
        <v>21.5</v>
      </c>
      <c r="CI22" s="102">
        <f t="shared" si="13"/>
        <v>0.71666666666666667</v>
      </c>
      <c r="CJ22" s="103" t="str">
        <f>IF(CH22="","",VLOOKUP(CI22,Table1[],2,TRUE))</f>
        <v>B</v>
      </c>
      <c r="CK22" s="104" t="str">
        <f>IF(AND(CF22="",CI22=""),"",IF(OR(CF22="-",CI22="-"),"-",IF(AND(CF$3&lt;&gt;0,CI$3&lt;&gt;0),VLOOKUP(AVERAGE(CF22,CI22),Table1[],2,TRUE),IF(AND(CF$3&lt;&gt;0,CI$3=0),CG22,CJ22))))</f>
        <v>B</v>
      </c>
      <c r="CL22" s="105"/>
      <c r="CM22" s="107" t="str">
        <f t="shared" si="14"/>
        <v>B</v>
      </c>
      <c r="CN22" s="155" t="s">
        <v>18</v>
      </c>
      <c r="CO22" s="156">
        <v>9.5</v>
      </c>
      <c r="CP22" s="157"/>
      <c r="CQ22" s="157">
        <v>1.5</v>
      </c>
      <c r="CR22" s="157"/>
      <c r="CS22" s="157"/>
      <c r="CT22" s="157"/>
      <c r="CU22" s="157"/>
      <c r="CV22" s="157"/>
      <c r="CW22" s="157"/>
      <c r="CX22" s="158"/>
      <c r="CY22" s="159">
        <v>3.5</v>
      </c>
      <c r="CZ22" s="157"/>
      <c r="DA22" s="157"/>
      <c r="DB22" s="157"/>
      <c r="DC22" s="157"/>
      <c r="DD22" s="157"/>
      <c r="DE22" s="157"/>
      <c r="DF22" s="157"/>
      <c r="DG22" s="157"/>
      <c r="DH22" s="160"/>
      <c r="DI22" s="117">
        <f t="shared" si="15"/>
        <v>11</v>
      </c>
      <c r="DJ22" s="100">
        <f t="shared" si="16"/>
        <v>0.41509433962264153</v>
      </c>
      <c r="DK22" s="99" t="str">
        <f>IF(DI22="","",VLOOKUP(DJ22,Table1[],2,TRUE))</f>
        <v>D+</v>
      </c>
      <c r="DL22" s="101">
        <f t="shared" si="17"/>
        <v>3.5</v>
      </c>
      <c r="DM22" s="102">
        <f t="shared" si="18"/>
        <v>0.5</v>
      </c>
      <c r="DN22" s="103" t="str">
        <f>IF(DL22="","",VLOOKUP(DM22,Table1[],2,TRUE))</f>
        <v>C-</v>
      </c>
      <c r="DO22" s="104" t="str">
        <f>IF(AND(DJ22="",DM22=""),"",IF(OR(DJ22="-",DM22="-"),"-",IF(AND(DJ$3&lt;&gt;0,DM$3&lt;&gt;0),VLOOKUP(AVERAGE(DJ22,DM22),Table1[],2,TRUE),IF(AND(DJ$3&lt;&gt;0,DM$3=0),DK22,DN22))))</f>
        <v>C-</v>
      </c>
      <c r="DP22" s="105"/>
      <c r="DQ22" s="107" t="str">
        <f t="shared" si="19"/>
        <v>C-</v>
      </c>
      <c r="DR22" s="155" t="s">
        <v>18</v>
      </c>
      <c r="DS22" s="171" t="s">
        <v>9</v>
      </c>
    </row>
    <row r="23" spans="1:123" s="61" customFormat="1" x14ac:dyDescent="0.25">
      <c r="A23" s="127" t="str">
        <f>IF(ISBLANK(ClassInformation!C28),"ZZZZZ",ClassInformation!C28)</f>
        <v>Pardon</v>
      </c>
      <c r="B23" s="128" t="str">
        <f>IF(ISBLANK(ClassInformation!D28),"ZZZZZ",ClassInformation!D28)</f>
        <v>Harmony</v>
      </c>
      <c r="C23" s="156">
        <v>3</v>
      </c>
      <c r="D23" s="157"/>
      <c r="E23" s="157"/>
      <c r="F23" s="157"/>
      <c r="G23" s="157">
        <v>7</v>
      </c>
      <c r="H23" s="157"/>
      <c r="I23" s="157"/>
      <c r="J23" s="157"/>
      <c r="K23" s="157"/>
      <c r="L23" s="158"/>
      <c r="M23" s="159"/>
      <c r="N23" s="157"/>
      <c r="O23" s="157"/>
      <c r="P23" s="157"/>
      <c r="Q23" s="157"/>
      <c r="R23" s="157"/>
      <c r="S23" s="157"/>
      <c r="T23" s="157"/>
      <c r="U23" s="157"/>
      <c r="V23" s="160"/>
      <c r="W23" s="117">
        <f t="shared" si="0"/>
        <v>10</v>
      </c>
      <c r="X23" s="100">
        <f t="shared" si="1"/>
        <v>0.25</v>
      </c>
      <c r="Y23" s="99" t="str">
        <f>IF(W23="","",VLOOKUP(X23,Table1[],2,TRUE))</f>
        <v>D-</v>
      </c>
      <c r="Z23" s="101" t="str">
        <f t="shared" si="2"/>
        <v/>
      </c>
      <c r="AA23" s="102" t="str">
        <f t="shared" si="3"/>
        <v/>
      </c>
      <c r="AB23" s="103" t="str">
        <f>IF(Z23="","",VLOOKUP(AA23,Table1[],2,TRUE))</f>
        <v/>
      </c>
      <c r="AC23" s="104" t="str">
        <f>IF(AND(X23="",AA23=""),"",IF(OR(X23="-",AA23="-"),"-",IF(AND(X$3&lt;&gt;0,AA$3&lt;&gt;0),VLOOKUP(AVERAGE(X23,AA23),Table1[],2,TRUE),IF(AND(X$3&lt;&gt;0,AA$3=0),Y23,AB23))))</f>
        <v>D-</v>
      </c>
      <c r="AD23" s="105"/>
      <c r="AE23" s="107" t="str">
        <f t="shared" si="4"/>
        <v>D-</v>
      </c>
      <c r="AF23" s="155" t="s">
        <v>18</v>
      </c>
      <c r="AG23" s="156">
        <v>12</v>
      </c>
      <c r="AH23" s="157"/>
      <c r="AI23" s="157">
        <v>2</v>
      </c>
      <c r="AJ23" s="157"/>
      <c r="AK23" s="157"/>
      <c r="AL23" s="157"/>
      <c r="AM23" s="157"/>
      <c r="AN23" s="157"/>
      <c r="AO23" s="157"/>
      <c r="AP23" s="158"/>
      <c r="AQ23" s="159">
        <v>7</v>
      </c>
      <c r="AR23" s="157"/>
      <c r="AS23" s="157"/>
      <c r="AT23" s="157"/>
      <c r="AU23" s="157"/>
      <c r="AV23" s="157"/>
      <c r="AW23" s="157"/>
      <c r="AX23" s="157"/>
      <c r="AY23" s="157"/>
      <c r="AZ23" s="160"/>
      <c r="BA23" s="117">
        <f t="shared" si="5"/>
        <v>14</v>
      </c>
      <c r="BB23" s="100">
        <f t="shared" si="6"/>
        <v>0.63636363636363635</v>
      </c>
      <c r="BC23" s="99" t="str">
        <f>IF(BA23="","",VLOOKUP(BB23,Table1[],2,TRUE))</f>
        <v>C+</v>
      </c>
      <c r="BD23" s="101">
        <f t="shared" si="7"/>
        <v>7</v>
      </c>
      <c r="BE23" s="102">
        <f t="shared" si="8"/>
        <v>0.7</v>
      </c>
      <c r="BF23" s="103" t="str">
        <f>IF(BD23="","",VLOOKUP(BE23,Table1[],2,TRUE))</f>
        <v>B</v>
      </c>
      <c r="BG23" s="104" t="str">
        <f>IF(AND(BB23="",BE23=""),"",IF(OR(BB23="-",BE23="-"),"-",IF(AND(BB$3&lt;&gt;0,BE$3&lt;&gt;0),VLOOKUP(AVERAGE(BB23,BE23),Table1[],2,TRUE),IF(AND(BB$3&lt;&gt;0,BE$3=0),BC23,BF23))))</f>
        <v>B-</v>
      </c>
      <c r="BH23" s="105"/>
      <c r="BI23" s="107" t="str">
        <f t="shared" si="9"/>
        <v>B-</v>
      </c>
      <c r="BJ23" s="155" t="s">
        <v>18</v>
      </c>
      <c r="BK23" s="156"/>
      <c r="BL23" s="157"/>
      <c r="BM23" s="157"/>
      <c r="BN23" s="157"/>
      <c r="BO23" s="157"/>
      <c r="BP23" s="157"/>
      <c r="BQ23" s="157"/>
      <c r="BR23" s="157"/>
      <c r="BS23" s="157"/>
      <c r="BT23" s="158"/>
      <c r="BU23" s="159">
        <v>13.5</v>
      </c>
      <c r="BV23" s="157"/>
      <c r="BW23" s="157"/>
      <c r="BX23" s="157"/>
      <c r="BY23" s="157"/>
      <c r="BZ23" s="157"/>
      <c r="CA23" s="157"/>
      <c r="CB23" s="157"/>
      <c r="CC23" s="157"/>
      <c r="CD23" s="160"/>
      <c r="CE23" s="117" t="str">
        <f t="shared" si="10"/>
        <v/>
      </c>
      <c r="CF23" s="100" t="str">
        <f t="shared" si="11"/>
        <v/>
      </c>
      <c r="CG23" s="99" t="str">
        <f>IF(CE23="","",VLOOKUP(CF23,Table1[],2,TRUE))</f>
        <v/>
      </c>
      <c r="CH23" s="101">
        <f t="shared" si="12"/>
        <v>13.5</v>
      </c>
      <c r="CI23" s="102">
        <f t="shared" si="13"/>
        <v>0.45</v>
      </c>
      <c r="CJ23" s="103" t="str">
        <f>IF(CH23="","",VLOOKUP(CI23,Table1[],2,TRUE))</f>
        <v>C-</v>
      </c>
      <c r="CK23" s="104" t="str">
        <f>IF(AND(CF23="",CI23=""),"",IF(OR(CF23="-",CI23="-"),"-",IF(AND(CF$3&lt;&gt;0,CI$3&lt;&gt;0),VLOOKUP(AVERAGE(CF23,CI23),Table1[],2,TRUE),IF(AND(CF$3&lt;&gt;0,CI$3=0),CG23,CJ23))))</f>
        <v>C-</v>
      </c>
      <c r="CL23" s="105"/>
      <c r="CM23" s="107" t="str">
        <f t="shared" si="14"/>
        <v>C-</v>
      </c>
      <c r="CN23" s="155" t="s">
        <v>18</v>
      </c>
      <c r="CO23" s="156">
        <v>12.5</v>
      </c>
      <c r="CP23" s="157"/>
      <c r="CQ23" s="157">
        <v>2</v>
      </c>
      <c r="CR23" s="157"/>
      <c r="CS23" s="157"/>
      <c r="CT23" s="157"/>
      <c r="CU23" s="157"/>
      <c r="CV23" s="157"/>
      <c r="CW23" s="157"/>
      <c r="CX23" s="158"/>
      <c r="CY23" s="159">
        <v>2.5</v>
      </c>
      <c r="CZ23" s="157"/>
      <c r="DA23" s="157"/>
      <c r="DB23" s="157"/>
      <c r="DC23" s="157"/>
      <c r="DD23" s="157"/>
      <c r="DE23" s="157"/>
      <c r="DF23" s="157"/>
      <c r="DG23" s="157"/>
      <c r="DH23" s="160"/>
      <c r="DI23" s="117">
        <f t="shared" si="15"/>
        <v>14.5</v>
      </c>
      <c r="DJ23" s="100">
        <f t="shared" si="16"/>
        <v>0.54716981132075471</v>
      </c>
      <c r="DK23" s="99" t="str">
        <f>IF(DI23="","",VLOOKUP(DJ23,Table1[],2,TRUE))</f>
        <v>C</v>
      </c>
      <c r="DL23" s="101">
        <f t="shared" si="17"/>
        <v>2.5</v>
      </c>
      <c r="DM23" s="102">
        <f t="shared" si="18"/>
        <v>0.35714285714285715</v>
      </c>
      <c r="DN23" s="103" t="str">
        <f>IF(DL23="","",VLOOKUP(DM23,Table1[],2,TRUE))</f>
        <v>D</v>
      </c>
      <c r="DO23" s="104" t="str">
        <f>IF(AND(DJ23="",DM23=""),"",IF(OR(DJ23="-",DM23="-"),"-",IF(AND(DJ$3&lt;&gt;0,DM$3&lt;&gt;0),VLOOKUP(AVERAGE(DJ23,DM23),Table1[],2,TRUE),IF(AND(DJ$3&lt;&gt;0,DM$3=0),DK23,DN23))))</f>
        <v>C-</v>
      </c>
      <c r="DP23" s="105"/>
      <c r="DQ23" s="107" t="str">
        <f t="shared" si="19"/>
        <v>C-</v>
      </c>
      <c r="DR23" s="155" t="s">
        <v>18</v>
      </c>
      <c r="DS23" s="171" t="s">
        <v>10</v>
      </c>
    </row>
    <row r="24" spans="1:123" s="61" customFormat="1" x14ac:dyDescent="0.25">
      <c r="A24" s="127" t="str">
        <f>IF(ISBLANK(ClassInformation!C29),"ZZZZZ",ClassInformation!C29)</f>
        <v>Romero</v>
      </c>
      <c r="B24" s="128" t="str">
        <f>IF(ISBLANK(ClassInformation!D29),"ZZZZZ",ClassInformation!D29)</f>
        <v>Rubens</v>
      </c>
      <c r="C24" s="156"/>
      <c r="D24" s="157"/>
      <c r="E24" s="157"/>
      <c r="F24" s="157"/>
      <c r="G24" s="157">
        <v>8</v>
      </c>
      <c r="H24" s="157"/>
      <c r="I24" s="157"/>
      <c r="J24" s="157"/>
      <c r="K24" s="157"/>
      <c r="L24" s="158"/>
      <c r="M24" s="159"/>
      <c r="N24" s="157"/>
      <c r="O24" s="157"/>
      <c r="P24" s="157"/>
      <c r="Q24" s="157"/>
      <c r="R24" s="157"/>
      <c r="S24" s="157"/>
      <c r="T24" s="157"/>
      <c r="U24" s="157"/>
      <c r="V24" s="160"/>
      <c r="W24" s="117">
        <f t="shared" si="0"/>
        <v>8</v>
      </c>
      <c r="X24" s="100">
        <f t="shared" si="1"/>
        <v>0.2</v>
      </c>
      <c r="Y24" s="99" t="str">
        <f>IF(W24="","",VLOOKUP(X24,Table1[],2,TRUE))</f>
        <v>E+</v>
      </c>
      <c r="Z24" s="101" t="str">
        <f t="shared" si="2"/>
        <v/>
      </c>
      <c r="AA24" s="102" t="str">
        <f t="shared" si="3"/>
        <v/>
      </c>
      <c r="AB24" s="103" t="str">
        <f>IF(Z24="","",VLOOKUP(AA24,Table1[],2,TRUE))</f>
        <v/>
      </c>
      <c r="AC24" s="104" t="str">
        <f>IF(AND(X24="",AA24=""),"",IF(OR(X24="-",AA24="-"),"-",IF(AND(X$3&lt;&gt;0,AA$3&lt;&gt;0),VLOOKUP(AVERAGE(X24,AA24),Table1[],2,TRUE),IF(AND(X$3&lt;&gt;0,AA$3=0),Y24,AB24))))</f>
        <v>E+</v>
      </c>
      <c r="AD24" s="105"/>
      <c r="AE24" s="107" t="str">
        <f t="shared" si="4"/>
        <v>E+</v>
      </c>
      <c r="AF24" s="155" t="s">
        <v>18</v>
      </c>
      <c r="AG24" s="156">
        <v>12</v>
      </c>
      <c r="AH24" s="157"/>
      <c r="AI24" s="157">
        <v>2</v>
      </c>
      <c r="AJ24" s="157"/>
      <c r="AK24" s="157"/>
      <c r="AL24" s="157"/>
      <c r="AM24" s="157"/>
      <c r="AN24" s="157"/>
      <c r="AO24" s="157"/>
      <c r="AP24" s="158"/>
      <c r="AQ24" s="159">
        <v>8</v>
      </c>
      <c r="AR24" s="157"/>
      <c r="AS24" s="157"/>
      <c r="AT24" s="157"/>
      <c r="AU24" s="157"/>
      <c r="AV24" s="157"/>
      <c r="AW24" s="157"/>
      <c r="AX24" s="157"/>
      <c r="AY24" s="157"/>
      <c r="AZ24" s="160"/>
      <c r="BA24" s="117">
        <f t="shared" si="5"/>
        <v>14</v>
      </c>
      <c r="BB24" s="100">
        <f t="shared" si="6"/>
        <v>0.63636363636363635</v>
      </c>
      <c r="BC24" s="99" t="str">
        <f>IF(BA24="","",VLOOKUP(BB24,Table1[],2,TRUE))</f>
        <v>C+</v>
      </c>
      <c r="BD24" s="101">
        <f t="shared" si="7"/>
        <v>8</v>
      </c>
      <c r="BE24" s="102">
        <f t="shared" si="8"/>
        <v>0.8</v>
      </c>
      <c r="BF24" s="103" t="str">
        <f>IF(BD24="","",VLOOKUP(BE24,Table1[],2,TRUE))</f>
        <v>A-</v>
      </c>
      <c r="BG24" s="104" t="str">
        <f>IF(AND(BB24="",BE24=""),"",IF(OR(BB24="-",BE24="-"),"-",IF(AND(BB$3&lt;&gt;0,BE$3&lt;&gt;0),VLOOKUP(AVERAGE(BB24,BE24),Table1[],2,TRUE),IF(AND(BB$3&lt;&gt;0,BE$3=0),BC24,BF24))))</f>
        <v>B</v>
      </c>
      <c r="BH24" s="105"/>
      <c r="BI24" s="107" t="str">
        <f t="shared" si="9"/>
        <v>B</v>
      </c>
      <c r="BJ24" s="155" t="s">
        <v>18</v>
      </c>
      <c r="BK24" s="156"/>
      <c r="BL24" s="157"/>
      <c r="BM24" s="157"/>
      <c r="BN24" s="157"/>
      <c r="BO24" s="157"/>
      <c r="BP24" s="157"/>
      <c r="BQ24" s="157"/>
      <c r="BR24" s="157"/>
      <c r="BS24" s="157"/>
      <c r="BT24" s="158"/>
      <c r="BU24" s="159">
        <v>25</v>
      </c>
      <c r="BV24" s="157"/>
      <c r="BW24" s="157"/>
      <c r="BX24" s="157"/>
      <c r="BY24" s="157"/>
      <c r="BZ24" s="157"/>
      <c r="CA24" s="157"/>
      <c r="CB24" s="157"/>
      <c r="CC24" s="157"/>
      <c r="CD24" s="160"/>
      <c r="CE24" s="117" t="str">
        <f t="shared" si="10"/>
        <v/>
      </c>
      <c r="CF24" s="100" t="str">
        <f t="shared" si="11"/>
        <v/>
      </c>
      <c r="CG24" s="99" t="str">
        <f>IF(CE24="","",VLOOKUP(CF24,Table1[],2,TRUE))</f>
        <v/>
      </c>
      <c r="CH24" s="101">
        <f t="shared" si="12"/>
        <v>25</v>
      </c>
      <c r="CI24" s="102">
        <f t="shared" si="13"/>
        <v>0.83333333333333337</v>
      </c>
      <c r="CJ24" s="103" t="str">
        <f>IF(CH24="","",VLOOKUP(CI24,Table1[],2,TRUE))</f>
        <v>A-</v>
      </c>
      <c r="CK24" s="104" t="str">
        <f>IF(AND(CF24="",CI24=""),"",IF(OR(CF24="-",CI24="-"),"-",IF(AND(CF$3&lt;&gt;0,CI$3&lt;&gt;0),VLOOKUP(AVERAGE(CF24,CI24),Table1[],2,TRUE),IF(AND(CF$3&lt;&gt;0,CI$3=0),CG24,CJ24))))</f>
        <v>A-</v>
      </c>
      <c r="CL24" s="105"/>
      <c r="CM24" s="107" t="str">
        <f t="shared" si="14"/>
        <v>A-</v>
      </c>
      <c r="CN24" s="155" t="s">
        <v>18</v>
      </c>
      <c r="CO24" s="156" t="s">
        <v>18</v>
      </c>
      <c r="CP24" s="157"/>
      <c r="CQ24" s="157" t="s">
        <v>18</v>
      </c>
      <c r="CR24" s="157"/>
      <c r="CS24" s="157"/>
      <c r="CT24" s="157"/>
      <c r="CU24" s="157"/>
      <c r="CV24" s="157"/>
      <c r="CW24" s="157"/>
      <c r="CX24" s="158"/>
      <c r="CY24" s="159" t="s">
        <v>18</v>
      </c>
      <c r="CZ24" s="157"/>
      <c r="DA24" s="157"/>
      <c r="DB24" s="157"/>
      <c r="DC24" s="157"/>
      <c r="DD24" s="157"/>
      <c r="DE24" s="157"/>
      <c r="DF24" s="157"/>
      <c r="DG24" s="157"/>
      <c r="DH24" s="160"/>
      <c r="DI24" s="117" t="str">
        <f t="shared" si="15"/>
        <v>-</v>
      </c>
      <c r="DJ24" s="100" t="str">
        <f t="shared" si="16"/>
        <v>-</v>
      </c>
      <c r="DK24" s="99" t="str">
        <f>IF(DI24="","",VLOOKUP(DJ24,Table1[],2,TRUE))</f>
        <v>-</v>
      </c>
      <c r="DL24" s="101" t="str">
        <f t="shared" si="17"/>
        <v>-</v>
      </c>
      <c r="DM24" s="102" t="str">
        <f t="shared" si="18"/>
        <v>-</v>
      </c>
      <c r="DN24" s="103" t="str">
        <f>IF(DL24="","",VLOOKUP(DM24,Table1[],2,TRUE))</f>
        <v>-</v>
      </c>
      <c r="DO24" s="104" t="str">
        <f>IF(AND(DJ24="",DM24=""),"",IF(OR(DJ24="-",DM24="-"),"-",IF(AND(DJ$3&lt;&gt;0,DM$3&lt;&gt;0),VLOOKUP(AVERAGE(DJ24,DM24),Table1[],2,TRUE),IF(AND(DJ$3&lt;&gt;0,DM$3=0),DK24,DN24))))</f>
        <v>-</v>
      </c>
      <c r="DP24" s="105"/>
      <c r="DQ24" s="107" t="str">
        <f t="shared" si="19"/>
        <v>-</v>
      </c>
      <c r="DR24" s="155" t="s">
        <v>18</v>
      </c>
      <c r="DS24" s="171" t="s">
        <v>12</v>
      </c>
    </row>
    <row r="25" spans="1:123" s="61" customFormat="1" x14ac:dyDescent="0.25">
      <c r="A25" s="127" t="str">
        <f>IF(ISBLANK(ClassInformation!C30),"ZZZZZ",ClassInformation!C30)</f>
        <v>Sarzynska</v>
      </c>
      <c r="B25" s="128" t="str">
        <f>IF(ISBLANK(ClassInformation!D30),"ZZZZZ",ClassInformation!D30)</f>
        <v>Nikola</v>
      </c>
      <c r="C25" s="156">
        <v>7</v>
      </c>
      <c r="D25" s="157"/>
      <c r="E25" s="157">
        <v>10</v>
      </c>
      <c r="F25" s="157"/>
      <c r="G25" s="157">
        <v>7</v>
      </c>
      <c r="H25" s="157"/>
      <c r="I25" s="157"/>
      <c r="J25" s="157"/>
      <c r="K25" s="157"/>
      <c r="L25" s="158"/>
      <c r="M25" s="159"/>
      <c r="N25" s="157"/>
      <c r="O25" s="157"/>
      <c r="P25" s="157"/>
      <c r="Q25" s="157"/>
      <c r="R25" s="157"/>
      <c r="S25" s="157"/>
      <c r="T25" s="157"/>
      <c r="U25" s="157"/>
      <c r="V25" s="160"/>
      <c r="W25" s="117">
        <f t="shared" si="0"/>
        <v>24</v>
      </c>
      <c r="X25" s="100">
        <f t="shared" si="1"/>
        <v>0.6</v>
      </c>
      <c r="Y25" s="99" t="str">
        <f>IF(W25="","",VLOOKUP(X25,Table1[],2,TRUE))</f>
        <v>C+</v>
      </c>
      <c r="Z25" s="101" t="str">
        <f t="shared" si="2"/>
        <v/>
      </c>
      <c r="AA25" s="102" t="str">
        <f t="shared" si="3"/>
        <v/>
      </c>
      <c r="AB25" s="103" t="str">
        <f>IF(Z25="","",VLOOKUP(AA25,Table1[],2,TRUE))</f>
        <v/>
      </c>
      <c r="AC25" s="104" t="str">
        <f>IF(AND(X25="",AA25=""),"",IF(OR(X25="-",AA25="-"),"-",IF(AND(X$3&lt;&gt;0,AA$3&lt;&gt;0),VLOOKUP(AVERAGE(X25,AA25),Table1[],2,TRUE),IF(AND(X$3&lt;&gt;0,AA$3=0),Y25,AB25))))</f>
        <v>C+</v>
      </c>
      <c r="AD25" s="105"/>
      <c r="AE25" s="107" t="str">
        <f t="shared" si="4"/>
        <v>C+</v>
      </c>
      <c r="AF25" s="155" t="s">
        <v>18</v>
      </c>
      <c r="AG25" s="156">
        <v>8.5</v>
      </c>
      <c r="AH25" s="157"/>
      <c r="AI25" s="157">
        <v>3</v>
      </c>
      <c r="AJ25" s="157"/>
      <c r="AK25" s="157"/>
      <c r="AL25" s="157"/>
      <c r="AM25" s="157"/>
      <c r="AN25" s="157"/>
      <c r="AO25" s="157"/>
      <c r="AP25" s="158"/>
      <c r="AQ25" s="159">
        <v>6</v>
      </c>
      <c r="AR25" s="157"/>
      <c r="AS25" s="157"/>
      <c r="AT25" s="157"/>
      <c r="AU25" s="157"/>
      <c r="AV25" s="157"/>
      <c r="AW25" s="157"/>
      <c r="AX25" s="157"/>
      <c r="AY25" s="157"/>
      <c r="AZ25" s="160"/>
      <c r="BA25" s="117">
        <f t="shared" si="5"/>
        <v>11.5</v>
      </c>
      <c r="BB25" s="100">
        <f t="shared" si="6"/>
        <v>0.52272727272727271</v>
      </c>
      <c r="BC25" s="99" t="str">
        <f>IF(BA25="","",VLOOKUP(BB25,Table1[],2,TRUE))</f>
        <v>C</v>
      </c>
      <c r="BD25" s="101">
        <f t="shared" si="7"/>
        <v>6</v>
      </c>
      <c r="BE25" s="102">
        <f t="shared" si="8"/>
        <v>0.6</v>
      </c>
      <c r="BF25" s="103" t="str">
        <f>IF(BD25="","",VLOOKUP(BE25,Table1[],2,TRUE))</f>
        <v>C+</v>
      </c>
      <c r="BG25" s="104" t="str">
        <f>IF(AND(BB25="",BE25=""),"",IF(OR(BB25="-",BE25="-"),"-",IF(AND(BB$3&lt;&gt;0,BE$3&lt;&gt;0),VLOOKUP(AVERAGE(BB25,BE25),Table1[],2,TRUE),IF(AND(BB$3&lt;&gt;0,BE$3=0),BC25,BF25))))</f>
        <v>C</v>
      </c>
      <c r="BH25" s="105"/>
      <c r="BI25" s="107" t="str">
        <f t="shared" si="9"/>
        <v>C</v>
      </c>
      <c r="BJ25" s="155" t="s">
        <v>18</v>
      </c>
      <c r="BK25" s="156"/>
      <c r="BL25" s="157"/>
      <c r="BM25" s="157"/>
      <c r="BN25" s="157"/>
      <c r="BO25" s="157"/>
      <c r="BP25" s="157"/>
      <c r="BQ25" s="157"/>
      <c r="BR25" s="157"/>
      <c r="BS25" s="157"/>
      <c r="BT25" s="158"/>
      <c r="BU25" s="159">
        <v>21</v>
      </c>
      <c r="BV25" s="157"/>
      <c r="BW25" s="157"/>
      <c r="BX25" s="157"/>
      <c r="BY25" s="157"/>
      <c r="BZ25" s="157"/>
      <c r="CA25" s="157"/>
      <c r="CB25" s="157"/>
      <c r="CC25" s="157"/>
      <c r="CD25" s="160"/>
      <c r="CE25" s="117" t="str">
        <f t="shared" si="10"/>
        <v/>
      </c>
      <c r="CF25" s="100" t="str">
        <f t="shared" si="11"/>
        <v/>
      </c>
      <c r="CG25" s="99" t="str">
        <f>IF(CE25="","",VLOOKUP(CF25,Table1[],2,TRUE))</f>
        <v/>
      </c>
      <c r="CH25" s="101">
        <f t="shared" si="12"/>
        <v>21</v>
      </c>
      <c r="CI25" s="102">
        <f t="shared" si="13"/>
        <v>0.7</v>
      </c>
      <c r="CJ25" s="103" t="str">
        <f>IF(CH25="","",VLOOKUP(CI25,Table1[],2,TRUE))</f>
        <v>B</v>
      </c>
      <c r="CK25" s="104" t="str">
        <f>IF(AND(CF25="",CI25=""),"",IF(OR(CF25="-",CI25="-"),"-",IF(AND(CF$3&lt;&gt;0,CI$3&lt;&gt;0),VLOOKUP(AVERAGE(CF25,CI25),Table1[],2,TRUE),IF(AND(CF$3&lt;&gt;0,CI$3=0),CG25,CJ25))))</f>
        <v>B</v>
      </c>
      <c r="CL25" s="105"/>
      <c r="CM25" s="107" t="str">
        <f t="shared" si="14"/>
        <v>B</v>
      </c>
      <c r="CN25" s="155" t="s">
        <v>18</v>
      </c>
      <c r="CO25" s="156">
        <v>12.5</v>
      </c>
      <c r="CP25" s="157"/>
      <c r="CQ25" s="157">
        <v>2</v>
      </c>
      <c r="CR25" s="157"/>
      <c r="CS25" s="157"/>
      <c r="CT25" s="157"/>
      <c r="CU25" s="157"/>
      <c r="CV25" s="157"/>
      <c r="CW25" s="157"/>
      <c r="CX25" s="158"/>
      <c r="CY25" s="159">
        <v>5</v>
      </c>
      <c r="CZ25" s="157"/>
      <c r="DA25" s="157"/>
      <c r="DB25" s="157"/>
      <c r="DC25" s="157"/>
      <c r="DD25" s="157"/>
      <c r="DE25" s="157"/>
      <c r="DF25" s="157"/>
      <c r="DG25" s="157"/>
      <c r="DH25" s="160"/>
      <c r="DI25" s="117">
        <f t="shared" si="15"/>
        <v>14.5</v>
      </c>
      <c r="DJ25" s="100">
        <f t="shared" si="16"/>
        <v>0.54716981132075471</v>
      </c>
      <c r="DK25" s="99" t="str">
        <f>IF(DI25="","",VLOOKUP(DJ25,Table1[],2,TRUE))</f>
        <v>C</v>
      </c>
      <c r="DL25" s="101">
        <f t="shared" si="17"/>
        <v>5</v>
      </c>
      <c r="DM25" s="102">
        <f t="shared" si="18"/>
        <v>0.7142857142857143</v>
      </c>
      <c r="DN25" s="103" t="str">
        <f>IF(DL25="","",VLOOKUP(DM25,Table1[],2,TRUE))</f>
        <v>B</v>
      </c>
      <c r="DO25" s="104" t="str">
        <f>IF(AND(DJ25="",DM25=""),"",IF(OR(DJ25="-",DM25="-"),"-",IF(AND(DJ$3&lt;&gt;0,DM$3&lt;&gt;0),VLOOKUP(AVERAGE(DJ25,DM25),Table1[],2,TRUE),IF(AND(DJ$3&lt;&gt;0,DM$3=0),DK25,DN25))))</f>
        <v>C+</v>
      </c>
      <c r="DP25" s="105"/>
      <c r="DQ25" s="107" t="str">
        <f t="shared" si="19"/>
        <v>C+</v>
      </c>
      <c r="DR25" s="155" t="s">
        <v>18</v>
      </c>
      <c r="DS25" s="171" t="s">
        <v>11</v>
      </c>
    </row>
    <row r="26" spans="1:123" s="61" customFormat="1" x14ac:dyDescent="0.25">
      <c r="A26" s="127" t="str">
        <f>IF(ISBLANK(ClassInformation!C31),"ZZZZZ",ClassInformation!C31)</f>
        <v>Taylor</v>
      </c>
      <c r="B26" s="128" t="str">
        <f>IF(ISBLANK(ClassInformation!D31),"ZZZZZ",ClassInformation!D31)</f>
        <v>Rohan</v>
      </c>
      <c r="C26" s="156">
        <v>10</v>
      </c>
      <c r="D26" s="157"/>
      <c r="E26" s="157">
        <v>10</v>
      </c>
      <c r="F26" s="157"/>
      <c r="G26" s="157"/>
      <c r="H26" s="157"/>
      <c r="I26" s="157"/>
      <c r="J26" s="157"/>
      <c r="K26" s="157"/>
      <c r="L26" s="158"/>
      <c r="M26" s="159"/>
      <c r="N26" s="157"/>
      <c r="O26" s="157"/>
      <c r="P26" s="157"/>
      <c r="Q26" s="157"/>
      <c r="R26" s="157"/>
      <c r="S26" s="157"/>
      <c r="T26" s="157"/>
      <c r="U26" s="157"/>
      <c r="V26" s="160"/>
      <c r="W26" s="117">
        <f t="shared" si="0"/>
        <v>20</v>
      </c>
      <c r="X26" s="100">
        <f t="shared" si="1"/>
        <v>0.5</v>
      </c>
      <c r="Y26" s="99" t="str">
        <f>IF(W26="","",VLOOKUP(X26,Table1[],2,TRUE))</f>
        <v>C-</v>
      </c>
      <c r="Z26" s="101" t="str">
        <f t="shared" si="2"/>
        <v/>
      </c>
      <c r="AA26" s="102" t="str">
        <f t="shared" si="3"/>
        <v/>
      </c>
      <c r="AB26" s="103" t="str">
        <f>IF(Z26="","",VLOOKUP(AA26,Table1[],2,TRUE))</f>
        <v/>
      </c>
      <c r="AC26" s="104" t="str">
        <f>IF(AND(X26="",AA26=""),"",IF(OR(X26="-",AA26="-"),"-",IF(AND(X$3&lt;&gt;0,AA$3&lt;&gt;0),VLOOKUP(AVERAGE(X26,AA26),Table1[],2,TRUE),IF(AND(X$3&lt;&gt;0,AA$3=0),Y26,AB26))))</f>
        <v>C-</v>
      </c>
      <c r="AD26" s="105"/>
      <c r="AE26" s="107" t="str">
        <f t="shared" si="4"/>
        <v>C-</v>
      </c>
      <c r="AF26" s="155" t="s">
        <v>18</v>
      </c>
      <c r="AG26" s="156">
        <v>10</v>
      </c>
      <c r="AH26" s="157"/>
      <c r="AI26" s="157">
        <v>0</v>
      </c>
      <c r="AJ26" s="157"/>
      <c r="AK26" s="157"/>
      <c r="AL26" s="157"/>
      <c r="AM26" s="157"/>
      <c r="AN26" s="157"/>
      <c r="AO26" s="157"/>
      <c r="AP26" s="158"/>
      <c r="AQ26" s="159">
        <v>6.5</v>
      </c>
      <c r="AR26" s="157"/>
      <c r="AS26" s="157"/>
      <c r="AT26" s="157"/>
      <c r="AU26" s="157"/>
      <c r="AV26" s="157"/>
      <c r="AW26" s="157"/>
      <c r="AX26" s="157"/>
      <c r="AY26" s="157"/>
      <c r="AZ26" s="160"/>
      <c r="BA26" s="117">
        <f t="shared" si="5"/>
        <v>10</v>
      </c>
      <c r="BB26" s="100">
        <f t="shared" si="6"/>
        <v>0.45454545454545453</v>
      </c>
      <c r="BC26" s="99" t="str">
        <f>IF(BA26="","",VLOOKUP(BB26,Table1[],2,TRUE))</f>
        <v>C-</v>
      </c>
      <c r="BD26" s="101">
        <f t="shared" si="7"/>
        <v>6.5</v>
      </c>
      <c r="BE26" s="102">
        <f t="shared" si="8"/>
        <v>0.65</v>
      </c>
      <c r="BF26" s="103" t="str">
        <f>IF(BD26="","",VLOOKUP(BE26,Table1[],2,TRUE))</f>
        <v>B-</v>
      </c>
      <c r="BG26" s="104" t="str">
        <f>IF(AND(BB26="",BE26=""),"",IF(OR(BB26="-",BE26="-"),"-",IF(AND(BB$3&lt;&gt;0,BE$3&lt;&gt;0),VLOOKUP(AVERAGE(BB26,BE26),Table1[],2,TRUE),IF(AND(BB$3&lt;&gt;0,BE$3=0),BC26,BF26))))</f>
        <v>C</v>
      </c>
      <c r="BH26" s="105"/>
      <c r="BI26" s="107" t="str">
        <f t="shared" si="9"/>
        <v>C</v>
      </c>
      <c r="BJ26" s="155" t="s">
        <v>18</v>
      </c>
      <c r="BK26" s="156"/>
      <c r="BL26" s="157"/>
      <c r="BM26" s="157"/>
      <c r="BN26" s="157"/>
      <c r="BO26" s="157"/>
      <c r="BP26" s="157"/>
      <c r="BQ26" s="157"/>
      <c r="BR26" s="157"/>
      <c r="BS26" s="157"/>
      <c r="BT26" s="158"/>
      <c r="BU26" s="159">
        <v>28.5</v>
      </c>
      <c r="BV26" s="157"/>
      <c r="BW26" s="157"/>
      <c r="BX26" s="157"/>
      <c r="BY26" s="157"/>
      <c r="BZ26" s="157"/>
      <c r="CA26" s="157"/>
      <c r="CB26" s="157"/>
      <c r="CC26" s="157"/>
      <c r="CD26" s="160"/>
      <c r="CE26" s="117" t="str">
        <f t="shared" si="10"/>
        <v/>
      </c>
      <c r="CF26" s="100" t="str">
        <f t="shared" si="11"/>
        <v/>
      </c>
      <c r="CG26" s="99" t="str">
        <f>IF(CE26="","",VLOOKUP(CF26,Table1[],2,TRUE))</f>
        <v/>
      </c>
      <c r="CH26" s="101">
        <f t="shared" si="12"/>
        <v>28.5</v>
      </c>
      <c r="CI26" s="102">
        <f t="shared" si="13"/>
        <v>0.95</v>
      </c>
      <c r="CJ26" s="103" t="str">
        <f>IF(CH26="","",VLOOKUP(CI26,Table1[],2,TRUE))</f>
        <v>A+</v>
      </c>
      <c r="CK26" s="104" t="str">
        <f>IF(AND(CF26="",CI26=""),"",IF(OR(CF26="-",CI26="-"),"-",IF(AND(CF$3&lt;&gt;0,CI$3&lt;&gt;0),VLOOKUP(AVERAGE(CF26,CI26),Table1[],2,TRUE),IF(AND(CF$3&lt;&gt;0,CI$3=0),CG26,CJ26))))</f>
        <v>A+</v>
      </c>
      <c r="CL26" s="105"/>
      <c r="CM26" s="107" t="str">
        <f t="shared" si="14"/>
        <v>A+</v>
      </c>
      <c r="CN26" s="155" t="s">
        <v>18</v>
      </c>
      <c r="CO26" s="156">
        <v>16.5</v>
      </c>
      <c r="CP26" s="157"/>
      <c r="CQ26" s="157">
        <v>2</v>
      </c>
      <c r="CR26" s="157"/>
      <c r="CS26" s="157"/>
      <c r="CT26" s="157"/>
      <c r="CU26" s="157"/>
      <c r="CV26" s="157"/>
      <c r="CW26" s="157"/>
      <c r="CX26" s="158"/>
      <c r="CY26" s="159">
        <v>5.5</v>
      </c>
      <c r="CZ26" s="157"/>
      <c r="DA26" s="157"/>
      <c r="DB26" s="157"/>
      <c r="DC26" s="157"/>
      <c r="DD26" s="157"/>
      <c r="DE26" s="157"/>
      <c r="DF26" s="157"/>
      <c r="DG26" s="157"/>
      <c r="DH26" s="160"/>
      <c r="DI26" s="117">
        <f t="shared" si="15"/>
        <v>18.5</v>
      </c>
      <c r="DJ26" s="100">
        <f t="shared" si="16"/>
        <v>0.69811320754716977</v>
      </c>
      <c r="DK26" s="99" t="str">
        <f>IF(DI26="","",VLOOKUP(DJ26,Table1[],2,TRUE))</f>
        <v>B-</v>
      </c>
      <c r="DL26" s="101">
        <f t="shared" si="17"/>
        <v>5.5</v>
      </c>
      <c r="DM26" s="102">
        <f t="shared" si="18"/>
        <v>0.7857142857142857</v>
      </c>
      <c r="DN26" s="103" t="str">
        <f>IF(DL26="","",VLOOKUP(DM26,Table1[],2,TRUE))</f>
        <v>B+</v>
      </c>
      <c r="DO26" s="104" t="str">
        <f>IF(AND(DJ26="",DM26=""),"",IF(OR(DJ26="-",DM26="-"),"-",IF(AND(DJ$3&lt;&gt;0,DM$3&lt;&gt;0),VLOOKUP(AVERAGE(DJ26,DM26),Table1[],2,TRUE),IF(AND(DJ$3&lt;&gt;0,DM$3=0),DK26,DN26))))</f>
        <v>B</v>
      </c>
      <c r="DP26" s="105"/>
      <c r="DQ26" s="107" t="str">
        <f t="shared" si="19"/>
        <v>B</v>
      </c>
      <c r="DR26" s="155" t="s">
        <v>18</v>
      </c>
      <c r="DS26" s="171" t="s">
        <v>10</v>
      </c>
    </row>
    <row r="27" spans="1:123" s="61" customFormat="1" x14ac:dyDescent="0.25">
      <c r="A27" s="127" t="str">
        <f>IF(ISBLANK(ClassInformation!C32),"ZZZZZ",ClassInformation!C32)</f>
        <v>Thangeswaran</v>
      </c>
      <c r="B27" s="128" t="str">
        <f>IF(ISBLANK(ClassInformation!D32),"ZZZZZ",ClassInformation!D32)</f>
        <v>Shesuthan</v>
      </c>
      <c r="C27" s="156">
        <v>5</v>
      </c>
      <c r="D27" s="157"/>
      <c r="E27" s="157">
        <v>10</v>
      </c>
      <c r="F27" s="157"/>
      <c r="G27" s="157"/>
      <c r="H27" s="157"/>
      <c r="I27" s="157"/>
      <c r="J27" s="157"/>
      <c r="K27" s="157"/>
      <c r="L27" s="158"/>
      <c r="M27" s="159"/>
      <c r="N27" s="157"/>
      <c r="O27" s="157"/>
      <c r="P27" s="157"/>
      <c r="Q27" s="157"/>
      <c r="R27" s="157"/>
      <c r="S27" s="157"/>
      <c r="T27" s="157"/>
      <c r="U27" s="157"/>
      <c r="V27" s="160"/>
      <c r="W27" s="117">
        <f t="shared" si="0"/>
        <v>15</v>
      </c>
      <c r="X27" s="100">
        <f t="shared" si="1"/>
        <v>0.375</v>
      </c>
      <c r="Y27" s="99" t="str">
        <f>IF(W27="","",VLOOKUP(X27,Table1[],2,TRUE))</f>
        <v>D</v>
      </c>
      <c r="Z27" s="101" t="str">
        <f t="shared" si="2"/>
        <v/>
      </c>
      <c r="AA27" s="102" t="str">
        <f t="shared" si="3"/>
        <v/>
      </c>
      <c r="AB27" s="103" t="str">
        <f>IF(Z27="","",VLOOKUP(AA27,Table1[],2,TRUE))</f>
        <v/>
      </c>
      <c r="AC27" s="104" t="str">
        <f>IF(AND(X27="",AA27=""),"",IF(OR(X27="-",AA27="-"),"-",IF(AND(X$3&lt;&gt;0,AA$3&lt;&gt;0),VLOOKUP(AVERAGE(X27,AA27),Table1[],2,TRUE),IF(AND(X$3&lt;&gt;0,AA$3=0),Y27,AB27))))</f>
        <v>D</v>
      </c>
      <c r="AD27" s="105"/>
      <c r="AE27" s="107" t="str">
        <f t="shared" si="4"/>
        <v>D</v>
      </c>
      <c r="AF27" s="155" t="s">
        <v>18</v>
      </c>
      <c r="AG27" s="156">
        <v>7.5</v>
      </c>
      <c r="AH27" s="157"/>
      <c r="AI27" s="157">
        <v>2</v>
      </c>
      <c r="AJ27" s="157"/>
      <c r="AK27" s="157"/>
      <c r="AL27" s="157"/>
      <c r="AM27" s="157"/>
      <c r="AN27" s="157"/>
      <c r="AO27" s="157"/>
      <c r="AP27" s="158"/>
      <c r="AQ27" s="159">
        <v>4</v>
      </c>
      <c r="AR27" s="157"/>
      <c r="AS27" s="157"/>
      <c r="AT27" s="157"/>
      <c r="AU27" s="157"/>
      <c r="AV27" s="157"/>
      <c r="AW27" s="157"/>
      <c r="AX27" s="157"/>
      <c r="AY27" s="157"/>
      <c r="AZ27" s="160"/>
      <c r="BA27" s="117">
        <f t="shared" si="5"/>
        <v>9.5</v>
      </c>
      <c r="BB27" s="100">
        <f t="shared" si="6"/>
        <v>0.43181818181818182</v>
      </c>
      <c r="BC27" s="99" t="str">
        <f>IF(BA27="","",VLOOKUP(BB27,Table1[],2,TRUE))</f>
        <v>D+</v>
      </c>
      <c r="BD27" s="101">
        <f t="shared" si="7"/>
        <v>4</v>
      </c>
      <c r="BE27" s="102">
        <f t="shared" si="8"/>
        <v>0.4</v>
      </c>
      <c r="BF27" s="103" t="str">
        <f>IF(BD27="","",VLOOKUP(BE27,Table1[],2,TRUE))</f>
        <v>D+</v>
      </c>
      <c r="BG27" s="104" t="str">
        <f>IF(AND(BB27="",BE27=""),"",IF(OR(BB27="-",BE27="-"),"-",IF(AND(BB$3&lt;&gt;0,BE$3&lt;&gt;0),VLOOKUP(AVERAGE(BB27,BE27),Table1[],2,TRUE),IF(AND(BB$3&lt;&gt;0,BE$3=0),BC27,BF27))))</f>
        <v>D+</v>
      </c>
      <c r="BH27" s="105"/>
      <c r="BI27" s="107" t="str">
        <f t="shared" si="9"/>
        <v>D+</v>
      </c>
      <c r="BJ27" s="155" t="s">
        <v>18</v>
      </c>
      <c r="BK27" s="156"/>
      <c r="BL27" s="157"/>
      <c r="BM27" s="157"/>
      <c r="BN27" s="157"/>
      <c r="BO27" s="157"/>
      <c r="BP27" s="157"/>
      <c r="BQ27" s="157"/>
      <c r="BR27" s="157"/>
      <c r="BS27" s="157"/>
      <c r="BT27" s="158"/>
      <c r="BU27" s="159">
        <v>23</v>
      </c>
      <c r="BV27" s="157"/>
      <c r="BW27" s="157"/>
      <c r="BX27" s="157"/>
      <c r="BY27" s="157"/>
      <c r="BZ27" s="157"/>
      <c r="CA27" s="157"/>
      <c r="CB27" s="157"/>
      <c r="CC27" s="157"/>
      <c r="CD27" s="160"/>
      <c r="CE27" s="117" t="str">
        <f t="shared" si="10"/>
        <v/>
      </c>
      <c r="CF27" s="100" t="str">
        <f t="shared" si="11"/>
        <v/>
      </c>
      <c r="CG27" s="99" t="str">
        <f>IF(CE27="","",VLOOKUP(CF27,Table1[],2,TRUE))</f>
        <v/>
      </c>
      <c r="CH27" s="101">
        <f t="shared" si="12"/>
        <v>23</v>
      </c>
      <c r="CI27" s="102">
        <f t="shared" si="13"/>
        <v>0.76666666666666672</v>
      </c>
      <c r="CJ27" s="103" t="str">
        <f>IF(CH27="","",VLOOKUP(CI27,Table1[],2,TRUE))</f>
        <v>B+</v>
      </c>
      <c r="CK27" s="104" t="str">
        <f>IF(AND(CF27="",CI27=""),"",IF(OR(CF27="-",CI27="-"),"-",IF(AND(CF$3&lt;&gt;0,CI$3&lt;&gt;0),VLOOKUP(AVERAGE(CF27,CI27),Table1[],2,TRUE),IF(AND(CF$3&lt;&gt;0,CI$3=0),CG27,CJ27))))</f>
        <v>B+</v>
      </c>
      <c r="CL27" s="105"/>
      <c r="CM27" s="107" t="str">
        <f t="shared" si="14"/>
        <v>B+</v>
      </c>
      <c r="CN27" s="155" t="s">
        <v>18</v>
      </c>
      <c r="CO27" s="156">
        <v>14.5</v>
      </c>
      <c r="CP27" s="157"/>
      <c r="CQ27" s="157">
        <v>2</v>
      </c>
      <c r="CR27" s="157"/>
      <c r="CS27" s="157"/>
      <c r="CT27" s="157"/>
      <c r="CU27" s="157"/>
      <c r="CV27" s="157"/>
      <c r="CW27" s="157"/>
      <c r="CX27" s="158"/>
      <c r="CY27" s="159">
        <v>1.5</v>
      </c>
      <c r="CZ27" s="157"/>
      <c r="DA27" s="157"/>
      <c r="DB27" s="157"/>
      <c r="DC27" s="157"/>
      <c r="DD27" s="157"/>
      <c r="DE27" s="157"/>
      <c r="DF27" s="157"/>
      <c r="DG27" s="157"/>
      <c r="DH27" s="160"/>
      <c r="DI27" s="117">
        <f t="shared" si="15"/>
        <v>16.5</v>
      </c>
      <c r="DJ27" s="100">
        <f t="shared" si="16"/>
        <v>0.62264150943396224</v>
      </c>
      <c r="DK27" s="99" t="str">
        <f>IF(DI27="","",VLOOKUP(DJ27,Table1[],2,TRUE))</f>
        <v>C+</v>
      </c>
      <c r="DL27" s="101">
        <f t="shared" si="17"/>
        <v>1.5</v>
      </c>
      <c r="DM27" s="102">
        <f t="shared" si="18"/>
        <v>0.21428571428571427</v>
      </c>
      <c r="DN27" s="103" t="str">
        <f>IF(DL27="","",VLOOKUP(DM27,Table1[],2,TRUE))</f>
        <v>E+</v>
      </c>
      <c r="DO27" s="104" t="str">
        <f>IF(AND(DJ27="",DM27=""),"",IF(OR(DJ27="-",DM27="-"),"-",IF(AND(DJ$3&lt;&gt;0,DM$3&lt;&gt;0),VLOOKUP(AVERAGE(DJ27,DM27),Table1[],2,TRUE),IF(AND(DJ$3&lt;&gt;0,DM$3=0),DK27,DN27))))</f>
        <v>D+</v>
      </c>
      <c r="DP27" s="105"/>
      <c r="DQ27" s="107" t="str">
        <f t="shared" si="19"/>
        <v>D+</v>
      </c>
      <c r="DR27" s="155" t="s">
        <v>18</v>
      </c>
      <c r="DS27" s="171" t="s">
        <v>9</v>
      </c>
    </row>
    <row r="28" spans="1:123" s="61" customFormat="1" x14ac:dyDescent="0.25">
      <c r="A28" s="127" t="str">
        <f>IF(ISBLANK(ClassInformation!C33),"ZZZZZ",ClassInformation!C33)</f>
        <v>Thompson</v>
      </c>
      <c r="B28" s="128" t="str">
        <f>IF(ISBLANK(ClassInformation!D33),"ZZZZZ",ClassInformation!D33)</f>
        <v>Benjamin</v>
      </c>
      <c r="C28" s="156">
        <v>6</v>
      </c>
      <c r="D28" s="157"/>
      <c r="E28" s="157">
        <v>9</v>
      </c>
      <c r="F28" s="157"/>
      <c r="G28" s="157">
        <v>8</v>
      </c>
      <c r="H28" s="157"/>
      <c r="I28" s="157"/>
      <c r="J28" s="157"/>
      <c r="K28" s="157"/>
      <c r="L28" s="158"/>
      <c r="M28" s="159"/>
      <c r="N28" s="157"/>
      <c r="O28" s="157"/>
      <c r="P28" s="157"/>
      <c r="Q28" s="157"/>
      <c r="R28" s="157"/>
      <c r="S28" s="157"/>
      <c r="T28" s="157"/>
      <c r="U28" s="157"/>
      <c r="V28" s="160"/>
      <c r="W28" s="117">
        <f t="shared" si="0"/>
        <v>23</v>
      </c>
      <c r="X28" s="100">
        <f t="shared" si="1"/>
        <v>0.57499999999999996</v>
      </c>
      <c r="Y28" s="99" t="str">
        <f>IF(W28="","",VLOOKUP(X28,Table1[],2,TRUE))</f>
        <v>C</v>
      </c>
      <c r="Z28" s="101" t="str">
        <f t="shared" si="2"/>
        <v/>
      </c>
      <c r="AA28" s="102" t="str">
        <f t="shared" si="3"/>
        <v/>
      </c>
      <c r="AB28" s="103" t="str">
        <f>IF(Z28="","",VLOOKUP(AA28,Table1[],2,TRUE))</f>
        <v/>
      </c>
      <c r="AC28" s="104" t="str">
        <f>IF(AND(X28="",AA28=""),"",IF(OR(X28="-",AA28="-"),"-",IF(AND(X$3&lt;&gt;0,AA$3&lt;&gt;0),VLOOKUP(AVERAGE(X28,AA28),Table1[],2,TRUE),IF(AND(X$3&lt;&gt;0,AA$3=0),Y28,AB28))))</f>
        <v>C</v>
      </c>
      <c r="AD28" s="105"/>
      <c r="AE28" s="107" t="str">
        <f t="shared" si="4"/>
        <v>C</v>
      </c>
      <c r="AF28" s="155" t="s">
        <v>18</v>
      </c>
      <c r="AG28" s="156">
        <v>11.5</v>
      </c>
      <c r="AH28" s="157"/>
      <c r="AI28" s="157">
        <v>2</v>
      </c>
      <c r="AJ28" s="157"/>
      <c r="AK28" s="157"/>
      <c r="AL28" s="157"/>
      <c r="AM28" s="157"/>
      <c r="AN28" s="157"/>
      <c r="AO28" s="157"/>
      <c r="AP28" s="158"/>
      <c r="AQ28" s="159">
        <v>6</v>
      </c>
      <c r="AR28" s="157"/>
      <c r="AS28" s="157"/>
      <c r="AT28" s="157"/>
      <c r="AU28" s="157"/>
      <c r="AV28" s="157"/>
      <c r="AW28" s="157"/>
      <c r="AX28" s="157"/>
      <c r="AY28" s="157"/>
      <c r="AZ28" s="160"/>
      <c r="BA28" s="117">
        <f t="shared" si="5"/>
        <v>13.5</v>
      </c>
      <c r="BB28" s="100">
        <f t="shared" si="6"/>
        <v>0.61363636363636365</v>
      </c>
      <c r="BC28" s="99" t="str">
        <f>IF(BA28="","",VLOOKUP(BB28,Table1[],2,TRUE))</f>
        <v>C+</v>
      </c>
      <c r="BD28" s="101">
        <f t="shared" si="7"/>
        <v>6</v>
      </c>
      <c r="BE28" s="102">
        <f t="shared" si="8"/>
        <v>0.6</v>
      </c>
      <c r="BF28" s="103" t="str">
        <f>IF(BD28="","",VLOOKUP(BE28,Table1[],2,TRUE))</f>
        <v>C+</v>
      </c>
      <c r="BG28" s="104" t="str">
        <f>IF(AND(BB28="",BE28=""),"",IF(OR(BB28="-",BE28="-"),"-",IF(AND(BB$3&lt;&gt;0,BE$3&lt;&gt;0),VLOOKUP(AVERAGE(BB28,BE28),Table1[],2,TRUE),IF(AND(BB$3&lt;&gt;0,BE$3=0),BC28,BF28))))</f>
        <v>C+</v>
      </c>
      <c r="BH28" s="105"/>
      <c r="BI28" s="107" t="str">
        <f t="shared" si="9"/>
        <v>C+</v>
      </c>
      <c r="BJ28" s="155" t="s">
        <v>18</v>
      </c>
      <c r="BK28" s="156"/>
      <c r="BL28" s="157"/>
      <c r="BM28" s="157"/>
      <c r="BN28" s="157"/>
      <c r="BO28" s="157"/>
      <c r="BP28" s="157"/>
      <c r="BQ28" s="157"/>
      <c r="BR28" s="157"/>
      <c r="BS28" s="157"/>
      <c r="BT28" s="158"/>
      <c r="BU28" s="159">
        <v>21</v>
      </c>
      <c r="BV28" s="157"/>
      <c r="BW28" s="157"/>
      <c r="BX28" s="157"/>
      <c r="BY28" s="157"/>
      <c r="BZ28" s="157"/>
      <c r="CA28" s="157"/>
      <c r="CB28" s="157"/>
      <c r="CC28" s="157"/>
      <c r="CD28" s="160"/>
      <c r="CE28" s="117" t="str">
        <f t="shared" si="10"/>
        <v/>
      </c>
      <c r="CF28" s="100" t="str">
        <f t="shared" si="11"/>
        <v/>
      </c>
      <c r="CG28" s="99" t="str">
        <f>IF(CE28="","",VLOOKUP(CF28,Table1[],2,TRUE))</f>
        <v/>
      </c>
      <c r="CH28" s="101">
        <f t="shared" si="12"/>
        <v>21</v>
      </c>
      <c r="CI28" s="102">
        <f t="shared" si="13"/>
        <v>0.7</v>
      </c>
      <c r="CJ28" s="103" t="str">
        <f>IF(CH28="","",VLOOKUP(CI28,Table1[],2,TRUE))</f>
        <v>B</v>
      </c>
      <c r="CK28" s="104" t="str">
        <f>IF(AND(CF28="",CI28=""),"",IF(OR(CF28="-",CI28="-"),"-",IF(AND(CF$3&lt;&gt;0,CI$3&lt;&gt;0),VLOOKUP(AVERAGE(CF28,CI28),Table1[],2,TRUE),IF(AND(CF$3&lt;&gt;0,CI$3=0),CG28,CJ28))))</f>
        <v>B</v>
      </c>
      <c r="CL28" s="105"/>
      <c r="CM28" s="107" t="str">
        <f t="shared" si="14"/>
        <v>B</v>
      </c>
      <c r="CN28" s="155" t="s">
        <v>18</v>
      </c>
      <c r="CO28" s="156">
        <v>15</v>
      </c>
      <c r="CP28" s="157"/>
      <c r="CQ28" s="157">
        <v>2</v>
      </c>
      <c r="CR28" s="157"/>
      <c r="CS28" s="157"/>
      <c r="CT28" s="157"/>
      <c r="CU28" s="157"/>
      <c r="CV28" s="157"/>
      <c r="CW28" s="157"/>
      <c r="CX28" s="158"/>
      <c r="CY28" s="159">
        <v>4.5</v>
      </c>
      <c r="CZ28" s="157"/>
      <c r="DA28" s="157"/>
      <c r="DB28" s="157"/>
      <c r="DC28" s="157"/>
      <c r="DD28" s="157"/>
      <c r="DE28" s="157"/>
      <c r="DF28" s="157"/>
      <c r="DG28" s="157"/>
      <c r="DH28" s="160"/>
      <c r="DI28" s="117">
        <f t="shared" si="15"/>
        <v>17</v>
      </c>
      <c r="DJ28" s="100">
        <f t="shared" si="16"/>
        <v>0.64150943396226412</v>
      </c>
      <c r="DK28" s="99" t="str">
        <f>IF(DI28="","",VLOOKUP(DJ28,Table1[],2,TRUE))</f>
        <v>C+</v>
      </c>
      <c r="DL28" s="101">
        <f t="shared" si="17"/>
        <v>4.5</v>
      </c>
      <c r="DM28" s="102">
        <f t="shared" si="18"/>
        <v>0.6428571428571429</v>
      </c>
      <c r="DN28" s="103" t="str">
        <f>IF(DL28="","",VLOOKUP(DM28,Table1[],2,TRUE))</f>
        <v>C+</v>
      </c>
      <c r="DO28" s="104" t="str">
        <f>IF(AND(DJ28="",DM28=""),"",IF(OR(DJ28="-",DM28="-"),"-",IF(AND(DJ$3&lt;&gt;0,DM$3&lt;&gt;0),VLOOKUP(AVERAGE(DJ28,DM28),Table1[],2,TRUE),IF(AND(DJ$3&lt;&gt;0,DM$3=0),DK28,DN28))))</f>
        <v>C+</v>
      </c>
      <c r="DP28" s="105"/>
      <c r="DQ28" s="107" t="str">
        <f t="shared" si="19"/>
        <v>C+</v>
      </c>
      <c r="DR28" s="155" t="s">
        <v>18</v>
      </c>
      <c r="DS28" s="171" t="s">
        <v>11</v>
      </c>
    </row>
    <row r="29" spans="1:123" s="61" customFormat="1" x14ac:dyDescent="0.25">
      <c r="A29" s="127" t="str">
        <f>IF(ISBLANK(ClassInformation!C34),"ZZZZZ",ClassInformation!C34)</f>
        <v>Yakimoff-Minge</v>
      </c>
      <c r="B29" s="128" t="str">
        <f>IF(ISBLANK(ClassInformation!D34),"ZZZZZ",ClassInformation!D34)</f>
        <v>Lliam</v>
      </c>
      <c r="C29" s="156">
        <v>4</v>
      </c>
      <c r="D29" s="157"/>
      <c r="E29" s="157">
        <v>9</v>
      </c>
      <c r="F29" s="157"/>
      <c r="G29" s="157"/>
      <c r="H29" s="157"/>
      <c r="I29" s="157"/>
      <c r="J29" s="157"/>
      <c r="K29" s="157"/>
      <c r="L29" s="158"/>
      <c r="M29" s="159"/>
      <c r="N29" s="157"/>
      <c r="O29" s="157"/>
      <c r="P29" s="157"/>
      <c r="Q29" s="157"/>
      <c r="R29" s="157"/>
      <c r="S29" s="157"/>
      <c r="T29" s="157"/>
      <c r="U29" s="157"/>
      <c r="V29" s="160"/>
      <c r="W29" s="117">
        <f t="shared" si="0"/>
        <v>13</v>
      </c>
      <c r="X29" s="100">
        <f t="shared" si="1"/>
        <v>0.32500000000000001</v>
      </c>
      <c r="Y29" s="99" t="str">
        <f>IF(W29="","",VLOOKUP(X29,Table1[],2,TRUE))</f>
        <v>D</v>
      </c>
      <c r="Z29" s="101" t="str">
        <f t="shared" si="2"/>
        <v/>
      </c>
      <c r="AA29" s="102" t="str">
        <f t="shared" si="3"/>
        <v/>
      </c>
      <c r="AB29" s="103" t="str">
        <f>IF(Z29="","",VLOOKUP(AA29,Table1[],2,TRUE))</f>
        <v/>
      </c>
      <c r="AC29" s="104" t="str">
        <f>IF(AND(X29="",AA29=""),"",IF(OR(X29="-",AA29="-"),"-",IF(AND(X$3&lt;&gt;0,AA$3&lt;&gt;0),VLOOKUP(AVERAGE(X29,AA29),Table1[],2,TRUE),IF(AND(X$3&lt;&gt;0,AA$3=0),Y29,AB29))))</f>
        <v>D</v>
      </c>
      <c r="AD29" s="105"/>
      <c r="AE29" s="107" t="str">
        <f t="shared" si="4"/>
        <v>D</v>
      </c>
      <c r="AF29" s="155" t="s">
        <v>18</v>
      </c>
      <c r="AG29" s="156">
        <v>10.5</v>
      </c>
      <c r="AH29" s="157"/>
      <c r="AI29" s="157">
        <v>0</v>
      </c>
      <c r="AJ29" s="157"/>
      <c r="AK29" s="157"/>
      <c r="AL29" s="157"/>
      <c r="AM29" s="157"/>
      <c r="AN29" s="157"/>
      <c r="AO29" s="157"/>
      <c r="AP29" s="158"/>
      <c r="AQ29" s="159">
        <v>5</v>
      </c>
      <c r="AR29" s="157"/>
      <c r="AS29" s="157"/>
      <c r="AT29" s="157"/>
      <c r="AU29" s="157"/>
      <c r="AV29" s="157"/>
      <c r="AW29" s="157"/>
      <c r="AX29" s="157"/>
      <c r="AY29" s="157"/>
      <c r="AZ29" s="160"/>
      <c r="BA29" s="117">
        <f t="shared" si="5"/>
        <v>10.5</v>
      </c>
      <c r="BB29" s="100">
        <f t="shared" si="6"/>
        <v>0.47727272727272729</v>
      </c>
      <c r="BC29" s="99" t="str">
        <f>IF(BA29="","",VLOOKUP(BB29,Table1[],2,TRUE))</f>
        <v>C-</v>
      </c>
      <c r="BD29" s="101">
        <f t="shared" si="7"/>
        <v>5</v>
      </c>
      <c r="BE29" s="102">
        <f t="shared" si="8"/>
        <v>0.5</v>
      </c>
      <c r="BF29" s="103" t="str">
        <f>IF(BD29="","",VLOOKUP(BE29,Table1[],2,TRUE))</f>
        <v>C-</v>
      </c>
      <c r="BG29" s="104" t="str">
        <f>IF(AND(BB29="",BE29=""),"",IF(OR(BB29="-",BE29="-"),"-",IF(AND(BB$3&lt;&gt;0,BE$3&lt;&gt;0),VLOOKUP(AVERAGE(BB29,BE29),Table1[],2,TRUE),IF(AND(BB$3&lt;&gt;0,BE$3=0),BC29,BF29))))</f>
        <v>C-</v>
      </c>
      <c r="BH29" s="105"/>
      <c r="BI29" s="107" t="str">
        <f t="shared" si="9"/>
        <v>C-</v>
      </c>
      <c r="BJ29" s="155" t="s">
        <v>18</v>
      </c>
      <c r="BK29" s="156"/>
      <c r="BL29" s="157"/>
      <c r="BM29" s="157"/>
      <c r="BN29" s="157"/>
      <c r="BO29" s="157"/>
      <c r="BP29" s="157"/>
      <c r="BQ29" s="157"/>
      <c r="BR29" s="157"/>
      <c r="BS29" s="157"/>
      <c r="BT29" s="158"/>
      <c r="BU29" s="159">
        <v>8</v>
      </c>
      <c r="BV29" s="157"/>
      <c r="BW29" s="157"/>
      <c r="BX29" s="157"/>
      <c r="BY29" s="157"/>
      <c r="BZ29" s="157"/>
      <c r="CA29" s="157"/>
      <c r="CB29" s="157"/>
      <c r="CC29" s="157"/>
      <c r="CD29" s="160"/>
      <c r="CE29" s="117" t="str">
        <f t="shared" si="10"/>
        <v/>
      </c>
      <c r="CF29" s="100" t="str">
        <f t="shared" si="11"/>
        <v/>
      </c>
      <c r="CG29" s="99" t="str">
        <f>IF(CE29="","",VLOOKUP(CF29,Table1[],2,TRUE))</f>
        <v/>
      </c>
      <c r="CH29" s="101">
        <f t="shared" si="12"/>
        <v>8</v>
      </c>
      <c r="CI29" s="102">
        <f t="shared" si="13"/>
        <v>0.26666666666666666</v>
      </c>
      <c r="CJ29" s="103" t="str">
        <f>IF(CH29="","",VLOOKUP(CI29,Table1[],2,TRUE))</f>
        <v>D-</v>
      </c>
      <c r="CK29" s="104" t="str">
        <f>IF(AND(CF29="",CI29=""),"",IF(OR(CF29="-",CI29="-"),"-",IF(AND(CF$3&lt;&gt;0,CI$3&lt;&gt;0),VLOOKUP(AVERAGE(CF29,CI29),Table1[],2,TRUE),IF(AND(CF$3&lt;&gt;0,CI$3=0),CG29,CJ29))))</f>
        <v>D-</v>
      </c>
      <c r="CL29" s="105"/>
      <c r="CM29" s="107" t="str">
        <f t="shared" si="14"/>
        <v>D-</v>
      </c>
      <c r="CN29" s="155" t="s">
        <v>18</v>
      </c>
      <c r="CO29" s="156">
        <v>13.5</v>
      </c>
      <c r="CP29" s="157"/>
      <c r="CQ29" s="157">
        <v>2</v>
      </c>
      <c r="CR29" s="157"/>
      <c r="CS29" s="157"/>
      <c r="CT29" s="157"/>
      <c r="CU29" s="157"/>
      <c r="CV29" s="157"/>
      <c r="CW29" s="157"/>
      <c r="CX29" s="158"/>
      <c r="CY29" s="159">
        <v>4</v>
      </c>
      <c r="CZ29" s="157"/>
      <c r="DA29" s="157"/>
      <c r="DB29" s="157"/>
      <c r="DC29" s="157"/>
      <c r="DD29" s="157"/>
      <c r="DE29" s="157"/>
      <c r="DF29" s="157"/>
      <c r="DG29" s="157"/>
      <c r="DH29" s="160"/>
      <c r="DI29" s="117">
        <f t="shared" si="15"/>
        <v>15.5</v>
      </c>
      <c r="DJ29" s="100">
        <f t="shared" si="16"/>
        <v>0.58490566037735847</v>
      </c>
      <c r="DK29" s="99" t="str">
        <f>IF(DI29="","",VLOOKUP(DJ29,Table1[],2,TRUE))</f>
        <v>C</v>
      </c>
      <c r="DL29" s="101">
        <f t="shared" si="17"/>
        <v>4</v>
      </c>
      <c r="DM29" s="102">
        <f t="shared" si="18"/>
        <v>0.5714285714285714</v>
      </c>
      <c r="DN29" s="103" t="str">
        <f>IF(DL29="","",VLOOKUP(DM29,Table1[],2,TRUE))</f>
        <v>C</v>
      </c>
      <c r="DO29" s="104" t="str">
        <f>IF(AND(DJ29="",DM29=""),"",IF(OR(DJ29="-",DM29="-"),"-",IF(AND(DJ$3&lt;&gt;0,DM$3&lt;&gt;0),VLOOKUP(AVERAGE(DJ29,DM29),Table1[],2,TRUE),IF(AND(DJ$3&lt;&gt;0,DM$3=0),DK29,DN29))))</f>
        <v>C</v>
      </c>
      <c r="DP29" s="105"/>
      <c r="DQ29" s="107" t="str">
        <f t="shared" si="19"/>
        <v>C</v>
      </c>
      <c r="DR29" s="155" t="s">
        <v>18</v>
      </c>
      <c r="DS29" s="171" t="s">
        <v>9</v>
      </c>
    </row>
    <row r="30" spans="1:123" s="61" customFormat="1" x14ac:dyDescent="0.25">
      <c r="A30" s="127" t="str">
        <f>IF(ISBLANK(ClassInformation!C35),"ZZZZZ",ClassInformation!C35)</f>
        <v>ZZZZZ</v>
      </c>
      <c r="B30" s="128" t="str">
        <f>IF(ISBLANK(ClassInformation!D35),"ZZZZZ",ClassInformation!D35)</f>
        <v>ZZZZZ</v>
      </c>
      <c r="C30" s="156"/>
      <c r="D30" s="157"/>
      <c r="E30" s="157"/>
      <c r="F30" s="157"/>
      <c r="G30" s="157"/>
      <c r="H30" s="157"/>
      <c r="I30" s="157"/>
      <c r="J30" s="157"/>
      <c r="K30" s="157"/>
      <c r="L30" s="158"/>
      <c r="M30" s="159"/>
      <c r="N30" s="157"/>
      <c r="O30" s="157"/>
      <c r="P30" s="157"/>
      <c r="Q30" s="157"/>
      <c r="R30" s="157"/>
      <c r="S30" s="157"/>
      <c r="T30" s="157"/>
      <c r="U30" s="157"/>
      <c r="V30" s="160"/>
      <c r="W30" s="117" t="str">
        <f t="shared" si="0"/>
        <v/>
      </c>
      <c r="X30" s="100" t="str">
        <f t="shared" si="1"/>
        <v/>
      </c>
      <c r="Y30" s="99" t="str">
        <f>IF(W30="","",VLOOKUP(X30,Table1[],2,TRUE))</f>
        <v/>
      </c>
      <c r="Z30" s="101" t="str">
        <f t="shared" si="2"/>
        <v/>
      </c>
      <c r="AA30" s="102" t="str">
        <f t="shared" si="3"/>
        <v/>
      </c>
      <c r="AB30" s="103" t="str">
        <f>IF(Z30="","",VLOOKUP(AA30,Table1[],2,TRUE))</f>
        <v/>
      </c>
      <c r="AC30" s="104" t="str">
        <f>IF(AND(X30="",AA30=""),"",IF(OR(X30="-",AA30="-"),"-",IF(AND(X$3&lt;&gt;0,AA$3&lt;&gt;0),VLOOKUP(AVERAGE(X30,AA30),Table1[],2,TRUE),IF(AND(X$3&lt;&gt;0,AA$3=0),Y30,AB30))))</f>
        <v/>
      </c>
      <c r="AD30" s="105"/>
      <c r="AE30" s="107" t="str">
        <f t="shared" si="4"/>
        <v/>
      </c>
      <c r="AF30" s="155" t="s">
        <v>18</v>
      </c>
      <c r="AG30" s="156"/>
      <c r="AH30" s="157"/>
      <c r="AI30" s="157"/>
      <c r="AJ30" s="157"/>
      <c r="AK30" s="157"/>
      <c r="AL30" s="157"/>
      <c r="AM30" s="157"/>
      <c r="AN30" s="157"/>
      <c r="AO30" s="157"/>
      <c r="AP30" s="158"/>
      <c r="AQ30" s="159"/>
      <c r="AR30" s="157"/>
      <c r="AS30" s="157"/>
      <c r="AT30" s="157"/>
      <c r="AU30" s="157"/>
      <c r="AV30" s="157"/>
      <c r="AW30" s="157"/>
      <c r="AX30" s="157"/>
      <c r="AY30" s="157"/>
      <c r="AZ30" s="160"/>
      <c r="BA30" s="117" t="str">
        <f t="shared" si="5"/>
        <v/>
      </c>
      <c r="BB30" s="100" t="str">
        <f t="shared" si="6"/>
        <v/>
      </c>
      <c r="BC30" s="99" t="str">
        <f>IF(BA30="","",VLOOKUP(BB30,Table1[],2,TRUE))</f>
        <v/>
      </c>
      <c r="BD30" s="101" t="str">
        <f t="shared" si="7"/>
        <v/>
      </c>
      <c r="BE30" s="102" t="str">
        <f t="shared" si="8"/>
        <v/>
      </c>
      <c r="BF30" s="103" t="str">
        <f>IF(BD30="","",VLOOKUP(BE30,Table1[],2,TRUE))</f>
        <v/>
      </c>
      <c r="BG30" s="104" t="str">
        <f>IF(AND(BB30="",BE30=""),"",IF(OR(BB30="-",BE30="-"),"-",IF(AND(BB$3&lt;&gt;0,BE$3&lt;&gt;0),VLOOKUP(AVERAGE(BB30,BE30),Table1[],2,TRUE),IF(AND(BB$3&lt;&gt;0,BE$3=0),BC30,BF30))))</f>
        <v/>
      </c>
      <c r="BH30" s="105"/>
      <c r="BI30" s="107" t="str">
        <f t="shared" si="9"/>
        <v/>
      </c>
      <c r="BJ30" s="155" t="s">
        <v>18</v>
      </c>
      <c r="BK30" s="156"/>
      <c r="BL30" s="157"/>
      <c r="BM30" s="157"/>
      <c r="BN30" s="157"/>
      <c r="BO30" s="157"/>
      <c r="BP30" s="157"/>
      <c r="BQ30" s="157"/>
      <c r="BR30" s="157"/>
      <c r="BS30" s="157"/>
      <c r="BT30" s="158"/>
      <c r="BU30" s="159"/>
      <c r="BV30" s="157"/>
      <c r="BW30" s="157"/>
      <c r="BX30" s="157"/>
      <c r="BY30" s="157"/>
      <c r="BZ30" s="157"/>
      <c r="CA30" s="157"/>
      <c r="CB30" s="157"/>
      <c r="CC30" s="157"/>
      <c r="CD30" s="160"/>
      <c r="CE30" s="117" t="str">
        <f t="shared" si="10"/>
        <v/>
      </c>
      <c r="CF30" s="100" t="str">
        <f t="shared" si="11"/>
        <v/>
      </c>
      <c r="CG30" s="99" t="str">
        <f>IF(CE30="","",VLOOKUP(CF30,Table1[],2,TRUE))</f>
        <v/>
      </c>
      <c r="CH30" s="101" t="str">
        <f t="shared" si="12"/>
        <v/>
      </c>
      <c r="CI30" s="102" t="str">
        <f t="shared" si="13"/>
        <v/>
      </c>
      <c r="CJ30" s="103" t="str">
        <f>IF(CH30="","",VLOOKUP(CI30,Table1[],2,TRUE))</f>
        <v/>
      </c>
      <c r="CK30" s="104" t="str">
        <f>IF(AND(CF30="",CI30=""),"",IF(OR(CF30="-",CI30="-"),"-",IF(AND(CF$3&lt;&gt;0,CI$3&lt;&gt;0),VLOOKUP(AVERAGE(CF30,CI30),Table1[],2,TRUE),IF(AND(CF$3&lt;&gt;0,CI$3=0),CG30,CJ30))))</f>
        <v/>
      </c>
      <c r="CL30" s="105"/>
      <c r="CM30" s="107" t="str">
        <f t="shared" si="14"/>
        <v/>
      </c>
      <c r="CN30" s="155" t="s">
        <v>18</v>
      </c>
      <c r="CO30" s="156"/>
      <c r="CP30" s="157"/>
      <c r="CQ30" s="157"/>
      <c r="CR30" s="157"/>
      <c r="CS30" s="157"/>
      <c r="CT30" s="157"/>
      <c r="CU30" s="157"/>
      <c r="CV30" s="157"/>
      <c r="CW30" s="157"/>
      <c r="CX30" s="158"/>
      <c r="CY30" s="159"/>
      <c r="CZ30" s="157"/>
      <c r="DA30" s="157"/>
      <c r="DB30" s="157"/>
      <c r="DC30" s="157"/>
      <c r="DD30" s="157"/>
      <c r="DE30" s="157"/>
      <c r="DF30" s="157"/>
      <c r="DG30" s="157"/>
      <c r="DH30" s="160"/>
      <c r="DI30" s="117" t="str">
        <f t="shared" si="15"/>
        <v/>
      </c>
      <c r="DJ30" s="100" t="str">
        <f t="shared" si="16"/>
        <v/>
      </c>
      <c r="DK30" s="99" t="str">
        <f>IF(DI30="","",VLOOKUP(DJ30,Table1[],2,TRUE))</f>
        <v/>
      </c>
      <c r="DL30" s="101" t="str">
        <f t="shared" si="17"/>
        <v/>
      </c>
      <c r="DM30" s="102" t="str">
        <f t="shared" si="18"/>
        <v/>
      </c>
      <c r="DN30" s="103" t="str">
        <f>IF(DL30="","",VLOOKUP(DM30,Table1[],2,TRUE))</f>
        <v/>
      </c>
      <c r="DO30" s="104" t="str">
        <f>IF(AND(DJ30="",DM30=""),"",IF(OR(DJ30="-",DM30="-"),"-",IF(AND(DJ$3&lt;&gt;0,DM$3&lt;&gt;0),VLOOKUP(AVERAGE(DJ30,DM30),Table1[],2,TRUE),IF(AND(DJ$3&lt;&gt;0,DM$3=0),DK30,DN30))))</f>
        <v/>
      </c>
      <c r="DP30" s="105"/>
      <c r="DQ30" s="107" t="str">
        <f t="shared" si="19"/>
        <v/>
      </c>
      <c r="DR30" s="155" t="s">
        <v>18</v>
      </c>
      <c r="DS30" s="172"/>
    </row>
    <row r="31" spans="1:123" s="61" customFormat="1" x14ac:dyDescent="0.25">
      <c r="A31" s="127" t="str">
        <f>IF(ISBLANK(ClassInformation!C36),"ZZZZZ",ClassInformation!C36)</f>
        <v>ZZZZZ</v>
      </c>
      <c r="B31" s="128" t="str">
        <f>IF(ISBLANK(ClassInformation!D36),"ZZZZZ",ClassInformation!D36)</f>
        <v>ZZZZZ</v>
      </c>
      <c r="C31" s="156"/>
      <c r="D31" s="157"/>
      <c r="E31" s="157"/>
      <c r="F31" s="157"/>
      <c r="G31" s="157"/>
      <c r="H31" s="157"/>
      <c r="I31" s="157"/>
      <c r="J31" s="157"/>
      <c r="K31" s="157"/>
      <c r="L31" s="158"/>
      <c r="M31" s="159"/>
      <c r="N31" s="157"/>
      <c r="O31" s="157"/>
      <c r="P31" s="157"/>
      <c r="Q31" s="157"/>
      <c r="R31" s="157"/>
      <c r="S31" s="157"/>
      <c r="T31" s="157"/>
      <c r="U31" s="157"/>
      <c r="V31" s="160"/>
      <c r="W31" s="117" t="str">
        <f t="shared" si="0"/>
        <v/>
      </c>
      <c r="X31" s="100" t="str">
        <f t="shared" si="1"/>
        <v/>
      </c>
      <c r="Y31" s="99" t="str">
        <f>IF(W31="","",VLOOKUP(X31,Table1[],2,TRUE))</f>
        <v/>
      </c>
      <c r="Z31" s="101" t="str">
        <f t="shared" si="2"/>
        <v/>
      </c>
      <c r="AA31" s="102" t="str">
        <f t="shared" si="3"/>
        <v/>
      </c>
      <c r="AB31" s="103" t="str">
        <f>IF(Z31="","",VLOOKUP(AA31,Table1[],2,TRUE))</f>
        <v/>
      </c>
      <c r="AC31" s="104" t="str">
        <f>IF(AND(X31="",AA31=""),"",IF(OR(X31="-",AA31="-"),"-",IF(AND(X$3&lt;&gt;0,AA$3&lt;&gt;0),VLOOKUP(AVERAGE(X31,AA31),Table1[],2,TRUE),IF(AND(X$3&lt;&gt;0,AA$3=0),Y31,AB31))))</f>
        <v/>
      </c>
      <c r="AD31" s="105"/>
      <c r="AE31" s="107" t="str">
        <f t="shared" si="4"/>
        <v/>
      </c>
      <c r="AF31" s="155" t="s">
        <v>18</v>
      </c>
      <c r="AG31" s="156"/>
      <c r="AH31" s="157"/>
      <c r="AI31" s="157"/>
      <c r="AJ31" s="157"/>
      <c r="AK31" s="157"/>
      <c r="AL31" s="157"/>
      <c r="AM31" s="157"/>
      <c r="AN31" s="157"/>
      <c r="AO31" s="157"/>
      <c r="AP31" s="158"/>
      <c r="AQ31" s="159"/>
      <c r="AR31" s="157"/>
      <c r="AS31" s="157"/>
      <c r="AT31" s="157"/>
      <c r="AU31" s="157"/>
      <c r="AV31" s="157"/>
      <c r="AW31" s="157"/>
      <c r="AX31" s="157"/>
      <c r="AY31" s="157"/>
      <c r="AZ31" s="160"/>
      <c r="BA31" s="117" t="str">
        <f t="shared" si="5"/>
        <v/>
      </c>
      <c r="BB31" s="100" t="str">
        <f t="shared" si="6"/>
        <v/>
      </c>
      <c r="BC31" s="99" t="str">
        <f>IF(BA31="","",VLOOKUP(BB31,Table1[],2,TRUE))</f>
        <v/>
      </c>
      <c r="BD31" s="101" t="str">
        <f t="shared" si="7"/>
        <v/>
      </c>
      <c r="BE31" s="102" t="str">
        <f t="shared" si="8"/>
        <v/>
      </c>
      <c r="BF31" s="103" t="str">
        <f>IF(BD31="","",VLOOKUP(BE31,Table1[],2,TRUE))</f>
        <v/>
      </c>
      <c r="BG31" s="104" t="str">
        <f>IF(AND(BB31="",BE31=""),"",IF(OR(BB31="-",BE31="-"),"-",IF(AND(BB$3&lt;&gt;0,BE$3&lt;&gt;0),VLOOKUP(AVERAGE(BB31,BE31),Table1[],2,TRUE),IF(AND(BB$3&lt;&gt;0,BE$3=0),BC31,BF31))))</f>
        <v/>
      </c>
      <c r="BH31" s="105"/>
      <c r="BI31" s="107" t="str">
        <f t="shared" si="9"/>
        <v/>
      </c>
      <c r="BJ31" s="155" t="s">
        <v>18</v>
      </c>
      <c r="BK31" s="156"/>
      <c r="BL31" s="157"/>
      <c r="BM31" s="157"/>
      <c r="BN31" s="157"/>
      <c r="BO31" s="157"/>
      <c r="BP31" s="157"/>
      <c r="BQ31" s="157"/>
      <c r="BR31" s="157"/>
      <c r="BS31" s="157"/>
      <c r="BT31" s="158"/>
      <c r="BU31" s="159"/>
      <c r="BV31" s="157"/>
      <c r="BW31" s="157"/>
      <c r="BX31" s="157"/>
      <c r="BY31" s="157"/>
      <c r="BZ31" s="157"/>
      <c r="CA31" s="157"/>
      <c r="CB31" s="157"/>
      <c r="CC31" s="157"/>
      <c r="CD31" s="160"/>
      <c r="CE31" s="117" t="str">
        <f t="shared" si="10"/>
        <v/>
      </c>
      <c r="CF31" s="100" t="str">
        <f t="shared" si="11"/>
        <v/>
      </c>
      <c r="CG31" s="99" t="str">
        <f>IF(CE31="","",VLOOKUP(CF31,Table1[],2,TRUE))</f>
        <v/>
      </c>
      <c r="CH31" s="101" t="str">
        <f t="shared" si="12"/>
        <v/>
      </c>
      <c r="CI31" s="102" t="str">
        <f t="shared" si="13"/>
        <v/>
      </c>
      <c r="CJ31" s="103" t="str">
        <f>IF(CH31="","",VLOOKUP(CI31,Table1[],2,TRUE))</f>
        <v/>
      </c>
      <c r="CK31" s="104" t="str">
        <f>IF(AND(CF31="",CI31=""),"",IF(OR(CF31="-",CI31="-"),"-",IF(AND(CF$3&lt;&gt;0,CI$3&lt;&gt;0),VLOOKUP(AVERAGE(CF31,CI31),Table1[],2,TRUE),IF(AND(CF$3&lt;&gt;0,CI$3=0),CG31,CJ31))))</f>
        <v/>
      </c>
      <c r="CL31" s="105"/>
      <c r="CM31" s="107" t="str">
        <f t="shared" si="14"/>
        <v/>
      </c>
      <c r="CN31" s="155" t="s">
        <v>18</v>
      </c>
      <c r="CO31" s="156"/>
      <c r="CP31" s="157"/>
      <c r="CQ31" s="157"/>
      <c r="CR31" s="157"/>
      <c r="CS31" s="157"/>
      <c r="CT31" s="157"/>
      <c r="CU31" s="157"/>
      <c r="CV31" s="157"/>
      <c r="CW31" s="157"/>
      <c r="CX31" s="158"/>
      <c r="CY31" s="159"/>
      <c r="CZ31" s="157"/>
      <c r="DA31" s="157"/>
      <c r="DB31" s="157"/>
      <c r="DC31" s="157"/>
      <c r="DD31" s="157"/>
      <c r="DE31" s="157"/>
      <c r="DF31" s="157"/>
      <c r="DG31" s="157"/>
      <c r="DH31" s="160"/>
      <c r="DI31" s="117" t="str">
        <f t="shared" si="15"/>
        <v/>
      </c>
      <c r="DJ31" s="100" t="str">
        <f t="shared" si="16"/>
        <v/>
      </c>
      <c r="DK31" s="99" t="str">
        <f>IF(DI31="","",VLOOKUP(DJ31,Table1[],2,TRUE))</f>
        <v/>
      </c>
      <c r="DL31" s="101" t="str">
        <f t="shared" si="17"/>
        <v/>
      </c>
      <c r="DM31" s="102" t="str">
        <f t="shared" si="18"/>
        <v/>
      </c>
      <c r="DN31" s="103" t="str">
        <f>IF(DL31="","",VLOOKUP(DM31,Table1[],2,TRUE))</f>
        <v/>
      </c>
      <c r="DO31" s="104" t="str">
        <f>IF(AND(DJ31="",DM31=""),"",IF(OR(DJ31="-",DM31="-"),"-",IF(AND(DJ$3&lt;&gt;0,DM$3&lt;&gt;0),VLOOKUP(AVERAGE(DJ31,DM31),Table1[],2,TRUE),IF(AND(DJ$3&lt;&gt;0,DM$3=0),DK31,DN31))))</f>
        <v/>
      </c>
      <c r="DP31" s="105"/>
      <c r="DQ31" s="107" t="str">
        <f t="shared" si="19"/>
        <v/>
      </c>
      <c r="DR31" s="155" t="s">
        <v>18</v>
      </c>
      <c r="DS31" s="172"/>
    </row>
    <row r="32" spans="1:123" s="61" customFormat="1" x14ac:dyDescent="0.25">
      <c r="A32" s="127" t="str">
        <f>IF(ISBLANK(ClassInformation!C37),"ZZZZZ",ClassInformation!C37)</f>
        <v>ZZZZZ</v>
      </c>
      <c r="B32" s="128" t="str">
        <f>IF(ISBLANK(ClassInformation!D37),"ZZZZZ",ClassInformation!D37)</f>
        <v>ZZZZZ</v>
      </c>
      <c r="C32" s="156"/>
      <c r="D32" s="157"/>
      <c r="E32" s="157"/>
      <c r="F32" s="157"/>
      <c r="G32" s="157"/>
      <c r="H32" s="157"/>
      <c r="I32" s="157"/>
      <c r="J32" s="157"/>
      <c r="K32" s="157"/>
      <c r="L32" s="158"/>
      <c r="M32" s="159"/>
      <c r="N32" s="157"/>
      <c r="O32" s="157"/>
      <c r="P32" s="157"/>
      <c r="Q32" s="157"/>
      <c r="R32" s="157"/>
      <c r="S32" s="157"/>
      <c r="T32" s="157"/>
      <c r="U32" s="157"/>
      <c r="V32" s="160"/>
      <c r="W32" s="117" t="str">
        <f t="shared" si="0"/>
        <v/>
      </c>
      <c r="X32" s="100" t="str">
        <f t="shared" si="1"/>
        <v/>
      </c>
      <c r="Y32" s="99" t="str">
        <f>IF(W32="","",VLOOKUP(X32,Table1[],2,TRUE))</f>
        <v/>
      </c>
      <c r="Z32" s="101" t="str">
        <f t="shared" si="2"/>
        <v/>
      </c>
      <c r="AA32" s="102" t="str">
        <f t="shared" si="3"/>
        <v/>
      </c>
      <c r="AB32" s="103" t="str">
        <f>IF(Z32="","",VLOOKUP(AA32,Table1[],2,TRUE))</f>
        <v/>
      </c>
      <c r="AC32" s="104" t="str">
        <f>IF(AND(X32="",AA32=""),"",IF(OR(X32="-",AA32="-"),"-",IF(AND(X$3&lt;&gt;0,AA$3&lt;&gt;0),VLOOKUP(AVERAGE(X32,AA32),Table1[],2,TRUE),IF(AND(X$3&lt;&gt;0,AA$3=0),Y32,AB32))))</f>
        <v/>
      </c>
      <c r="AD32" s="105"/>
      <c r="AE32" s="107" t="str">
        <f t="shared" si="4"/>
        <v/>
      </c>
      <c r="AF32" s="155" t="s">
        <v>18</v>
      </c>
      <c r="AG32" s="156"/>
      <c r="AH32" s="157"/>
      <c r="AI32" s="157"/>
      <c r="AJ32" s="157"/>
      <c r="AK32" s="157"/>
      <c r="AL32" s="157"/>
      <c r="AM32" s="157"/>
      <c r="AN32" s="157"/>
      <c r="AO32" s="157"/>
      <c r="AP32" s="158"/>
      <c r="AQ32" s="159"/>
      <c r="AR32" s="157"/>
      <c r="AS32" s="157"/>
      <c r="AT32" s="157"/>
      <c r="AU32" s="157"/>
      <c r="AV32" s="157"/>
      <c r="AW32" s="157"/>
      <c r="AX32" s="157"/>
      <c r="AY32" s="157"/>
      <c r="AZ32" s="160"/>
      <c r="BA32" s="117" t="str">
        <f t="shared" si="5"/>
        <v/>
      </c>
      <c r="BB32" s="100" t="str">
        <f t="shared" si="6"/>
        <v/>
      </c>
      <c r="BC32" s="99" t="str">
        <f>IF(BA32="","",VLOOKUP(BB32,Table1[],2,TRUE))</f>
        <v/>
      </c>
      <c r="BD32" s="101" t="str">
        <f t="shared" si="7"/>
        <v/>
      </c>
      <c r="BE32" s="102" t="str">
        <f t="shared" si="8"/>
        <v/>
      </c>
      <c r="BF32" s="103" t="str">
        <f>IF(BD32="","",VLOOKUP(BE32,Table1[],2,TRUE))</f>
        <v/>
      </c>
      <c r="BG32" s="104" t="str">
        <f>IF(AND(BB32="",BE32=""),"",IF(OR(BB32="-",BE32="-"),"-",IF(AND(BB$3&lt;&gt;0,BE$3&lt;&gt;0),VLOOKUP(AVERAGE(BB32,BE32),Table1[],2,TRUE),IF(AND(BB$3&lt;&gt;0,BE$3=0),BC32,BF32))))</f>
        <v/>
      </c>
      <c r="BH32" s="105"/>
      <c r="BI32" s="107" t="str">
        <f t="shared" si="9"/>
        <v/>
      </c>
      <c r="BJ32" s="155" t="s">
        <v>18</v>
      </c>
      <c r="BK32" s="156"/>
      <c r="BL32" s="157"/>
      <c r="BM32" s="157"/>
      <c r="BN32" s="157"/>
      <c r="BO32" s="157"/>
      <c r="BP32" s="157"/>
      <c r="BQ32" s="157"/>
      <c r="BR32" s="157"/>
      <c r="BS32" s="157"/>
      <c r="BT32" s="158"/>
      <c r="BU32" s="159"/>
      <c r="BV32" s="157"/>
      <c r="BW32" s="157"/>
      <c r="BX32" s="157"/>
      <c r="BY32" s="157"/>
      <c r="BZ32" s="157"/>
      <c r="CA32" s="157"/>
      <c r="CB32" s="157"/>
      <c r="CC32" s="157"/>
      <c r="CD32" s="160"/>
      <c r="CE32" s="117" t="str">
        <f t="shared" si="10"/>
        <v/>
      </c>
      <c r="CF32" s="100" t="str">
        <f t="shared" si="11"/>
        <v/>
      </c>
      <c r="CG32" s="99" t="str">
        <f>IF(CE32="","",VLOOKUP(CF32,Table1[],2,TRUE))</f>
        <v/>
      </c>
      <c r="CH32" s="101" t="str">
        <f t="shared" si="12"/>
        <v/>
      </c>
      <c r="CI32" s="102" t="str">
        <f t="shared" si="13"/>
        <v/>
      </c>
      <c r="CJ32" s="103" t="str">
        <f>IF(CH32="","",VLOOKUP(CI32,Table1[],2,TRUE))</f>
        <v/>
      </c>
      <c r="CK32" s="104" t="str">
        <f>IF(AND(CF32="",CI32=""),"",IF(OR(CF32="-",CI32="-"),"-",IF(AND(CF$3&lt;&gt;0,CI$3&lt;&gt;0),VLOOKUP(AVERAGE(CF32,CI32),Table1[],2,TRUE),IF(AND(CF$3&lt;&gt;0,CI$3=0),CG32,CJ32))))</f>
        <v/>
      </c>
      <c r="CL32" s="105"/>
      <c r="CM32" s="107" t="str">
        <f t="shared" si="14"/>
        <v/>
      </c>
      <c r="CN32" s="155" t="s">
        <v>18</v>
      </c>
      <c r="CO32" s="156"/>
      <c r="CP32" s="157"/>
      <c r="CQ32" s="157"/>
      <c r="CR32" s="157"/>
      <c r="CS32" s="157"/>
      <c r="CT32" s="157"/>
      <c r="CU32" s="157"/>
      <c r="CV32" s="157"/>
      <c r="CW32" s="157"/>
      <c r="CX32" s="158"/>
      <c r="CY32" s="159"/>
      <c r="CZ32" s="157"/>
      <c r="DA32" s="157"/>
      <c r="DB32" s="157"/>
      <c r="DC32" s="157"/>
      <c r="DD32" s="157"/>
      <c r="DE32" s="157"/>
      <c r="DF32" s="157"/>
      <c r="DG32" s="157"/>
      <c r="DH32" s="160"/>
      <c r="DI32" s="117" t="str">
        <f t="shared" si="15"/>
        <v/>
      </c>
      <c r="DJ32" s="100" t="str">
        <f t="shared" si="16"/>
        <v/>
      </c>
      <c r="DK32" s="99" t="str">
        <f>IF(DI32="","",VLOOKUP(DJ32,Table1[],2,TRUE))</f>
        <v/>
      </c>
      <c r="DL32" s="101" t="str">
        <f t="shared" si="17"/>
        <v/>
      </c>
      <c r="DM32" s="102" t="str">
        <f t="shared" si="18"/>
        <v/>
      </c>
      <c r="DN32" s="103" t="str">
        <f>IF(DL32="","",VLOOKUP(DM32,Table1[],2,TRUE))</f>
        <v/>
      </c>
      <c r="DO32" s="104" t="str">
        <f>IF(AND(DJ32="",DM32=""),"",IF(OR(DJ32="-",DM32="-"),"-",IF(AND(DJ$3&lt;&gt;0,DM$3&lt;&gt;0),VLOOKUP(AVERAGE(DJ32,DM32),Table1[],2,TRUE),IF(AND(DJ$3&lt;&gt;0,DM$3=0),DK32,DN32))))</f>
        <v/>
      </c>
      <c r="DP32" s="105"/>
      <c r="DQ32" s="107" t="str">
        <f t="shared" si="19"/>
        <v/>
      </c>
      <c r="DR32" s="155" t="s">
        <v>18</v>
      </c>
      <c r="DS32" s="172"/>
    </row>
    <row r="33" spans="1:123" s="61" customFormat="1" x14ac:dyDescent="0.25">
      <c r="A33" s="127" t="str">
        <f>IF(ISBLANK(ClassInformation!C38),"ZZZZZ",ClassInformation!C38)</f>
        <v>ZZZZZ</v>
      </c>
      <c r="B33" s="128" t="str">
        <f>IF(ISBLANK(ClassInformation!D38),"ZZZZZ",ClassInformation!D38)</f>
        <v>ZZZZZ</v>
      </c>
      <c r="C33" s="156"/>
      <c r="D33" s="157"/>
      <c r="E33" s="157"/>
      <c r="F33" s="157"/>
      <c r="G33" s="157"/>
      <c r="H33" s="157"/>
      <c r="I33" s="157"/>
      <c r="J33" s="157"/>
      <c r="K33" s="157"/>
      <c r="L33" s="158"/>
      <c r="M33" s="159"/>
      <c r="N33" s="157"/>
      <c r="O33" s="157"/>
      <c r="P33" s="157"/>
      <c r="Q33" s="157"/>
      <c r="R33" s="157"/>
      <c r="S33" s="157"/>
      <c r="T33" s="157"/>
      <c r="U33" s="157"/>
      <c r="V33" s="160"/>
      <c r="W33" s="117" t="str">
        <f t="shared" si="0"/>
        <v/>
      </c>
      <c r="X33" s="100" t="str">
        <f t="shared" si="1"/>
        <v/>
      </c>
      <c r="Y33" s="99" t="str">
        <f>IF(W33="","",VLOOKUP(X33,Table1[],2,TRUE))</f>
        <v/>
      </c>
      <c r="Z33" s="101" t="str">
        <f t="shared" si="2"/>
        <v/>
      </c>
      <c r="AA33" s="102" t="str">
        <f t="shared" si="3"/>
        <v/>
      </c>
      <c r="AB33" s="103" t="str">
        <f>IF(Z33="","",VLOOKUP(AA33,Table1[],2,TRUE))</f>
        <v/>
      </c>
      <c r="AC33" s="104" t="str">
        <f>IF(AND(X33="",AA33=""),"",IF(OR(X33="-",AA33="-"),"-",IF(AND(X$3&lt;&gt;0,AA$3&lt;&gt;0),VLOOKUP(AVERAGE(X33,AA33),Table1[],2,TRUE),IF(AND(X$3&lt;&gt;0,AA$3=0),Y33,AB33))))</f>
        <v/>
      </c>
      <c r="AD33" s="105"/>
      <c r="AE33" s="107" t="str">
        <f t="shared" si="4"/>
        <v/>
      </c>
      <c r="AF33" s="155" t="s">
        <v>18</v>
      </c>
      <c r="AG33" s="156"/>
      <c r="AH33" s="157"/>
      <c r="AI33" s="157"/>
      <c r="AJ33" s="157"/>
      <c r="AK33" s="157"/>
      <c r="AL33" s="157"/>
      <c r="AM33" s="157"/>
      <c r="AN33" s="157"/>
      <c r="AO33" s="157"/>
      <c r="AP33" s="158"/>
      <c r="AQ33" s="159"/>
      <c r="AR33" s="157"/>
      <c r="AS33" s="157"/>
      <c r="AT33" s="157"/>
      <c r="AU33" s="157"/>
      <c r="AV33" s="157"/>
      <c r="AW33" s="157"/>
      <c r="AX33" s="157"/>
      <c r="AY33" s="157"/>
      <c r="AZ33" s="160"/>
      <c r="BA33" s="117" t="str">
        <f t="shared" si="5"/>
        <v/>
      </c>
      <c r="BB33" s="100" t="str">
        <f t="shared" si="6"/>
        <v/>
      </c>
      <c r="BC33" s="99" t="str">
        <f>IF(BA33="","",VLOOKUP(BB33,Table1[],2,TRUE))</f>
        <v/>
      </c>
      <c r="BD33" s="101" t="str">
        <f t="shared" si="7"/>
        <v/>
      </c>
      <c r="BE33" s="102" t="str">
        <f t="shared" si="8"/>
        <v/>
      </c>
      <c r="BF33" s="103" t="str">
        <f>IF(BD33="","",VLOOKUP(BE33,Table1[],2,TRUE))</f>
        <v/>
      </c>
      <c r="BG33" s="104" t="str">
        <f>IF(AND(BB33="",BE33=""),"",IF(OR(BB33="-",BE33="-"),"-",IF(AND(BB$3&lt;&gt;0,BE$3&lt;&gt;0),VLOOKUP(AVERAGE(BB33,BE33),Table1[],2,TRUE),IF(AND(BB$3&lt;&gt;0,BE$3=0),BC33,BF33))))</f>
        <v/>
      </c>
      <c r="BH33" s="105"/>
      <c r="BI33" s="107" t="str">
        <f t="shared" si="9"/>
        <v/>
      </c>
      <c r="BJ33" s="155" t="s">
        <v>18</v>
      </c>
      <c r="BK33" s="156"/>
      <c r="BL33" s="157"/>
      <c r="BM33" s="157"/>
      <c r="BN33" s="157"/>
      <c r="BO33" s="157"/>
      <c r="BP33" s="157"/>
      <c r="BQ33" s="157"/>
      <c r="BR33" s="157"/>
      <c r="BS33" s="157"/>
      <c r="BT33" s="158"/>
      <c r="BU33" s="159"/>
      <c r="BV33" s="157"/>
      <c r="BW33" s="157"/>
      <c r="BX33" s="157"/>
      <c r="BY33" s="157"/>
      <c r="BZ33" s="157"/>
      <c r="CA33" s="157"/>
      <c r="CB33" s="157"/>
      <c r="CC33" s="157"/>
      <c r="CD33" s="160"/>
      <c r="CE33" s="117" t="str">
        <f t="shared" si="10"/>
        <v/>
      </c>
      <c r="CF33" s="100" t="str">
        <f t="shared" si="11"/>
        <v/>
      </c>
      <c r="CG33" s="99" t="str">
        <f>IF(CE33="","",VLOOKUP(CF33,Table1[],2,TRUE))</f>
        <v/>
      </c>
      <c r="CH33" s="101" t="str">
        <f t="shared" si="12"/>
        <v/>
      </c>
      <c r="CI33" s="102" t="str">
        <f t="shared" si="13"/>
        <v/>
      </c>
      <c r="CJ33" s="103" t="str">
        <f>IF(CH33="","",VLOOKUP(CI33,Table1[],2,TRUE))</f>
        <v/>
      </c>
      <c r="CK33" s="104" t="str">
        <f>IF(AND(CF33="",CI33=""),"",IF(OR(CF33="-",CI33="-"),"-",IF(AND(CF$3&lt;&gt;0,CI$3&lt;&gt;0),VLOOKUP(AVERAGE(CF33,CI33),Table1[],2,TRUE),IF(AND(CF$3&lt;&gt;0,CI$3=0),CG33,CJ33))))</f>
        <v/>
      </c>
      <c r="CL33" s="105"/>
      <c r="CM33" s="107" t="str">
        <f t="shared" si="14"/>
        <v/>
      </c>
      <c r="CN33" s="155" t="s">
        <v>18</v>
      </c>
      <c r="CO33" s="156"/>
      <c r="CP33" s="157"/>
      <c r="CQ33" s="157"/>
      <c r="CR33" s="157"/>
      <c r="CS33" s="157"/>
      <c r="CT33" s="157"/>
      <c r="CU33" s="157"/>
      <c r="CV33" s="157"/>
      <c r="CW33" s="157"/>
      <c r="CX33" s="158"/>
      <c r="CY33" s="159"/>
      <c r="CZ33" s="157"/>
      <c r="DA33" s="157"/>
      <c r="DB33" s="157"/>
      <c r="DC33" s="157"/>
      <c r="DD33" s="157"/>
      <c r="DE33" s="157"/>
      <c r="DF33" s="157"/>
      <c r="DG33" s="157"/>
      <c r="DH33" s="160"/>
      <c r="DI33" s="117" t="str">
        <f t="shared" si="15"/>
        <v/>
      </c>
      <c r="DJ33" s="100" t="str">
        <f t="shared" si="16"/>
        <v/>
      </c>
      <c r="DK33" s="99" t="str">
        <f>IF(DI33="","",VLOOKUP(DJ33,Table1[],2,TRUE))</f>
        <v/>
      </c>
      <c r="DL33" s="101" t="str">
        <f t="shared" si="17"/>
        <v/>
      </c>
      <c r="DM33" s="102" t="str">
        <f t="shared" si="18"/>
        <v/>
      </c>
      <c r="DN33" s="103" t="str">
        <f>IF(DL33="","",VLOOKUP(DM33,Table1[],2,TRUE))</f>
        <v/>
      </c>
      <c r="DO33" s="104" t="str">
        <f>IF(AND(DJ33="",DM33=""),"",IF(OR(DJ33="-",DM33="-"),"-",IF(AND(DJ$3&lt;&gt;0,DM$3&lt;&gt;0),VLOOKUP(AVERAGE(DJ33,DM33),Table1[],2,TRUE),IF(AND(DJ$3&lt;&gt;0,DM$3=0),DK33,DN33))))</f>
        <v/>
      </c>
      <c r="DP33" s="105"/>
      <c r="DQ33" s="107" t="str">
        <f t="shared" si="19"/>
        <v/>
      </c>
      <c r="DR33" s="155" t="s">
        <v>18</v>
      </c>
      <c r="DS33" s="172"/>
    </row>
    <row r="34" spans="1:123" s="61" customFormat="1" x14ac:dyDescent="0.25">
      <c r="A34" s="127" t="str">
        <f>IF(ISBLANK(ClassInformation!C39),"ZZZZZ",ClassInformation!C39)</f>
        <v>ZZZZZ</v>
      </c>
      <c r="B34" s="128" t="str">
        <f>IF(ISBLANK(ClassInformation!D39),"ZZZZZ",ClassInformation!D39)</f>
        <v>ZZZZZ</v>
      </c>
      <c r="C34" s="156"/>
      <c r="D34" s="157"/>
      <c r="E34" s="157"/>
      <c r="F34" s="157"/>
      <c r="G34" s="157"/>
      <c r="H34" s="157"/>
      <c r="I34" s="157"/>
      <c r="J34" s="157"/>
      <c r="K34" s="157"/>
      <c r="L34" s="158"/>
      <c r="M34" s="159"/>
      <c r="N34" s="157"/>
      <c r="O34" s="157"/>
      <c r="P34" s="157"/>
      <c r="Q34" s="157"/>
      <c r="R34" s="157"/>
      <c r="S34" s="157"/>
      <c r="T34" s="157"/>
      <c r="U34" s="157"/>
      <c r="V34" s="160"/>
      <c r="W34" s="117" t="str">
        <f t="shared" si="0"/>
        <v/>
      </c>
      <c r="X34" s="100" t="str">
        <f t="shared" si="1"/>
        <v/>
      </c>
      <c r="Y34" s="99" t="str">
        <f>IF(W34="","",VLOOKUP(X34,Table1[],2,TRUE))</f>
        <v/>
      </c>
      <c r="Z34" s="101" t="str">
        <f t="shared" si="2"/>
        <v/>
      </c>
      <c r="AA34" s="102" t="str">
        <f t="shared" si="3"/>
        <v/>
      </c>
      <c r="AB34" s="103" t="str">
        <f>IF(Z34="","",VLOOKUP(AA34,Table1[],2,TRUE))</f>
        <v/>
      </c>
      <c r="AC34" s="104" t="str">
        <f>IF(AND(X34="",AA34=""),"",IF(OR(X34="-",AA34="-"),"-",IF(AND(X$3&lt;&gt;0,AA$3&lt;&gt;0),VLOOKUP(AVERAGE(X34,AA34),Table1[],2,TRUE),IF(AND(X$3&lt;&gt;0,AA$3=0),Y34,AB34))))</f>
        <v/>
      </c>
      <c r="AD34" s="105"/>
      <c r="AE34" s="107" t="str">
        <f t="shared" si="4"/>
        <v/>
      </c>
      <c r="AF34" s="155" t="s">
        <v>18</v>
      </c>
      <c r="AG34" s="156"/>
      <c r="AH34" s="157"/>
      <c r="AI34" s="157"/>
      <c r="AJ34" s="157"/>
      <c r="AK34" s="157"/>
      <c r="AL34" s="157"/>
      <c r="AM34" s="157"/>
      <c r="AN34" s="157"/>
      <c r="AO34" s="157"/>
      <c r="AP34" s="158"/>
      <c r="AQ34" s="159"/>
      <c r="AR34" s="157"/>
      <c r="AS34" s="157"/>
      <c r="AT34" s="157"/>
      <c r="AU34" s="157"/>
      <c r="AV34" s="157"/>
      <c r="AW34" s="157"/>
      <c r="AX34" s="157"/>
      <c r="AY34" s="157"/>
      <c r="AZ34" s="160"/>
      <c r="BA34" s="117" t="str">
        <f t="shared" si="5"/>
        <v/>
      </c>
      <c r="BB34" s="100" t="str">
        <f t="shared" si="6"/>
        <v/>
      </c>
      <c r="BC34" s="99" t="str">
        <f>IF(BA34="","",VLOOKUP(BB34,Table1[],2,TRUE))</f>
        <v/>
      </c>
      <c r="BD34" s="101" t="str">
        <f t="shared" si="7"/>
        <v/>
      </c>
      <c r="BE34" s="102" t="str">
        <f t="shared" si="8"/>
        <v/>
      </c>
      <c r="BF34" s="103" t="str">
        <f>IF(BD34="","",VLOOKUP(BE34,Table1[],2,TRUE))</f>
        <v/>
      </c>
      <c r="BG34" s="104" t="str">
        <f>IF(AND(BB34="",BE34=""),"",IF(OR(BB34="-",BE34="-"),"-",IF(AND(BB$3&lt;&gt;0,BE$3&lt;&gt;0),VLOOKUP(AVERAGE(BB34,BE34),Table1[],2,TRUE),IF(AND(BB$3&lt;&gt;0,BE$3=0),BC34,BF34))))</f>
        <v/>
      </c>
      <c r="BH34" s="105"/>
      <c r="BI34" s="107" t="str">
        <f t="shared" si="9"/>
        <v/>
      </c>
      <c r="BJ34" s="155" t="s">
        <v>18</v>
      </c>
      <c r="BK34" s="156"/>
      <c r="BL34" s="157"/>
      <c r="BM34" s="157"/>
      <c r="BN34" s="157"/>
      <c r="BO34" s="157"/>
      <c r="BP34" s="157"/>
      <c r="BQ34" s="157"/>
      <c r="BR34" s="157"/>
      <c r="BS34" s="157"/>
      <c r="BT34" s="158"/>
      <c r="BU34" s="159"/>
      <c r="BV34" s="157"/>
      <c r="BW34" s="157"/>
      <c r="BX34" s="157"/>
      <c r="BY34" s="157"/>
      <c r="BZ34" s="157"/>
      <c r="CA34" s="157"/>
      <c r="CB34" s="157"/>
      <c r="CC34" s="157"/>
      <c r="CD34" s="160"/>
      <c r="CE34" s="117" t="str">
        <f t="shared" si="10"/>
        <v/>
      </c>
      <c r="CF34" s="100" t="str">
        <f t="shared" si="11"/>
        <v/>
      </c>
      <c r="CG34" s="99" t="str">
        <f>IF(CE34="","",VLOOKUP(CF34,Table1[],2,TRUE))</f>
        <v/>
      </c>
      <c r="CH34" s="101" t="str">
        <f t="shared" si="12"/>
        <v/>
      </c>
      <c r="CI34" s="102" t="str">
        <f t="shared" si="13"/>
        <v/>
      </c>
      <c r="CJ34" s="103" t="str">
        <f>IF(CH34="","",VLOOKUP(CI34,Table1[],2,TRUE))</f>
        <v/>
      </c>
      <c r="CK34" s="104" t="str">
        <f>IF(AND(CF34="",CI34=""),"",IF(OR(CF34="-",CI34="-"),"-",IF(AND(CF$3&lt;&gt;0,CI$3&lt;&gt;0),VLOOKUP(AVERAGE(CF34,CI34),Table1[],2,TRUE),IF(AND(CF$3&lt;&gt;0,CI$3=0),CG34,CJ34))))</f>
        <v/>
      </c>
      <c r="CL34" s="105"/>
      <c r="CM34" s="107" t="str">
        <f t="shared" si="14"/>
        <v/>
      </c>
      <c r="CN34" s="155" t="s">
        <v>18</v>
      </c>
      <c r="CO34" s="156"/>
      <c r="CP34" s="157"/>
      <c r="CQ34" s="157"/>
      <c r="CR34" s="157"/>
      <c r="CS34" s="157"/>
      <c r="CT34" s="157"/>
      <c r="CU34" s="157"/>
      <c r="CV34" s="157"/>
      <c r="CW34" s="157"/>
      <c r="CX34" s="158"/>
      <c r="CY34" s="159"/>
      <c r="CZ34" s="157"/>
      <c r="DA34" s="157"/>
      <c r="DB34" s="157"/>
      <c r="DC34" s="157"/>
      <c r="DD34" s="157"/>
      <c r="DE34" s="157"/>
      <c r="DF34" s="157"/>
      <c r="DG34" s="157"/>
      <c r="DH34" s="160"/>
      <c r="DI34" s="117" t="str">
        <f t="shared" si="15"/>
        <v/>
      </c>
      <c r="DJ34" s="100" t="str">
        <f t="shared" si="16"/>
        <v/>
      </c>
      <c r="DK34" s="99" t="str">
        <f>IF(DI34="","",VLOOKUP(DJ34,Table1[],2,TRUE))</f>
        <v/>
      </c>
      <c r="DL34" s="101" t="str">
        <f t="shared" si="17"/>
        <v/>
      </c>
      <c r="DM34" s="102" t="str">
        <f t="shared" si="18"/>
        <v/>
      </c>
      <c r="DN34" s="103" t="str">
        <f>IF(DL34="","",VLOOKUP(DM34,Table1[],2,TRUE))</f>
        <v/>
      </c>
      <c r="DO34" s="104" t="str">
        <f>IF(AND(DJ34="",DM34=""),"",IF(OR(DJ34="-",DM34="-"),"-",IF(AND(DJ$3&lt;&gt;0,DM$3&lt;&gt;0),VLOOKUP(AVERAGE(DJ34,DM34),Table1[],2,TRUE),IF(AND(DJ$3&lt;&gt;0,DM$3=0),DK34,DN34))))</f>
        <v/>
      </c>
      <c r="DP34" s="105"/>
      <c r="DQ34" s="107" t="str">
        <f t="shared" si="19"/>
        <v/>
      </c>
      <c r="DR34" s="155" t="s">
        <v>18</v>
      </c>
      <c r="DS34" s="172"/>
    </row>
    <row r="35" spans="1:123" s="61" customFormat="1" x14ac:dyDescent="0.25">
      <c r="A35" s="127" t="str">
        <f>IF(ISBLANK(ClassInformation!C40),"ZZZZZ",ClassInformation!C40)</f>
        <v>ZZZZZ</v>
      </c>
      <c r="B35" s="128" t="str">
        <f>IF(ISBLANK(ClassInformation!D40),"ZZZZZ",ClassInformation!D40)</f>
        <v>ZZZZZ</v>
      </c>
      <c r="C35" s="156"/>
      <c r="D35" s="157"/>
      <c r="E35" s="157"/>
      <c r="F35" s="157"/>
      <c r="G35" s="157"/>
      <c r="H35" s="157"/>
      <c r="I35" s="157"/>
      <c r="J35" s="157"/>
      <c r="K35" s="157"/>
      <c r="L35" s="158"/>
      <c r="M35" s="159"/>
      <c r="N35" s="157"/>
      <c r="O35" s="157"/>
      <c r="P35" s="157"/>
      <c r="Q35" s="157"/>
      <c r="R35" s="157"/>
      <c r="S35" s="157"/>
      <c r="T35" s="157"/>
      <c r="U35" s="157"/>
      <c r="V35" s="160"/>
      <c r="W35" s="117" t="str">
        <f t="shared" si="0"/>
        <v/>
      </c>
      <c r="X35" s="100" t="str">
        <f t="shared" si="1"/>
        <v/>
      </c>
      <c r="Y35" s="99" t="str">
        <f>IF(W35="","",VLOOKUP(X35,Table1[],2,TRUE))</f>
        <v/>
      </c>
      <c r="Z35" s="101" t="str">
        <f t="shared" si="2"/>
        <v/>
      </c>
      <c r="AA35" s="102" t="str">
        <f t="shared" si="3"/>
        <v/>
      </c>
      <c r="AB35" s="103" t="str">
        <f>IF(Z35="","",VLOOKUP(AA35,Table1[],2,TRUE))</f>
        <v/>
      </c>
      <c r="AC35" s="104" t="str">
        <f>IF(AND(X35="",AA35=""),"",IF(OR(X35="-",AA35="-"),"-",IF(AND(X$3&lt;&gt;0,AA$3&lt;&gt;0),VLOOKUP(AVERAGE(X35,AA35),Table1[],2,TRUE),IF(AND(X$3&lt;&gt;0,AA$3=0),Y35,AB35))))</f>
        <v/>
      </c>
      <c r="AD35" s="105"/>
      <c r="AE35" s="107" t="str">
        <f t="shared" si="4"/>
        <v/>
      </c>
      <c r="AF35" s="155" t="s">
        <v>18</v>
      </c>
      <c r="AG35" s="156"/>
      <c r="AH35" s="157"/>
      <c r="AI35" s="157"/>
      <c r="AJ35" s="157"/>
      <c r="AK35" s="157"/>
      <c r="AL35" s="157"/>
      <c r="AM35" s="157"/>
      <c r="AN35" s="157"/>
      <c r="AO35" s="157"/>
      <c r="AP35" s="158"/>
      <c r="AQ35" s="159"/>
      <c r="AR35" s="157"/>
      <c r="AS35" s="157"/>
      <c r="AT35" s="157"/>
      <c r="AU35" s="157"/>
      <c r="AV35" s="157"/>
      <c r="AW35" s="157"/>
      <c r="AX35" s="157"/>
      <c r="AY35" s="157"/>
      <c r="AZ35" s="160"/>
      <c r="BA35" s="117" t="str">
        <f t="shared" si="5"/>
        <v/>
      </c>
      <c r="BB35" s="100" t="str">
        <f t="shared" si="6"/>
        <v/>
      </c>
      <c r="BC35" s="99" t="str">
        <f>IF(BA35="","",VLOOKUP(BB35,Table1[],2,TRUE))</f>
        <v/>
      </c>
      <c r="BD35" s="101" t="str">
        <f t="shared" si="7"/>
        <v/>
      </c>
      <c r="BE35" s="102" t="str">
        <f t="shared" si="8"/>
        <v/>
      </c>
      <c r="BF35" s="103" t="str">
        <f>IF(BD35="","",VLOOKUP(BE35,Table1[],2,TRUE))</f>
        <v/>
      </c>
      <c r="BG35" s="104" t="str">
        <f>IF(AND(BB35="",BE35=""),"",IF(OR(BB35="-",BE35="-"),"-",IF(AND(BB$3&lt;&gt;0,BE$3&lt;&gt;0),VLOOKUP(AVERAGE(BB35,BE35),Table1[],2,TRUE),IF(AND(BB$3&lt;&gt;0,BE$3=0),BC35,BF35))))</f>
        <v/>
      </c>
      <c r="BH35" s="105"/>
      <c r="BI35" s="107" t="str">
        <f t="shared" si="9"/>
        <v/>
      </c>
      <c r="BJ35" s="155" t="s">
        <v>18</v>
      </c>
      <c r="BK35" s="156"/>
      <c r="BL35" s="157"/>
      <c r="BM35" s="157"/>
      <c r="BN35" s="157"/>
      <c r="BO35" s="157"/>
      <c r="BP35" s="157"/>
      <c r="BQ35" s="157"/>
      <c r="BR35" s="157"/>
      <c r="BS35" s="157"/>
      <c r="BT35" s="158"/>
      <c r="BU35" s="159"/>
      <c r="BV35" s="157"/>
      <c r="BW35" s="157"/>
      <c r="BX35" s="157"/>
      <c r="BY35" s="157"/>
      <c r="BZ35" s="157"/>
      <c r="CA35" s="157"/>
      <c r="CB35" s="157"/>
      <c r="CC35" s="157"/>
      <c r="CD35" s="160"/>
      <c r="CE35" s="117" t="str">
        <f t="shared" si="10"/>
        <v/>
      </c>
      <c r="CF35" s="100" t="str">
        <f t="shared" si="11"/>
        <v/>
      </c>
      <c r="CG35" s="99" t="str">
        <f>IF(CE35="","",VLOOKUP(CF35,Table1[],2,TRUE))</f>
        <v/>
      </c>
      <c r="CH35" s="101" t="str">
        <f t="shared" si="12"/>
        <v/>
      </c>
      <c r="CI35" s="102" t="str">
        <f t="shared" si="13"/>
        <v/>
      </c>
      <c r="CJ35" s="103" t="str">
        <f>IF(CH35="","",VLOOKUP(CI35,Table1[],2,TRUE))</f>
        <v/>
      </c>
      <c r="CK35" s="104" t="str">
        <f>IF(AND(CF35="",CI35=""),"",IF(OR(CF35="-",CI35="-"),"-",IF(AND(CF$3&lt;&gt;0,CI$3&lt;&gt;0),VLOOKUP(AVERAGE(CF35,CI35),Table1[],2,TRUE),IF(AND(CF$3&lt;&gt;0,CI$3=0),CG35,CJ35))))</f>
        <v/>
      </c>
      <c r="CL35" s="105"/>
      <c r="CM35" s="107" t="str">
        <f t="shared" si="14"/>
        <v/>
      </c>
      <c r="CN35" s="155" t="s">
        <v>18</v>
      </c>
      <c r="CO35" s="156"/>
      <c r="CP35" s="157"/>
      <c r="CQ35" s="157"/>
      <c r="CR35" s="157"/>
      <c r="CS35" s="157"/>
      <c r="CT35" s="157"/>
      <c r="CU35" s="157"/>
      <c r="CV35" s="157"/>
      <c r="CW35" s="157"/>
      <c r="CX35" s="158"/>
      <c r="CY35" s="159"/>
      <c r="CZ35" s="157"/>
      <c r="DA35" s="157"/>
      <c r="DB35" s="157"/>
      <c r="DC35" s="157"/>
      <c r="DD35" s="157"/>
      <c r="DE35" s="157"/>
      <c r="DF35" s="157"/>
      <c r="DG35" s="157"/>
      <c r="DH35" s="160"/>
      <c r="DI35" s="117" t="str">
        <f t="shared" si="15"/>
        <v/>
      </c>
      <c r="DJ35" s="100" t="str">
        <f t="shared" si="16"/>
        <v/>
      </c>
      <c r="DK35" s="99" t="str">
        <f>IF(DI35="","",VLOOKUP(DJ35,Table1[],2,TRUE))</f>
        <v/>
      </c>
      <c r="DL35" s="101" t="str">
        <f t="shared" si="17"/>
        <v/>
      </c>
      <c r="DM35" s="102" t="str">
        <f t="shared" si="18"/>
        <v/>
      </c>
      <c r="DN35" s="103" t="str">
        <f>IF(DL35="","",VLOOKUP(DM35,Table1[],2,TRUE))</f>
        <v/>
      </c>
      <c r="DO35" s="104" t="str">
        <f>IF(AND(DJ35="",DM35=""),"",IF(OR(DJ35="-",DM35="-"),"-",IF(AND(DJ$3&lt;&gt;0,DM$3&lt;&gt;0),VLOOKUP(AVERAGE(DJ35,DM35),Table1[],2,TRUE),IF(AND(DJ$3&lt;&gt;0,DM$3=0),DK35,DN35))))</f>
        <v/>
      </c>
      <c r="DP35" s="105"/>
      <c r="DQ35" s="107" t="str">
        <f t="shared" si="19"/>
        <v/>
      </c>
      <c r="DR35" s="155" t="s">
        <v>18</v>
      </c>
      <c r="DS35" s="172"/>
    </row>
    <row r="36" spans="1:123" s="61" customFormat="1" x14ac:dyDescent="0.25">
      <c r="A36" s="127" t="str">
        <f>IF(ISBLANK(ClassInformation!C41),"ZZZZZ",ClassInformation!C41)</f>
        <v>ZZZZZ</v>
      </c>
      <c r="B36" s="128" t="str">
        <f>IF(ISBLANK(ClassInformation!D41),"ZZZZZ",ClassInformation!D41)</f>
        <v>ZZZZZ</v>
      </c>
      <c r="C36" s="156"/>
      <c r="D36" s="157"/>
      <c r="E36" s="157"/>
      <c r="F36" s="157"/>
      <c r="G36" s="157"/>
      <c r="H36" s="157"/>
      <c r="I36" s="157"/>
      <c r="J36" s="157"/>
      <c r="K36" s="157"/>
      <c r="L36" s="158"/>
      <c r="M36" s="159"/>
      <c r="N36" s="157"/>
      <c r="O36" s="157"/>
      <c r="P36" s="157"/>
      <c r="Q36" s="157"/>
      <c r="R36" s="157"/>
      <c r="S36" s="157"/>
      <c r="T36" s="157"/>
      <c r="U36" s="157"/>
      <c r="V36" s="160"/>
      <c r="W36" s="117" t="str">
        <f t="shared" si="0"/>
        <v/>
      </c>
      <c r="X36" s="100" t="str">
        <f t="shared" si="1"/>
        <v/>
      </c>
      <c r="Y36" s="99" t="str">
        <f>IF(W36="","",VLOOKUP(X36,Table1[],2,TRUE))</f>
        <v/>
      </c>
      <c r="Z36" s="101" t="str">
        <f t="shared" si="2"/>
        <v/>
      </c>
      <c r="AA36" s="102" t="str">
        <f t="shared" si="3"/>
        <v/>
      </c>
      <c r="AB36" s="103" t="str">
        <f>IF(Z36="","",VLOOKUP(AA36,Table1[],2,TRUE))</f>
        <v/>
      </c>
      <c r="AC36" s="104" t="str">
        <f>IF(AND(X36="",AA36=""),"",IF(OR(X36="-",AA36="-"),"-",IF(AND(X$3&lt;&gt;0,AA$3&lt;&gt;0),VLOOKUP(AVERAGE(X36,AA36),Table1[],2,TRUE),IF(AND(X$3&lt;&gt;0,AA$3=0),Y36,AB36))))</f>
        <v/>
      </c>
      <c r="AD36" s="105"/>
      <c r="AE36" s="107" t="str">
        <f t="shared" si="4"/>
        <v/>
      </c>
      <c r="AF36" s="155" t="s">
        <v>18</v>
      </c>
      <c r="AG36" s="156"/>
      <c r="AH36" s="157"/>
      <c r="AI36" s="157"/>
      <c r="AJ36" s="157"/>
      <c r="AK36" s="157"/>
      <c r="AL36" s="157"/>
      <c r="AM36" s="157"/>
      <c r="AN36" s="157"/>
      <c r="AO36" s="157"/>
      <c r="AP36" s="158"/>
      <c r="AQ36" s="159"/>
      <c r="AR36" s="157"/>
      <c r="AS36" s="157"/>
      <c r="AT36" s="157"/>
      <c r="AU36" s="157"/>
      <c r="AV36" s="157"/>
      <c r="AW36" s="157"/>
      <c r="AX36" s="157"/>
      <c r="AY36" s="157"/>
      <c r="AZ36" s="160"/>
      <c r="BA36" s="117" t="str">
        <f t="shared" si="5"/>
        <v/>
      </c>
      <c r="BB36" s="100" t="str">
        <f t="shared" si="6"/>
        <v/>
      </c>
      <c r="BC36" s="99" t="str">
        <f>IF(BA36="","",VLOOKUP(BB36,Table1[],2,TRUE))</f>
        <v/>
      </c>
      <c r="BD36" s="101" t="str">
        <f t="shared" si="7"/>
        <v/>
      </c>
      <c r="BE36" s="102" t="str">
        <f t="shared" si="8"/>
        <v/>
      </c>
      <c r="BF36" s="103" t="str">
        <f>IF(BD36="","",VLOOKUP(BE36,Table1[],2,TRUE))</f>
        <v/>
      </c>
      <c r="BG36" s="104" t="str">
        <f>IF(AND(BB36="",BE36=""),"",IF(OR(BB36="-",BE36="-"),"-",IF(AND(BB$3&lt;&gt;0,BE$3&lt;&gt;0),VLOOKUP(AVERAGE(BB36,BE36),Table1[],2,TRUE),IF(AND(BB$3&lt;&gt;0,BE$3=0),BC36,BF36))))</f>
        <v/>
      </c>
      <c r="BH36" s="105"/>
      <c r="BI36" s="107" t="str">
        <f t="shared" si="9"/>
        <v/>
      </c>
      <c r="BJ36" s="155" t="s">
        <v>18</v>
      </c>
      <c r="BK36" s="156"/>
      <c r="BL36" s="157"/>
      <c r="BM36" s="157"/>
      <c r="BN36" s="157"/>
      <c r="BO36" s="157"/>
      <c r="BP36" s="157"/>
      <c r="BQ36" s="157"/>
      <c r="BR36" s="157"/>
      <c r="BS36" s="157"/>
      <c r="BT36" s="158"/>
      <c r="BU36" s="159"/>
      <c r="BV36" s="157"/>
      <c r="BW36" s="157"/>
      <c r="BX36" s="157"/>
      <c r="BY36" s="157"/>
      <c r="BZ36" s="157"/>
      <c r="CA36" s="157"/>
      <c r="CB36" s="157"/>
      <c r="CC36" s="157"/>
      <c r="CD36" s="160"/>
      <c r="CE36" s="117" t="str">
        <f t="shared" si="10"/>
        <v/>
      </c>
      <c r="CF36" s="100" t="str">
        <f t="shared" si="11"/>
        <v/>
      </c>
      <c r="CG36" s="99" t="str">
        <f>IF(CE36="","",VLOOKUP(CF36,Table1[],2,TRUE))</f>
        <v/>
      </c>
      <c r="CH36" s="101" t="str">
        <f t="shared" si="12"/>
        <v/>
      </c>
      <c r="CI36" s="102" t="str">
        <f t="shared" si="13"/>
        <v/>
      </c>
      <c r="CJ36" s="103" t="str">
        <f>IF(CH36="","",VLOOKUP(CI36,Table1[],2,TRUE))</f>
        <v/>
      </c>
      <c r="CK36" s="104" t="str">
        <f>IF(AND(CF36="",CI36=""),"",IF(OR(CF36="-",CI36="-"),"-",IF(AND(CF$3&lt;&gt;0,CI$3&lt;&gt;0),VLOOKUP(AVERAGE(CF36,CI36),Table1[],2,TRUE),IF(AND(CF$3&lt;&gt;0,CI$3=0),CG36,CJ36))))</f>
        <v/>
      </c>
      <c r="CL36" s="105"/>
      <c r="CM36" s="107" t="str">
        <f t="shared" si="14"/>
        <v/>
      </c>
      <c r="CN36" s="155" t="s">
        <v>18</v>
      </c>
      <c r="CO36" s="156"/>
      <c r="CP36" s="157"/>
      <c r="CQ36" s="157"/>
      <c r="CR36" s="157"/>
      <c r="CS36" s="157"/>
      <c r="CT36" s="157"/>
      <c r="CU36" s="157"/>
      <c r="CV36" s="157"/>
      <c r="CW36" s="157"/>
      <c r="CX36" s="158"/>
      <c r="CY36" s="159"/>
      <c r="CZ36" s="157"/>
      <c r="DA36" s="157"/>
      <c r="DB36" s="157"/>
      <c r="DC36" s="157"/>
      <c r="DD36" s="157"/>
      <c r="DE36" s="157"/>
      <c r="DF36" s="157"/>
      <c r="DG36" s="157"/>
      <c r="DH36" s="160"/>
      <c r="DI36" s="117" t="str">
        <f t="shared" si="15"/>
        <v/>
      </c>
      <c r="DJ36" s="100" t="str">
        <f t="shared" si="16"/>
        <v/>
      </c>
      <c r="DK36" s="99" t="str">
        <f>IF(DI36="","",VLOOKUP(DJ36,Table1[],2,TRUE))</f>
        <v/>
      </c>
      <c r="DL36" s="101" t="str">
        <f t="shared" si="17"/>
        <v/>
      </c>
      <c r="DM36" s="102" t="str">
        <f t="shared" si="18"/>
        <v/>
      </c>
      <c r="DN36" s="103" t="str">
        <f>IF(DL36="","",VLOOKUP(DM36,Table1[],2,TRUE))</f>
        <v/>
      </c>
      <c r="DO36" s="104" t="str">
        <f>IF(AND(DJ36="",DM36=""),"",IF(OR(DJ36="-",DM36="-"),"-",IF(AND(DJ$3&lt;&gt;0,DM$3&lt;&gt;0),VLOOKUP(AVERAGE(DJ36,DM36),Table1[],2,TRUE),IF(AND(DJ$3&lt;&gt;0,DM$3=0),DK36,DN36))))</f>
        <v/>
      </c>
      <c r="DP36" s="105"/>
      <c r="DQ36" s="107" t="str">
        <f t="shared" si="19"/>
        <v/>
      </c>
      <c r="DR36" s="155" t="s">
        <v>18</v>
      </c>
      <c r="DS36" s="172"/>
    </row>
    <row r="37" spans="1:123" s="61" customFormat="1" x14ac:dyDescent="0.25">
      <c r="A37" s="127" t="str">
        <f>IF(ISBLANK(ClassInformation!C42),"ZZZZZ",ClassInformation!C42)</f>
        <v>ZZZZZ</v>
      </c>
      <c r="B37" s="128" t="str">
        <f>IF(ISBLANK(ClassInformation!D42),"ZZZZZ",ClassInformation!D42)</f>
        <v>ZZZZZ</v>
      </c>
      <c r="C37" s="156"/>
      <c r="D37" s="157"/>
      <c r="E37" s="157"/>
      <c r="F37" s="157"/>
      <c r="G37" s="157"/>
      <c r="H37" s="157"/>
      <c r="I37" s="157"/>
      <c r="J37" s="157"/>
      <c r="K37" s="157"/>
      <c r="L37" s="158"/>
      <c r="M37" s="159"/>
      <c r="N37" s="157"/>
      <c r="O37" s="157"/>
      <c r="P37" s="157"/>
      <c r="Q37" s="157"/>
      <c r="R37" s="157"/>
      <c r="S37" s="157"/>
      <c r="T37" s="157"/>
      <c r="U37" s="157"/>
      <c r="V37" s="160"/>
      <c r="W37" s="117" t="str">
        <f t="shared" si="0"/>
        <v/>
      </c>
      <c r="X37" s="100" t="str">
        <f t="shared" si="1"/>
        <v/>
      </c>
      <c r="Y37" s="99" t="str">
        <f>IF(W37="","",VLOOKUP(X37,Table1[],2,TRUE))</f>
        <v/>
      </c>
      <c r="Z37" s="101" t="str">
        <f t="shared" si="2"/>
        <v/>
      </c>
      <c r="AA37" s="102" t="str">
        <f t="shared" si="3"/>
        <v/>
      </c>
      <c r="AB37" s="103" t="str">
        <f>IF(Z37="","",VLOOKUP(AA37,Table1[],2,TRUE))</f>
        <v/>
      </c>
      <c r="AC37" s="104" t="str">
        <f>IF(AND(X37="",AA37=""),"",IF(OR(X37="-",AA37="-"),"-",IF(AND(X$3&lt;&gt;0,AA$3&lt;&gt;0),VLOOKUP(AVERAGE(X37,AA37),Table1[],2,TRUE),IF(AND(X$3&lt;&gt;0,AA$3=0),Y37,AB37))))</f>
        <v/>
      </c>
      <c r="AD37" s="105"/>
      <c r="AE37" s="107" t="str">
        <f t="shared" si="4"/>
        <v/>
      </c>
      <c r="AF37" s="155" t="s">
        <v>18</v>
      </c>
      <c r="AG37" s="156"/>
      <c r="AH37" s="157"/>
      <c r="AI37" s="157"/>
      <c r="AJ37" s="157"/>
      <c r="AK37" s="157"/>
      <c r="AL37" s="157"/>
      <c r="AM37" s="157"/>
      <c r="AN37" s="157"/>
      <c r="AO37" s="157"/>
      <c r="AP37" s="158"/>
      <c r="AQ37" s="159"/>
      <c r="AR37" s="157"/>
      <c r="AS37" s="157"/>
      <c r="AT37" s="157"/>
      <c r="AU37" s="157"/>
      <c r="AV37" s="157"/>
      <c r="AW37" s="157"/>
      <c r="AX37" s="157"/>
      <c r="AY37" s="157"/>
      <c r="AZ37" s="160"/>
      <c r="BA37" s="117" t="str">
        <f t="shared" si="5"/>
        <v/>
      </c>
      <c r="BB37" s="100" t="str">
        <f t="shared" si="6"/>
        <v/>
      </c>
      <c r="BC37" s="99" t="str">
        <f>IF(BA37="","",VLOOKUP(BB37,Table1[],2,TRUE))</f>
        <v/>
      </c>
      <c r="BD37" s="101" t="str">
        <f t="shared" si="7"/>
        <v/>
      </c>
      <c r="BE37" s="102" t="str">
        <f t="shared" si="8"/>
        <v/>
      </c>
      <c r="BF37" s="103" t="str">
        <f>IF(BD37="","",VLOOKUP(BE37,Table1[],2,TRUE))</f>
        <v/>
      </c>
      <c r="BG37" s="104" t="str">
        <f>IF(AND(BB37="",BE37=""),"",IF(OR(BB37="-",BE37="-"),"-",IF(AND(BB$3&lt;&gt;0,BE$3&lt;&gt;0),VLOOKUP(AVERAGE(BB37,BE37),Table1[],2,TRUE),IF(AND(BB$3&lt;&gt;0,BE$3=0),BC37,BF37))))</f>
        <v/>
      </c>
      <c r="BH37" s="105"/>
      <c r="BI37" s="107" t="str">
        <f t="shared" si="9"/>
        <v/>
      </c>
      <c r="BJ37" s="155" t="s">
        <v>18</v>
      </c>
      <c r="BK37" s="156"/>
      <c r="BL37" s="157"/>
      <c r="BM37" s="157"/>
      <c r="BN37" s="157"/>
      <c r="BO37" s="157"/>
      <c r="BP37" s="157"/>
      <c r="BQ37" s="157"/>
      <c r="BR37" s="157"/>
      <c r="BS37" s="157"/>
      <c r="BT37" s="158"/>
      <c r="BU37" s="159"/>
      <c r="BV37" s="157"/>
      <c r="BW37" s="157"/>
      <c r="BX37" s="157"/>
      <c r="BY37" s="157"/>
      <c r="BZ37" s="157"/>
      <c r="CA37" s="157"/>
      <c r="CB37" s="157"/>
      <c r="CC37" s="157"/>
      <c r="CD37" s="160"/>
      <c r="CE37" s="117" t="str">
        <f t="shared" si="10"/>
        <v/>
      </c>
      <c r="CF37" s="100" t="str">
        <f t="shared" si="11"/>
        <v/>
      </c>
      <c r="CG37" s="99" t="str">
        <f>IF(CE37="","",VLOOKUP(CF37,Table1[],2,TRUE))</f>
        <v/>
      </c>
      <c r="CH37" s="101" t="str">
        <f t="shared" si="12"/>
        <v/>
      </c>
      <c r="CI37" s="102" t="str">
        <f t="shared" si="13"/>
        <v/>
      </c>
      <c r="CJ37" s="103" t="str">
        <f>IF(CH37="","",VLOOKUP(CI37,Table1[],2,TRUE))</f>
        <v/>
      </c>
      <c r="CK37" s="104" t="str">
        <f>IF(AND(CF37="",CI37=""),"",IF(OR(CF37="-",CI37="-"),"-",IF(AND(CF$3&lt;&gt;0,CI$3&lt;&gt;0),VLOOKUP(AVERAGE(CF37,CI37),Table1[],2,TRUE),IF(AND(CF$3&lt;&gt;0,CI$3=0),CG37,CJ37))))</f>
        <v/>
      </c>
      <c r="CL37" s="105"/>
      <c r="CM37" s="107" t="str">
        <f t="shared" si="14"/>
        <v/>
      </c>
      <c r="CN37" s="155" t="s">
        <v>18</v>
      </c>
      <c r="CO37" s="156"/>
      <c r="CP37" s="157"/>
      <c r="CQ37" s="157"/>
      <c r="CR37" s="157"/>
      <c r="CS37" s="157"/>
      <c r="CT37" s="157"/>
      <c r="CU37" s="157"/>
      <c r="CV37" s="157"/>
      <c r="CW37" s="157"/>
      <c r="CX37" s="158"/>
      <c r="CY37" s="159"/>
      <c r="CZ37" s="157"/>
      <c r="DA37" s="157"/>
      <c r="DB37" s="157"/>
      <c r="DC37" s="157"/>
      <c r="DD37" s="157"/>
      <c r="DE37" s="157"/>
      <c r="DF37" s="157"/>
      <c r="DG37" s="157"/>
      <c r="DH37" s="160"/>
      <c r="DI37" s="117" t="str">
        <f t="shared" si="15"/>
        <v/>
      </c>
      <c r="DJ37" s="100" t="str">
        <f t="shared" si="16"/>
        <v/>
      </c>
      <c r="DK37" s="99" t="str">
        <f>IF(DI37="","",VLOOKUP(DJ37,Table1[],2,TRUE))</f>
        <v/>
      </c>
      <c r="DL37" s="101" t="str">
        <f t="shared" si="17"/>
        <v/>
      </c>
      <c r="DM37" s="102" t="str">
        <f t="shared" si="18"/>
        <v/>
      </c>
      <c r="DN37" s="103" t="str">
        <f>IF(DL37="","",VLOOKUP(DM37,Table1[],2,TRUE))</f>
        <v/>
      </c>
      <c r="DO37" s="104" t="str">
        <f>IF(AND(DJ37="",DM37=""),"",IF(OR(DJ37="-",DM37="-"),"-",IF(AND(DJ$3&lt;&gt;0,DM$3&lt;&gt;0),VLOOKUP(AVERAGE(DJ37,DM37),Table1[],2,TRUE),IF(AND(DJ$3&lt;&gt;0,DM$3=0),DK37,DN37))))</f>
        <v/>
      </c>
      <c r="DP37" s="105"/>
      <c r="DQ37" s="107" t="str">
        <f t="shared" si="19"/>
        <v/>
      </c>
      <c r="DR37" s="155" t="s">
        <v>18</v>
      </c>
      <c r="DS37" s="172"/>
    </row>
    <row r="38" spans="1:123" s="61" customFormat="1" x14ac:dyDescent="0.25">
      <c r="A38" s="127" t="str">
        <f>IF(ISBLANK(ClassInformation!C43),"ZZZZZ",ClassInformation!C43)</f>
        <v>ZZZZZ</v>
      </c>
      <c r="B38" s="128" t="str">
        <f>IF(ISBLANK(ClassInformation!D43),"ZZZZZ",ClassInformation!D43)</f>
        <v>ZZZZZ</v>
      </c>
      <c r="C38" s="156"/>
      <c r="D38" s="157"/>
      <c r="E38" s="157"/>
      <c r="F38" s="157"/>
      <c r="G38" s="157"/>
      <c r="H38" s="157"/>
      <c r="I38" s="157"/>
      <c r="J38" s="157"/>
      <c r="K38" s="157"/>
      <c r="L38" s="158"/>
      <c r="M38" s="159"/>
      <c r="N38" s="157"/>
      <c r="O38" s="157"/>
      <c r="P38" s="157"/>
      <c r="Q38" s="157"/>
      <c r="R38" s="157"/>
      <c r="S38" s="157"/>
      <c r="T38" s="157"/>
      <c r="U38" s="157"/>
      <c r="V38" s="160"/>
      <c r="W38" s="117" t="str">
        <f t="shared" si="0"/>
        <v/>
      </c>
      <c r="X38" s="100" t="str">
        <f t="shared" si="1"/>
        <v/>
      </c>
      <c r="Y38" s="99" t="str">
        <f>IF(W38="","",VLOOKUP(X38,Table1[],2,TRUE))</f>
        <v/>
      </c>
      <c r="Z38" s="101" t="str">
        <f t="shared" si="2"/>
        <v/>
      </c>
      <c r="AA38" s="102" t="str">
        <f t="shared" si="3"/>
        <v/>
      </c>
      <c r="AB38" s="103" t="str">
        <f>IF(Z38="","",VLOOKUP(AA38,Table1[],2,TRUE))</f>
        <v/>
      </c>
      <c r="AC38" s="104" t="str">
        <f>IF(AND(X38="",AA38=""),"",IF(OR(X38="-",AA38="-"),"-",IF(AND(X$3&lt;&gt;0,AA$3&lt;&gt;0),VLOOKUP(AVERAGE(X38,AA38),Table1[],2,TRUE),IF(AND(X$3&lt;&gt;0,AA$3=0),Y38,AB38))))</f>
        <v/>
      </c>
      <c r="AD38" s="105"/>
      <c r="AE38" s="107" t="str">
        <f t="shared" si="4"/>
        <v/>
      </c>
      <c r="AF38" s="155" t="s">
        <v>18</v>
      </c>
      <c r="AG38" s="156"/>
      <c r="AH38" s="157"/>
      <c r="AI38" s="157"/>
      <c r="AJ38" s="157"/>
      <c r="AK38" s="157"/>
      <c r="AL38" s="157"/>
      <c r="AM38" s="157"/>
      <c r="AN38" s="157"/>
      <c r="AO38" s="157"/>
      <c r="AP38" s="158"/>
      <c r="AQ38" s="159"/>
      <c r="AR38" s="157"/>
      <c r="AS38" s="157"/>
      <c r="AT38" s="157"/>
      <c r="AU38" s="157"/>
      <c r="AV38" s="157"/>
      <c r="AW38" s="157"/>
      <c r="AX38" s="157"/>
      <c r="AY38" s="157"/>
      <c r="AZ38" s="160"/>
      <c r="BA38" s="117" t="str">
        <f t="shared" si="5"/>
        <v/>
      </c>
      <c r="BB38" s="100" t="str">
        <f t="shared" si="6"/>
        <v/>
      </c>
      <c r="BC38" s="99" t="str">
        <f>IF(BA38="","",VLOOKUP(BB38,Table1[],2,TRUE))</f>
        <v/>
      </c>
      <c r="BD38" s="101" t="str">
        <f t="shared" si="7"/>
        <v/>
      </c>
      <c r="BE38" s="102" t="str">
        <f t="shared" si="8"/>
        <v/>
      </c>
      <c r="BF38" s="103" t="str">
        <f>IF(BD38="","",VLOOKUP(BE38,Table1[],2,TRUE))</f>
        <v/>
      </c>
      <c r="BG38" s="104" t="str">
        <f>IF(AND(BB38="",BE38=""),"",IF(OR(BB38="-",BE38="-"),"-",IF(AND(BB$3&lt;&gt;0,BE$3&lt;&gt;0),VLOOKUP(AVERAGE(BB38,BE38),Table1[],2,TRUE),IF(AND(BB$3&lt;&gt;0,BE$3=0),BC38,BF38))))</f>
        <v/>
      </c>
      <c r="BH38" s="105"/>
      <c r="BI38" s="107" t="str">
        <f t="shared" si="9"/>
        <v/>
      </c>
      <c r="BJ38" s="155" t="s">
        <v>18</v>
      </c>
      <c r="BK38" s="156"/>
      <c r="BL38" s="157"/>
      <c r="BM38" s="157"/>
      <c r="BN38" s="157"/>
      <c r="BO38" s="157"/>
      <c r="BP38" s="157"/>
      <c r="BQ38" s="157"/>
      <c r="BR38" s="157"/>
      <c r="BS38" s="157"/>
      <c r="BT38" s="158"/>
      <c r="BU38" s="159"/>
      <c r="BV38" s="157"/>
      <c r="BW38" s="157"/>
      <c r="BX38" s="157"/>
      <c r="BY38" s="157"/>
      <c r="BZ38" s="157"/>
      <c r="CA38" s="157"/>
      <c r="CB38" s="157"/>
      <c r="CC38" s="157"/>
      <c r="CD38" s="160"/>
      <c r="CE38" s="117" t="str">
        <f t="shared" si="10"/>
        <v/>
      </c>
      <c r="CF38" s="100" t="str">
        <f t="shared" si="11"/>
        <v/>
      </c>
      <c r="CG38" s="99" t="str">
        <f>IF(CE38="","",VLOOKUP(CF38,Table1[],2,TRUE))</f>
        <v/>
      </c>
      <c r="CH38" s="101" t="str">
        <f t="shared" si="12"/>
        <v/>
      </c>
      <c r="CI38" s="102" t="str">
        <f t="shared" si="13"/>
        <v/>
      </c>
      <c r="CJ38" s="103" t="str">
        <f>IF(CH38="","",VLOOKUP(CI38,Table1[],2,TRUE))</f>
        <v/>
      </c>
      <c r="CK38" s="104" t="str">
        <f>IF(AND(CF38="",CI38=""),"",IF(OR(CF38="-",CI38="-"),"-",IF(AND(CF$3&lt;&gt;0,CI$3&lt;&gt;0),VLOOKUP(AVERAGE(CF38,CI38),Table1[],2,TRUE),IF(AND(CF$3&lt;&gt;0,CI$3=0),CG38,CJ38))))</f>
        <v/>
      </c>
      <c r="CL38" s="105"/>
      <c r="CM38" s="107" t="str">
        <f t="shared" si="14"/>
        <v/>
      </c>
      <c r="CN38" s="155" t="s">
        <v>18</v>
      </c>
      <c r="CO38" s="156"/>
      <c r="CP38" s="157"/>
      <c r="CQ38" s="157"/>
      <c r="CR38" s="157"/>
      <c r="CS38" s="157"/>
      <c r="CT38" s="157"/>
      <c r="CU38" s="157"/>
      <c r="CV38" s="157"/>
      <c r="CW38" s="157"/>
      <c r="CX38" s="158"/>
      <c r="CY38" s="159"/>
      <c r="CZ38" s="157"/>
      <c r="DA38" s="157"/>
      <c r="DB38" s="157"/>
      <c r="DC38" s="157"/>
      <c r="DD38" s="157"/>
      <c r="DE38" s="157"/>
      <c r="DF38" s="157"/>
      <c r="DG38" s="157"/>
      <c r="DH38" s="160"/>
      <c r="DI38" s="117" t="str">
        <f t="shared" si="15"/>
        <v/>
      </c>
      <c r="DJ38" s="100" t="str">
        <f t="shared" si="16"/>
        <v/>
      </c>
      <c r="DK38" s="99" t="str">
        <f>IF(DI38="","",VLOOKUP(DJ38,Table1[],2,TRUE))</f>
        <v/>
      </c>
      <c r="DL38" s="101" t="str">
        <f t="shared" si="17"/>
        <v/>
      </c>
      <c r="DM38" s="102" t="str">
        <f t="shared" si="18"/>
        <v/>
      </c>
      <c r="DN38" s="103" t="str">
        <f>IF(DL38="","",VLOOKUP(DM38,Table1[],2,TRUE))</f>
        <v/>
      </c>
      <c r="DO38" s="104" t="str">
        <f>IF(AND(DJ38="",DM38=""),"",IF(OR(DJ38="-",DM38="-"),"-",IF(AND(DJ$3&lt;&gt;0,DM$3&lt;&gt;0),VLOOKUP(AVERAGE(DJ38,DM38),Table1[],2,TRUE),IF(AND(DJ$3&lt;&gt;0,DM$3=0),DK38,DN38))))</f>
        <v/>
      </c>
      <c r="DP38" s="105"/>
      <c r="DQ38" s="107" t="str">
        <f t="shared" si="19"/>
        <v/>
      </c>
      <c r="DR38" s="155" t="s">
        <v>18</v>
      </c>
      <c r="DS38" s="172"/>
    </row>
    <row r="39" spans="1:123" s="61" customFormat="1" x14ac:dyDescent="0.25">
      <c r="A39" s="127" t="str">
        <f>IF(ISBLANK(ClassInformation!C44),"ZZZZZ",ClassInformation!C44)</f>
        <v>ZZZZZ</v>
      </c>
      <c r="B39" s="128" t="str">
        <f>IF(ISBLANK(ClassInformation!D44),"ZZZZZ",ClassInformation!D44)</f>
        <v>ZZZZZ</v>
      </c>
      <c r="C39" s="156"/>
      <c r="D39" s="157"/>
      <c r="E39" s="157"/>
      <c r="F39" s="157"/>
      <c r="G39" s="157"/>
      <c r="H39" s="157"/>
      <c r="I39" s="157"/>
      <c r="J39" s="157"/>
      <c r="K39" s="157"/>
      <c r="L39" s="158"/>
      <c r="M39" s="159"/>
      <c r="N39" s="157"/>
      <c r="O39" s="157"/>
      <c r="P39" s="157"/>
      <c r="Q39" s="157"/>
      <c r="R39" s="157"/>
      <c r="S39" s="157"/>
      <c r="T39" s="157"/>
      <c r="U39" s="157"/>
      <c r="V39" s="160"/>
      <c r="W39" s="117" t="str">
        <f t="shared" si="0"/>
        <v/>
      </c>
      <c r="X39" s="100" t="str">
        <f t="shared" si="1"/>
        <v/>
      </c>
      <c r="Y39" s="99" t="str">
        <f>IF(W39="","",VLOOKUP(X39,Table1[],2,TRUE))</f>
        <v/>
      </c>
      <c r="Z39" s="101" t="str">
        <f t="shared" si="2"/>
        <v/>
      </c>
      <c r="AA39" s="102" t="str">
        <f t="shared" si="3"/>
        <v/>
      </c>
      <c r="AB39" s="103" t="str">
        <f>IF(Z39="","",VLOOKUP(AA39,Table1[],2,TRUE))</f>
        <v/>
      </c>
      <c r="AC39" s="104" t="str">
        <f>IF(AND(X39="",AA39=""),"",IF(OR(X39="-",AA39="-"),"-",IF(AND(X$3&lt;&gt;0,AA$3&lt;&gt;0),VLOOKUP(AVERAGE(X39,AA39),Table1[],2,TRUE),IF(AND(X$3&lt;&gt;0,AA$3=0),Y39,AB39))))</f>
        <v/>
      </c>
      <c r="AD39" s="105"/>
      <c r="AE39" s="107" t="str">
        <f t="shared" si="4"/>
        <v/>
      </c>
      <c r="AF39" s="155" t="s">
        <v>18</v>
      </c>
      <c r="AG39" s="156"/>
      <c r="AH39" s="157"/>
      <c r="AI39" s="157"/>
      <c r="AJ39" s="157"/>
      <c r="AK39" s="157"/>
      <c r="AL39" s="157"/>
      <c r="AM39" s="157"/>
      <c r="AN39" s="157"/>
      <c r="AO39" s="157"/>
      <c r="AP39" s="158"/>
      <c r="AQ39" s="159"/>
      <c r="AR39" s="157"/>
      <c r="AS39" s="157"/>
      <c r="AT39" s="157"/>
      <c r="AU39" s="157"/>
      <c r="AV39" s="157"/>
      <c r="AW39" s="157"/>
      <c r="AX39" s="157"/>
      <c r="AY39" s="157"/>
      <c r="AZ39" s="160"/>
      <c r="BA39" s="117" t="str">
        <f t="shared" si="5"/>
        <v/>
      </c>
      <c r="BB39" s="100" t="str">
        <f t="shared" si="6"/>
        <v/>
      </c>
      <c r="BC39" s="99" t="str">
        <f>IF(BA39="","",VLOOKUP(BB39,Table1[],2,TRUE))</f>
        <v/>
      </c>
      <c r="BD39" s="101" t="str">
        <f t="shared" si="7"/>
        <v/>
      </c>
      <c r="BE39" s="102" t="str">
        <f t="shared" si="8"/>
        <v/>
      </c>
      <c r="BF39" s="103" t="str">
        <f>IF(BD39="","",VLOOKUP(BE39,Table1[],2,TRUE))</f>
        <v/>
      </c>
      <c r="BG39" s="104" t="str">
        <f>IF(AND(BB39="",BE39=""),"",IF(OR(BB39="-",BE39="-"),"-",IF(AND(BB$3&lt;&gt;0,BE$3&lt;&gt;0),VLOOKUP(AVERAGE(BB39,BE39),Table1[],2,TRUE),IF(AND(BB$3&lt;&gt;0,BE$3=0),BC39,BF39))))</f>
        <v/>
      </c>
      <c r="BH39" s="105"/>
      <c r="BI39" s="107" t="str">
        <f t="shared" si="9"/>
        <v/>
      </c>
      <c r="BJ39" s="155" t="s">
        <v>18</v>
      </c>
      <c r="BK39" s="156"/>
      <c r="BL39" s="157"/>
      <c r="BM39" s="157"/>
      <c r="BN39" s="157"/>
      <c r="BO39" s="157"/>
      <c r="BP39" s="157"/>
      <c r="BQ39" s="157"/>
      <c r="BR39" s="157"/>
      <c r="BS39" s="157"/>
      <c r="BT39" s="158"/>
      <c r="BU39" s="159"/>
      <c r="BV39" s="157"/>
      <c r="BW39" s="157"/>
      <c r="BX39" s="157"/>
      <c r="BY39" s="157"/>
      <c r="BZ39" s="157"/>
      <c r="CA39" s="157"/>
      <c r="CB39" s="157"/>
      <c r="CC39" s="157"/>
      <c r="CD39" s="160"/>
      <c r="CE39" s="117" t="str">
        <f t="shared" si="10"/>
        <v/>
      </c>
      <c r="CF39" s="100" t="str">
        <f t="shared" si="11"/>
        <v/>
      </c>
      <c r="CG39" s="99" t="str">
        <f>IF(CE39="","",VLOOKUP(CF39,Table1[],2,TRUE))</f>
        <v/>
      </c>
      <c r="CH39" s="101" t="str">
        <f t="shared" si="12"/>
        <v/>
      </c>
      <c r="CI39" s="102" t="str">
        <f t="shared" si="13"/>
        <v/>
      </c>
      <c r="CJ39" s="103" t="str">
        <f>IF(CH39="","",VLOOKUP(CI39,Table1[],2,TRUE))</f>
        <v/>
      </c>
      <c r="CK39" s="104" t="str">
        <f>IF(AND(CF39="",CI39=""),"",IF(OR(CF39="-",CI39="-"),"-",IF(AND(CF$3&lt;&gt;0,CI$3&lt;&gt;0),VLOOKUP(AVERAGE(CF39,CI39),Table1[],2,TRUE),IF(AND(CF$3&lt;&gt;0,CI$3=0),CG39,CJ39))))</f>
        <v/>
      </c>
      <c r="CL39" s="105"/>
      <c r="CM39" s="107" t="str">
        <f t="shared" si="14"/>
        <v/>
      </c>
      <c r="CN39" s="155" t="s">
        <v>18</v>
      </c>
      <c r="CO39" s="156"/>
      <c r="CP39" s="157"/>
      <c r="CQ39" s="157"/>
      <c r="CR39" s="157"/>
      <c r="CS39" s="157"/>
      <c r="CT39" s="157"/>
      <c r="CU39" s="157"/>
      <c r="CV39" s="157"/>
      <c r="CW39" s="157"/>
      <c r="CX39" s="158"/>
      <c r="CY39" s="159"/>
      <c r="CZ39" s="157"/>
      <c r="DA39" s="157"/>
      <c r="DB39" s="157"/>
      <c r="DC39" s="157"/>
      <c r="DD39" s="157"/>
      <c r="DE39" s="157"/>
      <c r="DF39" s="157"/>
      <c r="DG39" s="157"/>
      <c r="DH39" s="160"/>
      <c r="DI39" s="117" t="str">
        <f t="shared" si="15"/>
        <v/>
      </c>
      <c r="DJ39" s="100" t="str">
        <f t="shared" si="16"/>
        <v/>
      </c>
      <c r="DK39" s="99" t="str">
        <f>IF(DI39="","",VLOOKUP(DJ39,Table1[],2,TRUE))</f>
        <v/>
      </c>
      <c r="DL39" s="101" t="str">
        <f t="shared" si="17"/>
        <v/>
      </c>
      <c r="DM39" s="102" t="str">
        <f t="shared" si="18"/>
        <v/>
      </c>
      <c r="DN39" s="103" t="str">
        <f>IF(DL39="","",VLOOKUP(DM39,Table1[],2,TRUE))</f>
        <v/>
      </c>
      <c r="DO39" s="104" t="str">
        <f>IF(AND(DJ39="",DM39=""),"",IF(OR(DJ39="-",DM39="-"),"-",IF(AND(DJ$3&lt;&gt;0,DM$3&lt;&gt;0),VLOOKUP(AVERAGE(DJ39,DM39),Table1[],2,TRUE),IF(AND(DJ$3&lt;&gt;0,DM$3=0),DK39,DN39))))</f>
        <v/>
      </c>
      <c r="DP39" s="105"/>
      <c r="DQ39" s="107" t="str">
        <f t="shared" si="19"/>
        <v/>
      </c>
      <c r="DR39" s="155" t="s">
        <v>18</v>
      </c>
      <c r="DS39" s="172"/>
    </row>
    <row r="40" spans="1:123" s="61" customFormat="1" ht="15.75" thickBot="1" x14ac:dyDescent="0.3">
      <c r="A40" s="127" t="str">
        <f>IF(ISBLANK(ClassInformation!C45),"ZZZZZ",ClassInformation!C45)</f>
        <v>ZZZZZ</v>
      </c>
      <c r="B40" s="128" t="str">
        <f>IF(ISBLANK(ClassInformation!D45),"ZZZZZ",ClassInformation!D45)</f>
        <v>ZZZZZ</v>
      </c>
      <c r="C40" s="161"/>
      <c r="D40" s="162"/>
      <c r="E40" s="162"/>
      <c r="F40" s="162"/>
      <c r="G40" s="162"/>
      <c r="H40" s="162"/>
      <c r="I40" s="162"/>
      <c r="J40" s="162"/>
      <c r="K40" s="162"/>
      <c r="L40" s="163"/>
      <c r="M40" s="164"/>
      <c r="N40" s="162"/>
      <c r="O40" s="162"/>
      <c r="P40" s="162"/>
      <c r="Q40" s="162"/>
      <c r="R40" s="162"/>
      <c r="S40" s="162"/>
      <c r="T40" s="162"/>
      <c r="U40" s="162"/>
      <c r="V40" s="165"/>
      <c r="W40" s="108" t="str">
        <f t="shared" si="0"/>
        <v/>
      </c>
      <c r="X40" s="108" t="str">
        <f t="shared" si="1"/>
        <v/>
      </c>
      <c r="Y40" s="109" t="str">
        <f>IF(W40="","",VLOOKUP(X40,Table1[],2,TRUE))</f>
        <v/>
      </c>
      <c r="Z40" s="110" t="str">
        <f t="shared" si="2"/>
        <v/>
      </c>
      <c r="AA40" s="110" t="str">
        <f t="shared" si="3"/>
        <v/>
      </c>
      <c r="AB40" s="110" t="str">
        <f>IF(Z40="","",VLOOKUP(AA40,Table1[],2,TRUE))</f>
        <v/>
      </c>
      <c r="AC40" s="111" t="str">
        <f>IF(AND(X40="",AA40=""),"",IF(OR(X40="-",AA40="-"),"-",IF(AND(X$3&lt;&gt;0,AA$3&lt;&gt;0),VLOOKUP(AVERAGE(X40,AA40),Table1[],2,TRUE),IF(AND(X$3&lt;&gt;0,AA$3=0),Y40,AB40))))</f>
        <v/>
      </c>
      <c r="AD40" s="112"/>
      <c r="AE40" s="113" t="str">
        <f t="shared" si="4"/>
        <v/>
      </c>
      <c r="AF40" s="166" t="s">
        <v>18</v>
      </c>
      <c r="AG40" s="161"/>
      <c r="AH40" s="162"/>
      <c r="AI40" s="162"/>
      <c r="AJ40" s="162"/>
      <c r="AK40" s="162"/>
      <c r="AL40" s="162"/>
      <c r="AM40" s="162"/>
      <c r="AN40" s="162"/>
      <c r="AO40" s="162"/>
      <c r="AP40" s="163"/>
      <c r="AQ40" s="164"/>
      <c r="AR40" s="162"/>
      <c r="AS40" s="162"/>
      <c r="AT40" s="162"/>
      <c r="AU40" s="162"/>
      <c r="AV40" s="162"/>
      <c r="AW40" s="162"/>
      <c r="AX40" s="162"/>
      <c r="AY40" s="162"/>
      <c r="AZ40" s="165"/>
      <c r="BA40" s="108" t="str">
        <f t="shared" si="5"/>
        <v/>
      </c>
      <c r="BB40" s="108" t="str">
        <f t="shared" si="6"/>
        <v/>
      </c>
      <c r="BC40" s="109" t="str">
        <f>IF(BA40="","",VLOOKUP(BB40,Table1[],2,TRUE))</f>
        <v/>
      </c>
      <c r="BD40" s="110" t="str">
        <f t="shared" si="7"/>
        <v/>
      </c>
      <c r="BE40" s="110" t="str">
        <f t="shared" si="8"/>
        <v/>
      </c>
      <c r="BF40" s="110" t="str">
        <f>IF(BD40="","",VLOOKUP(BE40,Table1[],2,TRUE))</f>
        <v/>
      </c>
      <c r="BG40" s="111" t="str">
        <f>IF(AND(BB40="",BE40=""),"",IF(OR(BB40="-",BE40="-"),"-",IF(AND(BB$3&lt;&gt;0,BE$3&lt;&gt;0),VLOOKUP(AVERAGE(BB40,BE40),Table1[],2,TRUE),IF(AND(BB$3&lt;&gt;0,BE$3=0),BC40,BF40))))</f>
        <v/>
      </c>
      <c r="BH40" s="112"/>
      <c r="BI40" s="113" t="str">
        <f t="shared" si="9"/>
        <v/>
      </c>
      <c r="BJ40" s="166" t="s">
        <v>18</v>
      </c>
      <c r="BK40" s="161"/>
      <c r="BL40" s="162"/>
      <c r="BM40" s="162"/>
      <c r="BN40" s="162"/>
      <c r="BO40" s="162"/>
      <c r="BP40" s="162"/>
      <c r="BQ40" s="162"/>
      <c r="BR40" s="162"/>
      <c r="BS40" s="162"/>
      <c r="BT40" s="163"/>
      <c r="BU40" s="164"/>
      <c r="BV40" s="162"/>
      <c r="BW40" s="162"/>
      <c r="BX40" s="162"/>
      <c r="BY40" s="162"/>
      <c r="BZ40" s="162"/>
      <c r="CA40" s="162"/>
      <c r="CB40" s="162"/>
      <c r="CC40" s="162"/>
      <c r="CD40" s="165"/>
      <c r="CE40" s="108" t="str">
        <f t="shared" si="10"/>
        <v/>
      </c>
      <c r="CF40" s="108" t="str">
        <f t="shared" si="11"/>
        <v/>
      </c>
      <c r="CG40" s="109" t="str">
        <f>IF(CE40="","",VLOOKUP(CF40,Table1[],2,TRUE))</f>
        <v/>
      </c>
      <c r="CH40" s="110" t="str">
        <f t="shared" si="12"/>
        <v/>
      </c>
      <c r="CI40" s="110" t="str">
        <f t="shared" si="13"/>
        <v/>
      </c>
      <c r="CJ40" s="110" t="str">
        <f>IF(CH40="","",VLOOKUP(CI40,Table1[],2,TRUE))</f>
        <v/>
      </c>
      <c r="CK40" s="111" t="str">
        <f>IF(AND(CF40="",CI40=""),"",IF(OR(CF40="-",CI40="-"),"-",IF(AND(CF$3&lt;&gt;0,CI$3&lt;&gt;0),VLOOKUP(AVERAGE(CF40,CI40),Table1[],2,TRUE),IF(AND(CF$3&lt;&gt;0,CI$3=0),CG40,CJ40))))</f>
        <v/>
      </c>
      <c r="CL40" s="112"/>
      <c r="CM40" s="113" t="str">
        <f t="shared" si="14"/>
        <v/>
      </c>
      <c r="CN40" s="166" t="s">
        <v>18</v>
      </c>
      <c r="CO40" s="161"/>
      <c r="CP40" s="162"/>
      <c r="CQ40" s="162"/>
      <c r="CR40" s="162"/>
      <c r="CS40" s="162"/>
      <c r="CT40" s="162"/>
      <c r="CU40" s="162"/>
      <c r="CV40" s="162"/>
      <c r="CW40" s="162"/>
      <c r="CX40" s="163"/>
      <c r="CY40" s="164"/>
      <c r="CZ40" s="162"/>
      <c r="DA40" s="162"/>
      <c r="DB40" s="162"/>
      <c r="DC40" s="162"/>
      <c r="DD40" s="162"/>
      <c r="DE40" s="162"/>
      <c r="DF40" s="162"/>
      <c r="DG40" s="162"/>
      <c r="DH40" s="165"/>
      <c r="DI40" s="108" t="str">
        <f t="shared" si="15"/>
        <v/>
      </c>
      <c r="DJ40" s="108" t="str">
        <f t="shared" si="16"/>
        <v/>
      </c>
      <c r="DK40" s="109" t="str">
        <f>IF(DI40="","",VLOOKUP(DJ40,Table1[],2,TRUE))</f>
        <v/>
      </c>
      <c r="DL40" s="110" t="str">
        <f t="shared" si="17"/>
        <v/>
      </c>
      <c r="DM40" s="110" t="str">
        <f t="shared" si="18"/>
        <v/>
      </c>
      <c r="DN40" s="110" t="str">
        <f>IF(DL40="","",VLOOKUP(DM40,Table1[],2,TRUE))</f>
        <v/>
      </c>
      <c r="DO40" s="111" t="str">
        <f>IF(AND(DJ40="",DM40=""),"",IF(OR(DJ40="-",DM40="-"),"-",IF(AND(DJ$3&lt;&gt;0,DM$3&lt;&gt;0),VLOOKUP(AVERAGE(DJ40,DM40),Table1[],2,TRUE),IF(AND(DJ$3&lt;&gt;0,DM$3=0),DK40,DN40))))</f>
        <v/>
      </c>
      <c r="DP40" s="112"/>
      <c r="DQ40" s="113" t="str">
        <f t="shared" si="19"/>
        <v/>
      </c>
      <c r="DR40" s="166" t="s">
        <v>18</v>
      </c>
      <c r="DS40" s="172"/>
    </row>
  </sheetData>
  <sheetProtection formatCells="0" formatColumns="0" formatRows="0" insertColumns="0" deleteColumns="0"/>
  <mergeCells count="62">
    <mergeCell ref="A1:B2"/>
    <mergeCell ref="A3:B3"/>
    <mergeCell ref="C4:D4"/>
    <mergeCell ref="E4:F4"/>
    <mergeCell ref="G4:H4"/>
    <mergeCell ref="I4:J4"/>
    <mergeCell ref="K4:L4"/>
    <mergeCell ref="M4:N4"/>
    <mergeCell ref="O4:P4"/>
    <mergeCell ref="Q4:R4"/>
    <mergeCell ref="S4:T4"/>
    <mergeCell ref="U4:V4"/>
    <mergeCell ref="D1:AF1"/>
    <mergeCell ref="C2:L2"/>
    <mergeCell ref="M2:V2"/>
    <mergeCell ref="W2:AE2"/>
    <mergeCell ref="AH1:BJ1"/>
    <mergeCell ref="AG2:AP2"/>
    <mergeCell ref="AQ2:AZ2"/>
    <mergeCell ref="BA2:BI2"/>
    <mergeCell ref="AG4:AH4"/>
    <mergeCell ref="AI4:AJ4"/>
    <mergeCell ref="AK4:AL4"/>
    <mergeCell ref="AM4:AN4"/>
    <mergeCell ref="AO4:AP4"/>
    <mergeCell ref="AQ4:AR4"/>
    <mergeCell ref="AS4:AT4"/>
    <mergeCell ref="AU4:AV4"/>
    <mergeCell ref="AW4:AX4"/>
    <mergeCell ref="AY4:AZ4"/>
    <mergeCell ref="BL1:CN1"/>
    <mergeCell ref="BK2:BT2"/>
    <mergeCell ref="BU2:CD2"/>
    <mergeCell ref="CE2:CM2"/>
    <mergeCell ref="BK4:BL4"/>
    <mergeCell ref="BM4:BN4"/>
    <mergeCell ref="BO4:BP4"/>
    <mergeCell ref="BQ4:BR4"/>
    <mergeCell ref="BS4:BT4"/>
    <mergeCell ref="BU4:BV4"/>
    <mergeCell ref="BW4:BX4"/>
    <mergeCell ref="BY4:BZ4"/>
    <mergeCell ref="CA4:CB4"/>
    <mergeCell ref="CC4:CD4"/>
    <mergeCell ref="CF3:CG3"/>
    <mergeCell ref="CI3:CJ3"/>
    <mergeCell ref="CP1:DR1"/>
    <mergeCell ref="CO2:CX2"/>
    <mergeCell ref="CY2:DH2"/>
    <mergeCell ref="DI2:DQ2"/>
    <mergeCell ref="DJ3:DK3"/>
    <mergeCell ref="DM3:DN3"/>
    <mergeCell ref="CO4:CP4"/>
    <mergeCell ref="CQ4:CR4"/>
    <mergeCell ref="CS4:CT4"/>
    <mergeCell ref="CU4:CV4"/>
    <mergeCell ref="CW4:CX4"/>
    <mergeCell ref="CY4:CZ4"/>
    <mergeCell ref="DA4:DB4"/>
    <mergeCell ref="DC4:DD4"/>
    <mergeCell ref="DE4:DF4"/>
    <mergeCell ref="DG4:DH4"/>
  </mergeCells>
  <conditionalFormatting sqref="A5:B40">
    <cfRule type="expression" dxfId="46" priority="70">
      <formula>$A5="ZZZZZ"</formula>
    </cfRule>
  </conditionalFormatting>
  <conditionalFormatting sqref="Y5:Y40 AB5:AE40">
    <cfRule type="expression" dxfId="45" priority="14">
      <formula>OR(ISNUMBER(SEARCH("D",Y5)),ISNUMBER(SEARCH("E",Y5)))</formula>
    </cfRule>
  </conditionalFormatting>
  <conditionalFormatting sqref="C5:V40">
    <cfRule type="expression" dxfId="44" priority="13">
      <formula>NOT(ISBLANK(C5))</formula>
    </cfRule>
  </conditionalFormatting>
  <conditionalFormatting sqref="C5:C40 E5:E40 G5:G40 I5:I40 K5:K40 M5:M40 O5:O40 Q5:Q40 S5:S40 U5:U40">
    <cfRule type="expression" dxfId="43" priority="15">
      <formula>NOT($A5="ZZZZZ")</formula>
    </cfRule>
  </conditionalFormatting>
  <conditionalFormatting sqref="BC5:BC40 BF5:BI40">
    <cfRule type="expression" dxfId="42" priority="11">
      <formula>OR(ISNUMBER(SEARCH("D",BC5)),ISNUMBER(SEARCH("E",BC5)))</formula>
    </cfRule>
  </conditionalFormatting>
  <conditionalFormatting sqref="AG5:AZ40">
    <cfRule type="expression" dxfId="41" priority="10">
      <formula>NOT(ISBLANK(AG5))</formula>
    </cfRule>
  </conditionalFormatting>
  <conditionalFormatting sqref="AG5:AG40 AI5:AI40 AK5:AK40 AM5:AM40 AO5:AO40 AQ5:AQ40 AS5:AS40 AU5:AU40 AW5:AW40 AY5:AY40">
    <cfRule type="expression" dxfId="40" priority="12">
      <formula>NOT($A5="ZZZZZ")</formula>
    </cfRule>
  </conditionalFormatting>
  <conditionalFormatting sqref="CG5:CG40 CJ5:CM40">
    <cfRule type="expression" dxfId="39" priority="5">
      <formula>OR(ISNUMBER(SEARCH("D",CG5)),ISNUMBER(SEARCH("E",CG5)))</formula>
    </cfRule>
  </conditionalFormatting>
  <conditionalFormatting sqref="BK5:CD40">
    <cfRule type="expression" dxfId="38" priority="4">
      <formula>NOT(ISBLANK(BK5))</formula>
    </cfRule>
  </conditionalFormatting>
  <conditionalFormatting sqref="BK5:BK40 BM5:BM40 BO5:BO40 BQ5:BQ40 BS5:BS40 BU5:BU40 BW5:BW40 BY5:BY40 CA5:CA40 CC5:CC40">
    <cfRule type="expression" dxfId="37" priority="6">
      <formula>NOT($A5="ZZZZZ")</formula>
    </cfRule>
  </conditionalFormatting>
  <conditionalFormatting sqref="DK5:DK40 DN5:DQ40">
    <cfRule type="expression" dxfId="36" priority="2">
      <formula>OR(ISNUMBER(SEARCH("D",DK5)),ISNUMBER(SEARCH("E",DK5)))</formula>
    </cfRule>
  </conditionalFormatting>
  <conditionalFormatting sqref="CO5:DH40">
    <cfRule type="expression" dxfId="35" priority="1">
      <formula>NOT(ISBLANK(CO5))</formula>
    </cfRule>
  </conditionalFormatting>
  <conditionalFormatting sqref="CO5:CO40 CQ5:CQ40 CS5:CS40 CU5:CU40 CW5:CW40 CY5:CY40 DA5:DA40 DC5:DC40 DE5:DE40 DG5:DG40">
    <cfRule type="expression" dxfId="34" priority="3">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47625</xdr:rowOff>
                  </from>
                  <to>
                    <xdr:col>1</xdr:col>
                    <xdr:colOff>1019175</xdr:colOff>
                    <xdr:row>44</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67" id="{4DDF9EC8-AA55-4BD6-89D4-4197371ED738}">
            <xm:f>ClassInformation!$E10="N"</xm:f>
            <x14:dxf>
              <font>
                <strike/>
              </font>
            </x14:dxf>
          </x14:cfRule>
          <xm:sqref>A5:B40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90E4B45-FD31-4516-B62C-1B3AEE5ED800}">
          <x14:formula1>
            <xm:f>GradeScheme!$B$2:$B$18</xm:f>
          </x14:formula1>
          <xm:sqref>AD5:AD40 BH5:BH40 CL5:CL40 DP5:DP40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00E95-D246-41FF-AE40-2C8062D26CFF}">
  <sheetPr codeName="Sheet7">
    <tabColor theme="9" tint="0.59999389629810485"/>
  </sheetPr>
  <dimension ref="A1:BJ40"/>
  <sheetViews>
    <sheetView zoomScale="70" zoomScaleNormal="70" workbookViewId="0">
      <pane xSplit="2" ySplit="4" topLeftCell="C5" activePane="bottomRight" state="frozenSplit"/>
      <selection pane="topRight" activeCell="AE1" sqref="AE1"/>
      <selection pane="bottomLeft" activeCell="A23" sqref="A23"/>
      <selection pane="bottomRight" activeCell="BB32" sqref="BB32"/>
    </sheetView>
  </sheetViews>
  <sheetFormatPr defaultRowHeight="15" x14ac:dyDescent="0.25"/>
  <cols>
    <col min="1" max="2" width="15.7109375" style="130" customWidth="1"/>
    <col min="3" max="3" width="10.5703125" style="131" bestFit="1" customWidth="1"/>
    <col min="4" max="4" width="3.140625" style="131" bestFit="1" customWidth="1"/>
    <col min="5" max="5" width="9.28515625" style="131" bestFit="1" customWidth="1"/>
    <col min="6" max="6" width="3.140625" style="131" bestFit="1" customWidth="1"/>
    <col min="7" max="7" width="11" style="131" bestFit="1" customWidth="1"/>
    <col min="8" max="8" width="3.140625" style="131" bestFit="1" customWidth="1"/>
    <col min="9" max="9" width="7.42578125" style="131" bestFit="1" customWidth="1"/>
    <col min="10" max="10" width="4.5703125" style="131" bestFit="1" customWidth="1"/>
    <col min="11" max="11" width="7.7109375" style="131" bestFit="1" customWidth="1"/>
    <col min="12" max="12" width="3.140625" style="131" bestFit="1" customWidth="1"/>
    <col min="13" max="13" width="12" style="131" hidden="1" customWidth="1"/>
    <col min="14" max="14" width="0" style="131" hidden="1" customWidth="1"/>
    <col min="15" max="15" width="12" style="131" hidden="1" customWidth="1"/>
    <col min="16" max="16" width="0" style="131" hidden="1" customWidth="1"/>
    <col min="17" max="17" width="12" style="131" hidden="1" customWidth="1"/>
    <col min="18" max="18" width="0" style="131" hidden="1" customWidth="1"/>
    <col min="19" max="19" width="12" style="131" hidden="1" customWidth="1"/>
    <col min="20" max="20" width="0" style="131" hidden="1" customWidth="1"/>
    <col min="21" max="21" width="12" style="131" hidden="1" customWidth="1"/>
    <col min="22" max="22" width="0" style="131" hidden="1" customWidth="1"/>
    <col min="23" max="23" width="13.5703125" style="131" bestFit="1" customWidth="1"/>
    <col min="24" max="24" width="5.7109375" style="131" bestFit="1" customWidth="1"/>
    <col min="25" max="25" width="8.7109375" style="131" bestFit="1" customWidth="1"/>
    <col min="26" max="26" width="13.5703125" style="131" hidden="1" customWidth="1"/>
    <col min="27" max="27" width="3.85546875" style="131" hidden="1" customWidth="1"/>
    <col min="28" max="28" width="8.7109375" style="131" hidden="1" customWidth="1"/>
    <col min="29" max="29" width="15.28515625" style="131" hidden="1" customWidth="1"/>
    <col min="30" max="30" width="13.85546875" style="131" hidden="1" customWidth="1"/>
    <col min="31" max="31" width="17.42578125" style="131" hidden="1" customWidth="1"/>
    <col min="32" max="32" width="2.42578125" style="131" bestFit="1" customWidth="1"/>
    <col min="33" max="33" width="10.5703125" style="131" bestFit="1" customWidth="1"/>
    <col min="34" max="34" width="4.5703125" style="131" bestFit="1" customWidth="1"/>
    <col min="35" max="35" width="10.28515625" style="131" bestFit="1" customWidth="1"/>
    <col min="36" max="36" width="4.5703125" style="131" bestFit="1" customWidth="1"/>
    <col min="37" max="37" width="6.28515625" style="131" hidden="1" customWidth="1"/>
    <col min="38" max="38" width="0" style="131" hidden="1" customWidth="1"/>
    <col min="39" max="39" width="12" style="131" hidden="1" customWidth="1"/>
    <col min="40" max="40" width="0" style="131" hidden="1" customWidth="1"/>
    <col min="41" max="41" width="12" style="131" hidden="1" customWidth="1"/>
    <col min="42" max="42" width="0" style="131" hidden="1" customWidth="1"/>
    <col min="43" max="43" width="11" style="131" bestFit="1" customWidth="1"/>
    <col min="44" max="44" width="7.42578125" style="131" bestFit="1" customWidth="1"/>
    <col min="45" max="45" width="12" style="131" hidden="1" customWidth="1"/>
    <col min="46" max="46" width="0" style="131" hidden="1" customWidth="1"/>
    <col min="47" max="47" width="12" style="131" hidden="1" customWidth="1"/>
    <col min="48" max="48" width="0" style="131" hidden="1" customWidth="1"/>
    <col min="49" max="49" width="12" style="131" hidden="1" customWidth="1"/>
    <col min="50" max="50" width="0" style="131" hidden="1" customWidth="1"/>
    <col min="51" max="51" width="12" style="131" hidden="1" customWidth="1"/>
    <col min="52" max="52" width="0" style="131" hidden="1" customWidth="1"/>
    <col min="53" max="53" width="13.5703125" style="131" bestFit="1" customWidth="1"/>
    <col min="54" max="54" width="5.7109375" style="131" bestFit="1" customWidth="1"/>
    <col min="55" max="55" width="8.7109375" style="131" bestFit="1" customWidth="1"/>
    <col min="56" max="56" width="14.28515625" style="131" bestFit="1" customWidth="1"/>
    <col min="57" max="57" width="7.42578125" style="131" bestFit="1" customWidth="1"/>
    <col min="58" max="58" width="8.7109375" style="131" bestFit="1" customWidth="1"/>
    <col min="59" max="59" width="15.28515625" style="131" hidden="1" customWidth="1"/>
    <col min="60" max="60" width="13.85546875" style="131" hidden="1" customWidth="1"/>
    <col min="61" max="61" width="17.42578125" style="131" bestFit="1" customWidth="1"/>
    <col min="62" max="62" width="2.42578125" style="131" bestFit="1" customWidth="1"/>
    <col min="63" max="16384" width="9.140625" style="131"/>
  </cols>
  <sheetData>
    <row r="1" spans="1:62" s="129" customFormat="1" x14ac:dyDescent="0.25">
      <c r="A1" s="221" t="str">
        <f>_xlfn.CONCAT("Year ",ClassInformation!D4,ClassInformation!E4," ",ClassInformation!D5," - ","Semester 2 ",ClassInformation!D6)</f>
        <v>Year 7B Science - Semester 2 2019</v>
      </c>
      <c r="B1" s="222"/>
      <c r="C1" s="132" t="s">
        <v>123</v>
      </c>
      <c r="D1" s="209" t="s">
        <v>128</v>
      </c>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1"/>
      <c r="AG1" s="132" t="s">
        <v>123</v>
      </c>
      <c r="AH1" s="209" t="s">
        <v>129</v>
      </c>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c r="BG1" s="210"/>
      <c r="BH1" s="210"/>
      <c r="BI1" s="210"/>
      <c r="BJ1" s="211"/>
    </row>
    <row r="2" spans="1:62" s="129" customFormat="1" x14ac:dyDescent="0.25">
      <c r="A2" s="221"/>
      <c r="B2" s="222"/>
      <c r="C2" s="212" t="s">
        <v>32</v>
      </c>
      <c r="D2" s="213"/>
      <c r="E2" s="213"/>
      <c r="F2" s="213"/>
      <c r="G2" s="213"/>
      <c r="H2" s="213"/>
      <c r="I2" s="213"/>
      <c r="J2" s="213"/>
      <c r="K2" s="213"/>
      <c r="L2" s="214"/>
      <c r="M2" s="215" t="s">
        <v>34</v>
      </c>
      <c r="N2" s="213"/>
      <c r="O2" s="213"/>
      <c r="P2" s="213"/>
      <c r="Q2" s="213"/>
      <c r="R2" s="213"/>
      <c r="S2" s="213"/>
      <c r="T2" s="213"/>
      <c r="U2" s="213"/>
      <c r="V2" s="214"/>
      <c r="W2" s="215" t="s">
        <v>35</v>
      </c>
      <c r="X2" s="213"/>
      <c r="Y2" s="213"/>
      <c r="Z2" s="213"/>
      <c r="AA2" s="213"/>
      <c r="AB2" s="213"/>
      <c r="AC2" s="213"/>
      <c r="AD2" s="213"/>
      <c r="AE2" s="216"/>
      <c r="AF2" s="134" t="s">
        <v>18</v>
      </c>
      <c r="AG2" s="212" t="s">
        <v>32</v>
      </c>
      <c r="AH2" s="213"/>
      <c r="AI2" s="213"/>
      <c r="AJ2" s="213"/>
      <c r="AK2" s="213"/>
      <c r="AL2" s="213"/>
      <c r="AM2" s="213"/>
      <c r="AN2" s="213"/>
      <c r="AO2" s="213"/>
      <c r="AP2" s="214"/>
      <c r="AQ2" s="215" t="s">
        <v>130</v>
      </c>
      <c r="AR2" s="213"/>
      <c r="AS2" s="213"/>
      <c r="AT2" s="213"/>
      <c r="AU2" s="213"/>
      <c r="AV2" s="213"/>
      <c r="AW2" s="213"/>
      <c r="AX2" s="213"/>
      <c r="AY2" s="213"/>
      <c r="AZ2" s="214"/>
      <c r="BA2" s="215" t="s">
        <v>35</v>
      </c>
      <c r="BB2" s="213"/>
      <c r="BC2" s="213"/>
      <c r="BD2" s="213"/>
      <c r="BE2" s="213"/>
      <c r="BF2" s="213"/>
      <c r="BG2" s="213"/>
      <c r="BH2" s="213"/>
      <c r="BI2" s="216"/>
      <c r="BJ2" s="134" t="s">
        <v>18</v>
      </c>
    </row>
    <row r="3" spans="1:62" s="129" customFormat="1" x14ac:dyDescent="0.25">
      <c r="A3" s="223" t="s">
        <v>21</v>
      </c>
      <c r="B3" s="224"/>
      <c r="C3" s="136" t="str">
        <f>_xlfn.CONCAT("Max ",C4,":")</f>
        <v>Max PC:</v>
      </c>
      <c r="D3" s="137">
        <v>7</v>
      </c>
      <c r="E3" s="136" t="str">
        <f>_xlfn.CONCAT("Max ",E4,":")</f>
        <v>Max QP:</v>
      </c>
      <c r="F3" s="137">
        <v>3</v>
      </c>
      <c r="G3" s="136" t="str">
        <f>_xlfn.CONCAT("Max ",G4,":")</f>
        <v>Max PADI:</v>
      </c>
      <c r="H3" s="137">
        <v>5</v>
      </c>
      <c r="I3" s="136" t="str">
        <f>_xlfn.CONCAT("Max ",I4,":")</f>
        <v>Max E:</v>
      </c>
      <c r="J3" s="137">
        <v>10</v>
      </c>
      <c r="K3" s="136" t="str">
        <f>_xlfn.CONCAT("Max ",K4,":")</f>
        <v>Max C:</v>
      </c>
      <c r="L3" s="138">
        <v>5</v>
      </c>
      <c r="M3" s="136" t="str">
        <f>_xlfn.CONCAT("Max ",M4,":")</f>
        <v>Max [Mark]:</v>
      </c>
      <c r="N3" s="137"/>
      <c r="O3" s="136" t="str">
        <f>_xlfn.CONCAT("Max ",O4,":")</f>
        <v>Max [Mark]:</v>
      </c>
      <c r="P3" s="138"/>
      <c r="Q3" s="136" t="str">
        <f>_xlfn.CONCAT("Max ",Q4,":")</f>
        <v>Max [Mark]:</v>
      </c>
      <c r="R3" s="138"/>
      <c r="S3" s="136" t="str">
        <f>_xlfn.CONCAT("Max ",S4,":")</f>
        <v>Max [Mark]:</v>
      </c>
      <c r="T3" s="138"/>
      <c r="U3" s="136" t="str">
        <f>_xlfn.CONCAT("Max ",U4,":")</f>
        <v>Max [Mark]:</v>
      </c>
      <c r="V3" s="138"/>
      <c r="W3" s="136" t="str">
        <f>_xlfn.CONCAT("Max ",C2,":")</f>
        <v>Max UD:</v>
      </c>
      <c r="X3" s="168">
        <f>IF(OR(D3="-",F3="-",H3="-",J3="-",L3="-"),"-",SUM(D3,F3,H3,J3,L3))</f>
        <v>30</v>
      </c>
      <c r="Y3" s="139"/>
      <c r="Z3" s="136" t="str">
        <f>_xlfn.CONCAT("Max ",M2,":")</f>
        <v>Max SD:</v>
      </c>
      <c r="AA3" s="140">
        <f>IF(OR(N3="-",P3="-",R3="-",T3="-",V3="-"),"-",SUM(N3,P3,R3,T3,V3))</f>
        <v>0</v>
      </c>
      <c r="AB3" s="141"/>
      <c r="AC3" s="142"/>
      <c r="AD3" s="142"/>
      <c r="AE3" s="142"/>
      <c r="AF3" s="134" t="s">
        <v>18</v>
      </c>
      <c r="AG3" s="136" t="str">
        <f>_xlfn.CONCAT("Max ",AG4,":")</f>
        <v>Max SU:</v>
      </c>
      <c r="AH3" s="137">
        <v>13</v>
      </c>
      <c r="AI3" s="136" t="str">
        <f>_xlfn.CONCAT("Max ",AI4,":")</f>
        <v>Max SHE:</v>
      </c>
      <c r="AJ3" s="137">
        <v>10</v>
      </c>
      <c r="AK3" s="136" t="str">
        <f>_xlfn.CONCAT("Max ",AK4,":")</f>
        <v>Max :</v>
      </c>
      <c r="AL3" s="137"/>
      <c r="AM3" s="136" t="str">
        <f>_xlfn.CONCAT("Max ",AM4,":")</f>
        <v>Max [Mark]:</v>
      </c>
      <c r="AN3" s="137"/>
      <c r="AO3" s="136" t="str">
        <f>_xlfn.CONCAT("Max ",AO4,":")</f>
        <v>Max [Mark]:</v>
      </c>
      <c r="AP3" s="138"/>
      <c r="AQ3" s="136" t="str">
        <f>_xlfn.CONCAT("Max ",AQ4,":")</f>
        <v>Max PADI:</v>
      </c>
      <c r="AR3" s="137">
        <v>13.5</v>
      </c>
      <c r="AS3" s="136" t="str">
        <f>_xlfn.CONCAT("Max ",AS4,":")</f>
        <v>Max [Mark]:</v>
      </c>
      <c r="AT3" s="138"/>
      <c r="AU3" s="136" t="str">
        <f>_xlfn.CONCAT("Max ",AU4,":")</f>
        <v>Max [Mark]:</v>
      </c>
      <c r="AV3" s="138"/>
      <c r="AW3" s="136" t="str">
        <f>_xlfn.CONCAT("Max ",AW4,":")</f>
        <v>Max [Mark]:</v>
      </c>
      <c r="AX3" s="138"/>
      <c r="AY3" s="136" t="str">
        <f>_xlfn.CONCAT("Max ",AY4,":")</f>
        <v>Max [Mark]:</v>
      </c>
      <c r="AZ3" s="138"/>
      <c r="BA3" s="136" t="str">
        <f>_xlfn.CONCAT("Max ",AG2,":")</f>
        <v>Max UD:</v>
      </c>
      <c r="BB3" s="168">
        <f>IF(OR(AH3="-",AJ3="-",AL3="-",AN3="-",AP3="-"),"-",SUM(AH3,AJ3,AL3,AN3,AP3))</f>
        <v>23</v>
      </c>
      <c r="BC3" s="139"/>
      <c r="BD3" s="136" t="str">
        <f>_xlfn.CONCAT("Max ",AQ2,":")</f>
        <v>Max SIS:</v>
      </c>
      <c r="BE3" s="140">
        <f>IF(OR(AR3="-",AT3="-",AV3="-",AX3="-",AZ3="-"),"-",SUM(AR3,AT3,AV3,AX3,AZ3))</f>
        <v>13.5</v>
      </c>
      <c r="BF3" s="141"/>
      <c r="BG3" s="142"/>
      <c r="BH3" s="142"/>
      <c r="BI3" s="142"/>
      <c r="BJ3" s="134" t="s">
        <v>18</v>
      </c>
    </row>
    <row r="4" spans="1:62" s="129" customFormat="1" ht="15.75" thickBot="1" x14ac:dyDescent="0.3">
      <c r="A4" s="124" t="str">
        <f>ClassInformation!C9</f>
        <v>Last Name</v>
      </c>
      <c r="B4" s="89" t="str">
        <f>ClassInformation!D9</f>
        <v>First Name</v>
      </c>
      <c r="C4" s="207" t="s">
        <v>124</v>
      </c>
      <c r="D4" s="208"/>
      <c r="E4" s="207" t="s">
        <v>125</v>
      </c>
      <c r="F4" s="208"/>
      <c r="G4" s="207" t="s">
        <v>43</v>
      </c>
      <c r="H4" s="208"/>
      <c r="I4" s="207" t="s">
        <v>4</v>
      </c>
      <c r="J4" s="208"/>
      <c r="K4" s="207" t="s">
        <v>10</v>
      </c>
      <c r="L4" s="208"/>
      <c r="M4" s="207" t="s">
        <v>40</v>
      </c>
      <c r="N4" s="208"/>
      <c r="O4" s="207" t="s">
        <v>40</v>
      </c>
      <c r="P4" s="208"/>
      <c r="Q4" s="207" t="s">
        <v>40</v>
      </c>
      <c r="R4" s="208"/>
      <c r="S4" s="207" t="s">
        <v>40</v>
      </c>
      <c r="T4" s="208"/>
      <c r="U4" s="207" t="s">
        <v>40</v>
      </c>
      <c r="V4" s="208"/>
      <c r="W4" s="143" t="str">
        <f>_xlfn.CONCAT(W2," ",C2)</f>
        <v>Overall UD</v>
      </c>
      <c r="X4" s="144" t="s">
        <v>33</v>
      </c>
      <c r="Y4" s="145" t="s">
        <v>1</v>
      </c>
      <c r="Z4" s="146" t="str">
        <f>_xlfn.CONCAT(W2," ",M2)</f>
        <v>Overall SD</v>
      </c>
      <c r="AA4" s="147" t="s">
        <v>33</v>
      </c>
      <c r="AB4" s="148" t="s">
        <v>1</v>
      </c>
      <c r="AC4" s="149" t="s">
        <v>55</v>
      </c>
      <c r="AD4" s="149" t="s">
        <v>56</v>
      </c>
      <c r="AE4" s="149" t="str">
        <f>_xlfn.CONCAT(W2," Grade")</f>
        <v>Overall Grade</v>
      </c>
      <c r="AF4" s="134" t="s">
        <v>18</v>
      </c>
      <c r="AG4" s="207" t="s">
        <v>41</v>
      </c>
      <c r="AH4" s="208"/>
      <c r="AI4" s="207" t="s">
        <v>42</v>
      </c>
      <c r="AJ4" s="208"/>
      <c r="AK4" s="207"/>
      <c r="AL4" s="208"/>
      <c r="AM4" s="207" t="s">
        <v>40</v>
      </c>
      <c r="AN4" s="208"/>
      <c r="AO4" s="207" t="s">
        <v>40</v>
      </c>
      <c r="AP4" s="208"/>
      <c r="AQ4" s="207" t="s">
        <v>43</v>
      </c>
      <c r="AR4" s="208"/>
      <c r="AS4" s="207" t="s">
        <v>40</v>
      </c>
      <c r="AT4" s="208"/>
      <c r="AU4" s="207" t="s">
        <v>40</v>
      </c>
      <c r="AV4" s="208"/>
      <c r="AW4" s="207" t="s">
        <v>40</v>
      </c>
      <c r="AX4" s="208"/>
      <c r="AY4" s="207" t="s">
        <v>40</v>
      </c>
      <c r="AZ4" s="208"/>
      <c r="BA4" s="143" t="str">
        <f>_xlfn.CONCAT(BA2," ",AG2)</f>
        <v>Overall UD</v>
      </c>
      <c r="BB4" s="144" t="s">
        <v>33</v>
      </c>
      <c r="BC4" s="145" t="s">
        <v>1</v>
      </c>
      <c r="BD4" s="146" t="str">
        <f>_xlfn.CONCAT(BA2," ",AQ2)</f>
        <v>Overall SIS</v>
      </c>
      <c r="BE4" s="147" t="s">
        <v>33</v>
      </c>
      <c r="BF4" s="148" t="s">
        <v>1</v>
      </c>
      <c r="BG4" s="149" t="s">
        <v>55</v>
      </c>
      <c r="BH4" s="149" t="s">
        <v>56</v>
      </c>
      <c r="BI4" s="149" t="str">
        <f>_xlfn.CONCAT(BA2," Grade")</f>
        <v>Overall Grade</v>
      </c>
      <c r="BJ4" s="134" t="s">
        <v>18</v>
      </c>
    </row>
    <row r="5" spans="1:62" s="61" customFormat="1" x14ac:dyDescent="0.25">
      <c r="A5" s="26" t="str">
        <f>IF(ISBLANK(ClassInformation!C10),"ZZZZZ",ClassInformation!C10)</f>
        <v>Amery</v>
      </c>
      <c r="B5" s="18" t="str">
        <f>IF(ISBLANK(ClassInformation!D10),"ZZZZZ",ClassInformation!D10)</f>
        <v>Kyeesha</v>
      </c>
      <c r="C5" s="150">
        <v>4</v>
      </c>
      <c r="D5" s="151"/>
      <c r="E5" s="151">
        <v>1</v>
      </c>
      <c r="F5" s="151"/>
      <c r="G5" s="151">
        <v>5</v>
      </c>
      <c r="H5" s="151"/>
      <c r="I5" s="151">
        <v>3</v>
      </c>
      <c r="J5" s="151"/>
      <c r="K5" s="151">
        <v>3</v>
      </c>
      <c r="L5" s="152"/>
      <c r="M5" s="153"/>
      <c r="N5" s="151"/>
      <c r="O5" s="151"/>
      <c r="P5" s="151"/>
      <c r="Q5" s="151"/>
      <c r="R5" s="151"/>
      <c r="S5" s="151"/>
      <c r="T5" s="151"/>
      <c r="U5" s="151"/>
      <c r="V5" s="154"/>
      <c r="W5" s="116">
        <f>_xlfn.IFS(COUNTIF(C5:L5,"*-*")&gt;0,"-",COUNTBLANK(C5:L5)=10,"",X$3="-","-",TRUE,SUM(C5:L5))</f>
        <v>16</v>
      </c>
      <c r="X5" s="100">
        <f>_xlfn.SWITCH(W5,"","","-","-",W5/X$3)</f>
        <v>0.53333333333333333</v>
      </c>
      <c r="Y5" s="99" t="str">
        <f>IF(X5="","",VLOOKUP(X5,Table1[],2,TRUE))</f>
        <v>C</v>
      </c>
      <c r="Z5" s="101" t="str">
        <f>_xlfn.IFS(COUNTIF(M5:V5,"*-*")&gt;0,"-",COUNTBLANK(M5:V5)=10,"",AA$3="-","-",TRUE,SUM(M5:V5))</f>
        <v/>
      </c>
      <c r="AA5" s="102" t="str">
        <f>_xlfn.SWITCH(Z5,"","","-", "-",Z5/AA$3)</f>
        <v/>
      </c>
      <c r="AB5" s="103" t="str">
        <f>IF(AA5="","",VLOOKUP(AA5,Table1[],2,TRUE))</f>
        <v/>
      </c>
      <c r="AC5" s="114" t="str">
        <f>_xlfn.IFS(AND(X5="",AA5=""),"",OR(X5="-",AA5="-"),"-",AND(X$3&lt;&gt;0,AA$3&lt;&gt;0),VLOOKUP(AVERAGE(X5,AA5),Table1[],2,TRUE),AND(X$3&lt;&gt;0,AA$3=0),Y5,TRUE,AB5)</f>
        <v>C</v>
      </c>
      <c r="AD5" s="115"/>
      <c r="AE5" s="106" t="str">
        <f>IF(ISBLANK(AD5),AC5,AD5)</f>
        <v>C</v>
      </c>
      <c r="AF5" s="155" t="s">
        <v>18</v>
      </c>
      <c r="AG5" s="150">
        <v>9.5</v>
      </c>
      <c r="AH5" s="151"/>
      <c r="AI5" s="151">
        <v>6</v>
      </c>
      <c r="AJ5" s="151"/>
      <c r="AK5" s="151"/>
      <c r="AL5" s="151"/>
      <c r="AM5" s="151"/>
      <c r="AN5" s="151"/>
      <c r="AO5" s="151"/>
      <c r="AP5" s="152"/>
      <c r="AQ5" s="153">
        <v>11.5</v>
      </c>
      <c r="AR5" s="151"/>
      <c r="AS5" s="151"/>
      <c r="AT5" s="151"/>
      <c r="AU5" s="151"/>
      <c r="AV5" s="151"/>
      <c r="AW5" s="151"/>
      <c r="AX5" s="151"/>
      <c r="AY5" s="151"/>
      <c r="AZ5" s="154"/>
      <c r="BA5" s="116">
        <f>_xlfn.IFS(COUNTIF(AG5:AP5,"*-*")&gt;0,"-",COUNTBLANK(AG5:AP5)=10,"",BB$3="-","-",TRUE,SUM(AG5:AP5))</f>
        <v>15.5</v>
      </c>
      <c r="BB5" s="100">
        <f>_xlfn.SWITCH(BA5,"","","-","-",BA5/BB$3)</f>
        <v>0.67391304347826086</v>
      </c>
      <c r="BC5" s="99" t="str">
        <f>IF(BB5="","",VLOOKUP(BB5,Table1[],2,TRUE))</f>
        <v>B-</v>
      </c>
      <c r="BD5" s="101">
        <f>_xlfn.IFS(COUNTIF(AQ5:AZ5,"*-*")&gt;0,"-",COUNTBLANK(AQ5:AZ5)=10,"",BE$3="-","-",TRUE,SUM(AQ5:AZ5))</f>
        <v>11.5</v>
      </c>
      <c r="BE5" s="102">
        <f>_xlfn.SWITCH(BD5,"","","-", "-",BD5/BE$3)</f>
        <v>0.85185185185185186</v>
      </c>
      <c r="BF5" s="103" t="str">
        <f>IF(BE5="","",VLOOKUP(BE5,Table1[],2,TRUE))</f>
        <v>A-</v>
      </c>
      <c r="BG5" s="114" t="str">
        <f>_xlfn.IFS(AND(BB5="",BE5=""),"",OR(BB5="-",BE5="-"),"-",AND(BB$3&lt;&gt;0,BE$3&lt;&gt;0),VLOOKUP(AVERAGE(BB5,BE5),Table1[],2,TRUE),AND(BB$3&lt;&gt;0,BE$3=0),BC5,TRUE,BF5)</f>
        <v>B+</v>
      </c>
      <c r="BH5" s="115"/>
      <c r="BI5" s="106" t="str">
        <f>IF(ISBLANK(BH5),BG5,BH5)</f>
        <v>B+</v>
      </c>
      <c r="BJ5" s="155" t="s">
        <v>18</v>
      </c>
    </row>
    <row r="6" spans="1:62" s="61" customFormat="1" x14ac:dyDescent="0.25">
      <c r="A6" s="26" t="str">
        <f>IF(ISBLANK(ClassInformation!C11),"ZZZZZ",ClassInformation!C11)</f>
        <v>Barratt</v>
      </c>
      <c r="B6" s="18" t="str">
        <f>IF(ISBLANK(ClassInformation!D11),"ZZZZZ",ClassInformation!D11)</f>
        <v>Oliver</v>
      </c>
      <c r="C6" s="156">
        <v>5.5</v>
      </c>
      <c r="D6" s="157"/>
      <c r="E6" s="157">
        <v>2.5</v>
      </c>
      <c r="F6" s="157"/>
      <c r="G6" s="157">
        <v>4</v>
      </c>
      <c r="H6" s="157"/>
      <c r="I6" s="157">
        <v>2</v>
      </c>
      <c r="J6" s="157"/>
      <c r="K6" s="157">
        <v>4</v>
      </c>
      <c r="L6" s="158"/>
      <c r="M6" s="159"/>
      <c r="N6" s="157"/>
      <c r="O6" s="157"/>
      <c r="P6" s="157"/>
      <c r="Q6" s="157"/>
      <c r="R6" s="157"/>
      <c r="S6" s="157"/>
      <c r="T6" s="157"/>
      <c r="U6" s="157"/>
      <c r="V6" s="160"/>
      <c r="W6" s="117">
        <f t="shared" ref="W6:W40" si="0">_xlfn.IFS(COUNTIF(C6:L6,"*-*")&gt;0,"-",COUNTBLANK(C6:L6)=10,"",X$3="-","-",TRUE,SUM(C6:L6))</f>
        <v>18</v>
      </c>
      <c r="X6" s="100">
        <f t="shared" ref="X6:X40" si="1">_xlfn.SWITCH(W6,"","","-","-",W6/X$3)</f>
        <v>0.6</v>
      </c>
      <c r="Y6" s="99" t="str">
        <f>IF(W6="","",VLOOKUP(X6,Table1[],2,TRUE))</f>
        <v>C+</v>
      </c>
      <c r="Z6" s="101" t="str">
        <f t="shared" ref="Z6:Z40" si="2">_xlfn.IFS(COUNTIF(M6:V6,"*-*")&gt;0,"-",COUNTBLANK(M6:V6)=10,"",AA$3="-","-",TRUE,SUM(M6:V6))</f>
        <v/>
      </c>
      <c r="AA6" s="102" t="str">
        <f t="shared" ref="AA6:AA40" si="3">_xlfn.SWITCH(Z6,"","","-", "-",Z6/AA$3)</f>
        <v/>
      </c>
      <c r="AB6" s="103" t="str">
        <f>IF(Z6="","",VLOOKUP(AA6,Table1[],2,TRUE))</f>
        <v/>
      </c>
      <c r="AC6" s="104" t="str">
        <f>IF(AND(X6="",AA6=""),"",IF(OR(X6="-",AA6="-"),"-",IF(AND(X$3&lt;&gt;0,AA$3&lt;&gt;0),VLOOKUP(AVERAGE(X6,AA6),Table1[],2,TRUE),IF(AND(X$3&lt;&gt;0,AA$3=0),Y6,AB6))))</f>
        <v>C+</v>
      </c>
      <c r="AD6" s="105"/>
      <c r="AE6" s="107" t="str">
        <f t="shared" ref="AE6:AE40" si="4">IF(ISBLANK(AD6),AC6,AD6)</f>
        <v>C+</v>
      </c>
      <c r="AF6" s="155" t="s">
        <v>18</v>
      </c>
      <c r="AG6" s="156">
        <v>10</v>
      </c>
      <c r="AH6" s="157"/>
      <c r="AI6" s="157">
        <v>3</v>
      </c>
      <c r="AJ6" s="157"/>
      <c r="AK6" s="157"/>
      <c r="AL6" s="157"/>
      <c r="AM6" s="157"/>
      <c r="AN6" s="157"/>
      <c r="AO6" s="157"/>
      <c r="AP6" s="158"/>
      <c r="AQ6" s="159">
        <v>9.5</v>
      </c>
      <c r="AR6" s="157"/>
      <c r="AS6" s="157"/>
      <c r="AT6" s="157"/>
      <c r="AU6" s="157"/>
      <c r="AV6" s="157"/>
      <c r="AW6" s="157"/>
      <c r="AX6" s="157"/>
      <c r="AY6" s="157"/>
      <c r="AZ6" s="160"/>
      <c r="BA6" s="117">
        <f t="shared" ref="BA6:BA40" si="5">_xlfn.IFS(COUNTIF(AG6:AP6,"*-*")&gt;0,"-",COUNTBLANK(AG6:AP6)=10,"",BB$3="-","-",TRUE,SUM(AG6:AP6))</f>
        <v>13</v>
      </c>
      <c r="BB6" s="100">
        <f t="shared" ref="BB6:BB40" si="6">_xlfn.SWITCH(BA6,"","","-","-",BA6/BB$3)</f>
        <v>0.56521739130434778</v>
      </c>
      <c r="BC6" s="99" t="str">
        <f>IF(BA6="","",VLOOKUP(BB6,Table1[],2,TRUE))</f>
        <v>C</v>
      </c>
      <c r="BD6" s="101">
        <f t="shared" ref="BD6:BD40" si="7">_xlfn.IFS(COUNTIF(AQ6:AZ6,"*-*")&gt;0,"-",COUNTBLANK(AQ6:AZ6)=10,"",BE$3="-","-",TRUE,SUM(AQ6:AZ6))</f>
        <v>9.5</v>
      </c>
      <c r="BE6" s="102">
        <f t="shared" ref="BE6:BE40" si="8">_xlfn.SWITCH(BD6,"","","-", "-",BD6/BE$3)</f>
        <v>0.70370370370370372</v>
      </c>
      <c r="BF6" s="103" t="str">
        <f>IF(BD6="","",VLOOKUP(BE6,Table1[],2,TRUE))</f>
        <v>B</v>
      </c>
      <c r="BG6" s="104" t="str">
        <f>IF(AND(BB6="",BE6=""),"",IF(OR(BB6="-",BE6="-"),"-",IF(AND(BB$3&lt;&gt;0,BE$3&lt;&gt;0),VLOOKUP(AVERAGE(BB6,BE6),Table1[],2,TRUE),IF(AND(BB$3&lt;&gt;0,BE$3=0),BC6,BF6))))</f>
        <v>C+</v>
      </c>
      <c r="BH6" s="105"/>
      <c r="BI6" s="107" t="str">
        <f t="shared" ref="BI6:BI40" si="9">IF(ISBLANK(BH6),BG6,BH6)</f>
        <v>C+</v>
      </c>
      <c r="BJ6" s="155" t="s">
        <v>18</v>
      </c>
    </row>
    <row r="7" spans="1:62" s="61" customFormat="1" x14ac:dyDescent="0.25">
      <c r="A7" s="26" t="str">
        <f>IF(ISBLANK(ClassInformation!C12),"ZZZZZ",ClassInformation!C12)</f>
        <v>Bulacan</v>
      </c>
      <c r="B7" s="18" t="str">
        <f>IF(ISBLANK(ClassInformation!D12),"ZZZZZ",ClassInformation!D12)</f>
        <v>Jed</v>
      </c>
      <c r="C7" s="156">
        <v>7</v>
      </c>
      <c r="D7" s="157"/>
      <c r="E7" s="157">
        <v>2</v>
      </c>
      <c r="F7" s="157"/>
      <c r="G7" s="157">
        <v>2.5</v>
      </c>
      <c r="H7" s="157"/>
      <c r="I7" s="157">
        <v>7.5</v>
      </c>
      <c r="J7" s="157"/>
      <c r="K7" s="157">
        <v>3</v>
      </c>
      <c r="L7" s="158"/>
      <c r="M7" s="159"/>
      <c r="N7" s="157"/>
      <c r="O7" s="157"/>
      <c r="P7" s="157"/>
      <c r="Q7" s="157"/>
      <c r="R7" s="157"/>
      <c r="S7" s="157"/>
      <c r="T7" s="157"/>
      <c r="U7" s="157"/>
      <c r="V7" s="160"/>
      <c r="W7" s="117">
        <f t="shared" si="0"/>
        <v>22</v>
      </c>
      <c r="X7" s="100">
        <f t="shared" si="1"/>
        <v>0.73333333333333328</v>
      </c>
      <c r="Y7" s="99" t="str">
        <f>IF(W7="","",VLOOKUP(X7,Table1[],2,TRUE))</f>
        <v>B</v>
      </c>
      <c r="Z7" s="101" t="str">
        <f t="shared" si="2"/>
        <v/>
      </c>
      <c r="AA7" s="102" t="str">
        <f t="shared" si="3"/>
        <v/>
      </c>
      <c r="AB7" s="103" t="str">
        <f>IF(Z7="","",VLOOKUP(AA7,Table1[],2,TRUE))</f>
        <v/>
      </c>
      <c r="AC7" s="104" t="str">
        <f>IF(AND(X7="",AA7=""),"",IF(OR(X7="-",AA7="-"),"-",IF(AND(X$3&lt;&gt;0,AA$3&lt;&gt;0),VLOOKUP(AVERAGE(X7,AA7),Table1[],2,TRUE),IF(AND(X$3&lt;&gt;0,AA$3=0),Y7,AB7))))</f>
        <v>B</v>
      </c>
      <c r="AD7" s="105"/>
      <c r="AE7" s="107" t="str">
        <f t="shared" si="4"/>
        <v>B</v>
      </c>
      <c r="AF7" s="155" t="s">
        <v>18</v>
      </c>
      <c r="AG7" s="156">
        <v>11</v>
      </c>
      <c r="AH7" s="157"/>
      <c r="AI7" s="157">
        <v>6.5</v>
      </c>
      <c r="AJ7" s="157"/>
      <c r="AK7" s="157"/>
      <c r="AL7" s="157"/>
      <c r="AM7" s="157"/>
      <c r="AN7" s="157"/>
      <c r="AO7" s="157"/>
      <c r="AP7" s="158"/>
      <c r="AQ7" s="159">
        <v>11</v>
      </c>
      <c r="AR7" s="157"/>
      <c r="AS7" s="157"/>
      <c r="AT7" s="157"/>
      <c r="AU7" s="157"/>
      <c r="AV7" s="157"/>
      <c r="AW7" s="157"/>
      <c r="AX7" s="157"/>
      <c r="AY7" s="157"/>
      <c r="AZ7" s="160"/>
      <c r="BA7" s="117">
        <f t="shared" si="5"/>
        <v>17.5</v>
      </c>
      <c r="BB7" s="100">
        <f t="shared" si="6"/>
        <v>0.76086956521739135</v>
      </c>
      <c r="BC7" s="99" t="str">
        <f>IF(BA7="","",VLOOKUP(BB7,Table1[],2,TRUE))</f>
        <v>B+</v>
      </c>
      <c r="BD7" s="101">
        <f t="shared" si="7"/>
        <v>11</v>
      </c>
      <c r="BE7" s="102">
        <f t="shared" si="8"/>
        <v>0.81481481481481477</v>
      </c>
      <c r="BF7" s="103" t="str">
        <f>IF(BD7="","",VLOOKUP(BE7,Table1[],2,TRUE))</f>
        <v>A-</v>
      </c>
      <c r="BG7" s="104" t="str">
        <f>IF(AND(BB7="",BE7=""),"",IF(OR(BB7="-",BE7="-"),"-",IF(AND(BB$3&lt;&gt;0,BE$3&lt;&gt;0),VLOOKUP(AVERAGE(BB7,BE7),Table1[],2,TRUE),IF(AND(BB$3&lt;&gt;0,BE$3=0),BC7,BF7))))</f>
        <v>B+</v>
      </c>
      <c r="BH7" s="105"/>
      <c r="BI7" s="107" t="str">
        <f t="shared" si="9"/>
        <v>B+</v>
      </c>
      <c r="BJ7" s="155" t="s">
        <v>18</v>
      </c>
    </row>
    <row r="8" spans="1:62" s="61" customFormat="1" x14ac:dyDescent="0.25">
      <c r="A8" s="26" t="str">
        <f>IF(ISBLANK(ClassInformation!C13),"ZZZZZ",ClassInformation!C13)</f>
        <v>Chapman</v>
      </c>
      <c r="B8" s="18" t="str">
        <f>IF(ISBLANK(ClassInformation!D13),"ZZZZZ",ClassInformation!D13)</f>
        <v>Michelle</v>
      </c>
      <c r="C8" s="156">
        <v>6</v>
      </c>
      <c r="D8" s="157"/>
      <c r="E8" s="157">
        <v>1.5</v>
      </c>
      <c r="F8" s="157"/>
      <c r="G8" s="157">
        <v>5</v>
      </c>
      <c r="H8" s="157"/>
      <c r="I8" s="157">
        <v>5.5</v>
      </c>
      <c r="J8" s="157"/>
      <c r="K8" s="157">
        <v>4.5</v>
      </c>
      <c r="L8" s="158"/>
      <c r="M8" s="159"/>
      <c r="N8" s="157"/>
      <c r="O8" s="157"/>
      <c r="P8" s="157"/>
      <c r="Q8" s="157"/>
      <c r="R8" s="157"/>
      <c r="S8" s="157"/>
      <c r="T8" s="157"/>
      <c r="U8" s="157"/>
      <c r="V8" s="160"/>
      <c r="W8" s="117">
        <f t="shared" si="0"/>
        <v>22.5</v>
      </c>
      <c r="X8" s="100">
        <f t="shared" si="1"/>
        <v>0.75</v>
      </c>
      <c r="Y8" s="99" t="str">
        <f>IF(W8="","",VLOOKUP(X8,Table1[],2,TRUE))</f>
        <v>B+</v>
      </c>
      <c r="Z8" s="101" t="str">
        <f t="shared" si="2"/>
        <v/>
      </c>
      <c r="AA8" s="102" t="str">
        <f t="shared" si="3"/>
        <v/>
      </c>
      <c r="AB8" s="103" t="str">
        <f>IF(Z8="","",VLOOKUP(AA8,Table1[],2,TRUE))</f>
        <v/>
      </c>
      <c r="AC8" s="104" t="str">
        <f>IF(AND(X8="",AA8=""),"",IF(OR(X8="-",AA8="-"),"-",IF(AND(X$3&lt;&gt;0,AA$3&lt;&gt;0),VLOOKUP(AVERAGE(X8,AA8),Table1[],2,TRUE),IF(AND(X$3&lt;&gt;0,AA$3=0),Y8,AB8))))</f>
        <v>B+</v>
      </c>
      <c r="AD8" s="105"/>
      <c r="AE8" s="107" t="str">
        <f t="shared" si="4"/>
        <v>B+</v>
      </c>
      <c r="AF8" s="155" t="s">
        <v>18</v>
      </c>
      <c r="AG8" s="156">
        <v>8.5</v>
      </c>
      <c r="AH8" s="157"/>
      <c r="AI8" s="157">
        <v>7</v>
      </c>
      <c r="AJ8" s="157"/>
      <c r="AK8" s="157"/>
      <c r="AL8" s="157"/>
      <c r="AM8" s="157"/>
      <c r="AN8" s="157"/>
      <c r="AO8" s="157"/>
      <c r="AP8" s="158"/>
      <c r="AQ8" s="159">
        <v>6</v>
      </c>
      <c r="AR8" s="157"/>
      <c r="AS8" s="157"/>
      <c r="AT8" s="157"/>
      <c r="AU8" s="157"/>
      <c r="AV8" s="157"/>
      <c r="AW8" s="157"/>
      <c r="AX8" s="157"/>
      <c r="AY8" s="157"/>
      <c r="AZ8" s="160"/>
      <c r="BA8" s="117">
        <f t="shared" si="5"/>
        <v>15.5</v>
      </c>
      <c r="BB8" s="100">
        <f t="shared" si="6"/>
        <v>0.67391304347826086</v>
      </c>
      <c r="BC8" s="99" t="str">
        <f>IF(BA8="","",VLOOKUP(BB8,Table1[],2,TRUE))</f>
        <v>B-</v>
      </c>
      <c r="BD8" s="101">
        <f t="shared" si="7"/>
        <v>6</v>
      </c>
      <c r="BE8" s="102">
        <f t="shared" si="8"/>
        <v>0.44444444444444442</v>
      </c>
      <c r="BF8" s="103" t="str">
        <f>IF(BD8="","",VLOOKUP(BE8,Table1[],2,TRUE))</f>
        <v>D+</v>
      </c>
      <c r="BG8" s="104" t="str">
        <f>IF(AND(BB8="",BE8=""),"",IF(OR(BB8="-",BE8="-"),"-",IF(AND(BB$3&lt;&gt;0,BE$3&lt;&gt;0),VLOOKUP(AVERAGE(BB8,BE8),Table1[],2,TRUE),IF(AND(BB$3&lt;&gt;0,BE$3=0),BC8,BF8))))</f>
        <v>C</v>
      </c>
      <c r="BH8" s="105"/>
      <c r="BI8" s="107" t="str">
        <f t="shared" si="9"/>
        <v>C</v>
      </c>
      <c r="BJ8" s="155" t="s">
        <v>18</v>
      </c>
    </row>
    <row r="9" spans="1:62" s="61" customFormat="1" x14ac:dyDescent="0.25">
      <c r="A9" s="26" t="str">
        <f>IF(ISBLANK(ClassInformation!C14),"ZZZZZ",ClassInformation!C14)</f>
        <v>Comber</v>
      </c>
      <c r="B9" s="18" t="str">
        <f>IF(ISBLANK(ClassInformation!D14),"ZZZZZ",ClassInformation!D14)</f>
        <v>Gabi</v>
      </c>
      <c r="C9" s="156">
        <v>7</v>
      </c>
      <c r="D9" s="157"/>
      <c r="E9" s="157">
        <v>2</v>
      </c>
      <c r="F9" s="157"/>
      <c r="G9" s="157">
        <v>5</v>
      </c>
      <c r="H9" s="157"/>
      <c r="I9" s="157">
        <v>7.5</v>
      </c>
      <c r="J9" s="157"/>
      <c r="K9" s="157">
        <v>4.5</v>
      </c>
      <c r="L9" s="158"/>
      <c r="M9" s="159"/>
      <c r="N9" s="157"/>
      <c r="O9" s="157"/>
      <c r="P9" s="157"/>
      <c r="Q9" s="157"/>
      <c r="R9" s="157"/>
      <c r="S9" s="157"/>
      <c r="T9" s="157"/>
      <c r="U9" s="157"/>
      <c r="V9" s="160"/>
      <c r="W9" s="117">
        <f t="shared" si="0"/>
        <v>26</v>
      </c>
      <c r="X9" s="100">
        <f t="shared" si="1"/>
        <v>0.8666666666666667</v>
      </c>
      <c r="Y9" s="99" t="str">
        <f>IF(W9="","",VLOOKUP(X9,Table1[],2,TRUE))</f>
        <v>A-</v>
      </c>
      <c r="Z9" s="101" t="str">
        <f t="shared" si="2"/>
        <v/>
      </c>
      <c r="AA9" s="102" t="str">
        <f t="shared" si="3"/>
        <v/>
      </c>
      <c r="AB9" s="103" t="str">
        <f>IF(Z9="","",VLOOKUP(AA9,Table1[],2,TRUE))</f>
        <v/>
      </c>
      <c r="AC9" s="104" t="str">
        <f>IF(AND(X9="",AA9=""),"",IF(OR(X9="-",AA9="-"),"-",IF(AND(X$3&lt;&gt;0,AA$3&lt;&gt;0),VLOOKUP(AVERAGE(X9,AA9),Table1[],2,TRUE),IF(AND(X$3&lt;&gt;0,AA$3=0),Y9,AB9))))</f>
        <v>A-</v>
      </c>
      <c r="AD9" s="105"/>
      <c r="AE9" s="107" t="str">
        <f t="shared" si="4"/>
        <v>A-</v>
      </c>
      <c r="AF9" s="155" t="s">
        <v>18</v>
      </c>
      <c r="AG9" s="156">
        <v>11</v>
      </c>
      <c r="AH9" s="157"/>
      <c r="AI9" s="157">
        <v>3.5</v>
      </c>
      <c r="AJ9" s="157"/>
      <c r="AK9" s="157"/>
      <c r="AL9" s="157"/>
      <c r="AM9" s="157"/>
      <c r="AN9" s="157"/>
      <c r="AO9" s="157"/>
      <c r="AP9" s="158"/>
      <c r="AQ9" s="159">
        <v>10</v>
      </c>
      <c r="AR9" s="157"/>
      <c r="AS9" s="157"/>
      <c r="AT9" s="157"/>
      <c r="AU9" s="157"/>
      <c r="AV9" s="157"/>
      <c r="AW9" s="157"/>
      <c r="AX9" s="157"/>
      <c r="AY9" s="157"/>
      <c r="AZ9" s="160"/>
      <c r="BA9" s="117">
        <f t="shared" si="5"/>
        <v>14.5</v>
      </c>
      <c r="BB9" s="100">
        <f t="shared" si="6"/>
        <v>0.63043478260869568</v>
      </c>
      <c r="BC9" s="99" t="str">
        <f>IF(BA9="","",VLOOKUP(BB9,Table1[],2,TRUE))</f>
        <v>C+</v>
      </c>
      <c r="BD9" s="101">
        <f t="shared" si="7"/>
        <v>10</v>
      </c>
      <c r="BE9" s="102">
        <f t="shared" si="8"/>
        <v>0.7407407407407407</v>
      </c>
      <c r="BF9" s="103" t="str">
        <f>IF(BD9="","",VLOOKUP(BE9,Table1[],2,TRUE))</f>
        <v>B</v>
      </c>
      <c r="BG9" s="104" t="str">
        <f>IF(AND(BB9="",BE9=""),"",IF(OR(BB9="-",BE9="-"),"-",IF(AND(BB$3&lt;&gt;0,BE$3&lt;&gt;0),VLOOKUP(AVERAGE(BB9,BE9),Table1[],2,TRUE),IF(AND(BB$3&lt;&gt;0,BE$3=0),BC9,BF9))))</f>
        <v>B-</v>
      </c>
      <c r="BH9" s="105"/>
      <c r="BI9" s="107" t="str">
        <f t="shared" si="9"/>
        <v>B-</v>
      </c>
      <c r="BJ9" s="155" t="s">
        <v>18</v>
      </c>
    </row>
    <row r="10" spans="1:62" s="61" customFormat="1" x14ac:dyDescent="0.25">
      <c r="A10" s="26" t="str">
        <f>IF(ISBLANK(ClassInformation!C15),"ZZZZZ",ClassInformation!C15)</f>
        <v>Cook</v>
      </c>
      <c r="B10" s="18" t="str">
        <f>IF(ISBLANK(ClassInformation!D15),"ZZZZZ",ClassInformation!D15)</f>
        <v>Kaylee</v>
      </c>
      <c r="C10" s="156">
        <v>7</v>
      </c>
      <c r="D10" s="157"/>
      <c r="E10" s="157">
        <v>1</v>
      </c>
      <c r="F10" s="157"/>
      <c r="G10" s="157">
        <v>3</v>
      </c>
      <c r="H10" s="157"/>
      <c r="I10" s="157">
        <v>3</v>
      </c>
      <c r="J10" s="157"/>
      <c r="K10" s="157">
        <v>0</v>
      </c>
      <c r="L10" s="158"/>
      <c r="M10" s="159"/>
      <c r="N10" s="157"/>
      <c r="O10" s="157"/>
      <c r="P10" s="157"/>
      <c r="Q10" s="157"/>
      <c r="R10" s="157"/>
      <c r="S10" s="157"/>
      <c r="T10" s="157"/>
      <c r="U10" s="157"/>
      <c r="V10" s="160"/>
      <c r="W10" s="117">
        <f t="shared" si="0"/>
        <v>14</v>
      </c>
      <c r="X10" s="100">
        <f t="shared" si="1"/>
        <v>0.46666666666666667</v>
      </c>
      <c r="Y10" s="99" t="str">
        <f>IF(W10="","",VLOOKUP(X10,Table1[],2,TRUE))</f>
        <v>C-</v>
      </c>
      <c r="Z10" s="101" t="str">
        <f t="shared" si="2"/>
        <v/>
      </c>
      <c r="AA10" s="102" t="str">
        <f t="shared" si="3"/>
        <v/>
      </c>
      <c r="AB10" s="103" t="str">
        <f>IF(Z10="","",VLOOKUP(AA10,Table1[],2,TRUE))</f>
        <v/>
      </c>
      <c r="AC10" s="104" t="str">
        <f>IF(AND(X10="",AA10=""),"",IF(OR(X10="-",AA10="-"),"-",IF(AND(X$3&lt;&gt;0,AA$3&lt;&gt;0),VLOOKUP(AVERAGE(X10,AA10),Table1[],2,TRUE),IF(AND(X$3&lt;&gt;0,AA$3=0),Y10,AB10))))</f>
        <v>C-</v>
      </c>
      <c r="AD10" s="105"/>
      <c r="AE10" s="107" t="str">
        <f t="shared" si="4"/>
        <v>C-</v>
      </c>
      <c r="AF10" s="155" t="s">
        <v>18</v>
      </c>
      <c r="AG10" s="156">
        <v>9</v>
      </c>
      <c r="AH10" s="157"/>
      <c r="AI10" s="157">
        <v>5.5</v>
      </c>
      <c r="AJ10" s="157"/>
      <c r="AK10" s="157"/>
      <c r="AL10" s="157"/>
      <c r="AM10" s="157"/>
      <c r="AN10" s="157"/>
      <c r="AO10" s="157"/>
      <c r="AP10" s="158"/>
      <c r="AQ10" s="159">
        <v>2</v>
      </c>
      <c r="AR10" s="157"/>
      <c r="AS10" s="157"/>
      <c r="AT10" s="157"/>
      <c r="AU10" s="157"/>
      <c r="AV10" s="157"/>
      <c r="AW10" s="157"/>
      <c r="AX10" s="157"/>
      <c r="AY10" s="157"/>
      <c r="AZ10" s="160"/>
      <c r="BA10" s="117">
        <f t="shared" si="5"/>
        <v>14.5</v>
      </c>
      <c r="BB10" s="100">
        <f t="shared" si="6"/>
        <v>0.63043478260869568</v>
      </c>
      <c r="BC10" s="99" t="str">
        <f>IF(BA10="","",VLOOKUP(BB10,Table1[],2,TRUE))</f>
        <v>C+</v>
      </c>
      <c r="BD10" s="101">
        <f t="shared" si="7"/>
        <v>2</v>
      </c>
      <c r="BE10" s="102">
        <f t="shared" si="8"/>
        <v>0.14814814814814814</v>
      </c>
      <c r="BF10" s="103" t="str">
        <f>IF(BD10="","",VLOOKUP(BE10,Table1[],2,TRUE))</f>
        <v>E</v>
      </c>
      <c r="BG10" s="104" t="str">
        <f>IF(AND(BB10="",BE10=""),"",IF(OR(BB10="-",BE10="-"),"-",IF(AND(BB$3&lt;&gt;0,BE$3&lt;&gt;0),VLOOKUP(AVERAGE(BB10,BE10),Table1[],2,TRUE),IF(AND(BB$3&lt;&gt;0,BE$3=0),BC10,BF10))))</f>
        <v>D+</v>
      </c>
      <c r="BH10" s="105"/>
      <c r="BI10" s="107" t="str">
        <f t="shared" si="9"/>
        <v>D+</v>
      </c>
      <c r="BJ10" s="155" t="s">
        <v>18</v>
      </c>
    </row>
    <row r="11" spans="1:62" s="61" customFormat="1" x14ac:dyDescent="0.25">
      <c r="A11" s="26" t="str">
        <f>IF(ISBLANK(ClassInformation!C16),"ZZZZZ",ClassInformation!C16)</f>
        <v>Coulahan</v>
      </c>
      <c r="B11" s="18" t="str">
        <f>IF(ISBLANK(ClassInformation!D16),"ZZZZZ",ClassInformation!D16)</f>
        <v>Zechariah</v>
      </c>
      <c r="C11" s="156">
        <v>4.5</v>
      </c>
      <c r="D11" s="157"/>
      <c r="E11" s="157">
        <v>1</v>
      </c>
      <c r="F11" s="157"/>
      <c r="G11" s="157">
        <v>0</v>
      </c>
      <c r="H11" s="157"/>
      <c r="I11" s="157">
        <v>2</v>
      </c>
      <c r="J11" s="157"/>
      <c r="K11" s="157">
        <v>2.5</v>
      </c>
      <c r="L11" s="158"/>
      <c r="M11" s="159"/>
      <c r="N11" s="157"/>
      <c r="O11" s="157"/>
      <c r="P11" s="157"/>
      <c r="Q11" s="157"/>
      <c r="R11" s="157"/>
      <c r="S11" s="157"/>
      <c r="T11" s="157"/>
      <c r="U11" s="157"/>
      <c r="V11" s="160"/>
      <c r="W11" s="117">
        <f t="shared" si="0"/>
        <v>10</v>
      </c>
      <c r="X11" s="100">
        <f t="shared" si="1"/>
        <v>0.33333333333333331</v>
      </c>
      <c r="Y11" s="99" t="str">
        <f>IF(W11="","",VLOOKUP(X11,Table1[],2,TRUE))</f>
        <v>D</v>
      </c>
      <c r="Z11" s="101" t="str">
        <f t="shared" si="2"/>
        <v/>
      </c>
      <c r="AA11" s="102" t="str">
        <f t="shared" si="3"/>
        <v/>
      </c>
      <c r="AB11" s="103" t="str">
        <f>IF(Z11="","",VLOOKUP(AA11,Table1[],2,TRUE))</f>
        <v/>
      </c>
      <c r="AC11" s="104" t="str">
        <f>IF(AND(X11="",AA11=""),"",IF(OR(X11="-",AA11="-"),"-",IF(AND(X$3&lt;&gt;0,AA$3&lt;&gt;0),VLOOKUP(AVERAGE(X11,AA11),Table1[],2,TRUE),IF(AND(X$3&lt;&gt;0,AA$3=0),Y11,AB11))))</f>
        <v>D</v>
      </c>
      <c r="AD11" s="105"/>
      <c r="AE11" s="107" t="str">
        <f t="shared" si="4"/>
        <v>D</v>
      </c>
      <c r="AF11" s="155" t="s">
        <v>18</v>
      </c>
      <c r="AG11" s="156">
        <v>7</v>
      </c>
      <c r="AH11" s="157"/>
      <c r="AI11" s="157">
        <v>5</v>
      </c>
      <c r="AJ11" s="157"/>
      <c r="AK11" s="157"/>
      <c r="AL11" s="157"/>
      <c r="AM11" s="157"/>
      <c r="AN11" s="157"/>
      <c r="AO11" s="157"/>
      <c r="AP11" s="158"/>
      <c r="AQ11" s="159">
        <v>6</v>
      </c>
      <c r="AR11" s="157"/>
      <c r="AS11" s="157"/>
      <c r="AT11" s="157"/>
      <c r="AU11" s="157"/>
      <c r="AV11" s="157"/>
      <c r="AW11" s="157"/>
      <c r="AX11" s="157"/>
      <c r="AY11" s="157"/>
      <c r="AZ11" s="160"/>
      <c r="BA11" s="117">
        <f t="shared" si="5"/>
        <v>12</v>
      </c>
      <c r="BB11" s="100">
        <f t="shared" si="6"/>
        <v>0.52173913043478259</v>
      </c>
      <c r="BC11" s="99" t="str">
        <f>IF(BA11="","",VLOOKUP(BB11,Table1[],2,TRUE))</f>
        <v>C</v>
      </c>
      <c r="BD11" s="101">
        <f t="shared" si="7"/>
        <v>6</v>
      </c>
      <c r="BE11" s="102">
        <f t="shared" si="8"/>
        <v>0.44444444444444442</v>
      </c>
      <c r="BF11" s="103" t="str">
        <f>IF(BD11="","",VLOOKUP(BE11,Table1[],2,TRUE))</f>
        <v>D+</v>
      </c>
      <c r="BG11" s="104" t="str">
        <f>IF(AND(BB11="",BE11=""),"",IF(OR(BB11="-",BE11="-"),"-",IF(AND(BB$3&lt;&gt;0,BE$3&lt;&gt;0),VLOOKUP(AVERAGE(BB11,BE11),Table1[],2,TRUE),IF(AND(BB$3&lt;&gt;0,BE$3=0),BC11,BF11))))</f>
        <v>C-</v>
      </c>
      <c r="BH11" s="105"/>
      <c r="BI11" s="107" t="str">
        <f t="shared" si="9"/>
        <v>C-</v>
      </c>
      <c r="BJ11" s="155" t="s">
        <v>18</v>
      </c>
    </row>
    <row r="12" spans="1:62" s="61" customFormat="1" x14ac:dyDescent="0.25">
      <c r="A12" s="26" t="str">
        <f>IF(ISBLANK(ClassInformation!C17),"ZZZZZ",ClassInformation!C17)</f>
        <v>Cubacub</v>
      </c>
      <c r="B12" s="18" t="str">
        <f>IF(ISBLANK(ClassInformation!D17),"ZZZZZ",ClassInformation!D17)</f>
        <v>Raffi</v>
      </c>
      <c r="C12" s="156">
        <v>7</v>
      </c>
      <c r="D12" s="157"/>
      <c r="E12" s="157">
        <v>1</v>
      </c>
      <c r="F12" s="157"/>
      <c r="G12" s="157">
        <v>5</v>
      </c>
      <c r="H12" s="157"/>
      <c r="I12" s="157">
        <v>6</v>
      </c>
      <c r="J12" s="157"/>
      <c r="K12" s="157">
        <v>4.5</v>
      </c>
      <c r="L12" s="158"/>
      <c r="M12" s="159"/>
      <c r="N12" s="157"/>
      <c r="O12" s="157"/>
      <c r="P12" s="157"/>
      <c r="Q12" s="157"/>
      <c r="R12" s="157"/>
      <c r="S12" s="157"/>
      <c r="T12" s="157"/>
      <c r="U12" s="157"/>
      <c r="V12" s="160"/>
      <c r="W12" s="117">
        <f t="shared" si="0"/>
        <v>23.5</v>
      </c>
      <c r="X12" s="100">
        <f t="shared" si="1"/>
        <v>0.78333333333333333</v>
      </c>
      <c r="Y12" s="99" t="str">
        <f>IF(W12="","",VLOOKUP(X12,Table1[],2,TRUE))</f>
        <v>B+</v>
      </c>
      <c r="Z12" s="101" t="str">
        <f t="shared" si="2"/>
        <v/>
      </c>
      <c r="AA12" s="102" t="str">
        <f t="shared" si="3"/>
        <v/>
      </c>
      <c r="AB12" s="103" t="str">
        <f>IF(Z12="","",VLOOKUP(AA12,Table1[],2,TRUE))</f>
        <v/>
      </c>
      <c r="AC12" s="104" t="str">
        <f>IF(AND(X12="",AA12=""),"",IF(OR(X12="-",AA12="-"),"-",IF(AND(X$3&lt;&gt;0,AA$3&lt;&gt;0),VLOOKUP(AVERAGE(X12,AA12),Table1[],2,TRUE),IF(AND(X$3&lt;&gt;0,AA$3=0),Y12,AB12))))</f>
        <v>B+</v>
      </c>
      <c r="AD12" s="105"/>
      <c r="AE12" s="107" t="str">
        <f t="shared" si="4"/>
        <v>B+</v>
      </c>
      <c r="AF12" s="155" t="s">
        <v>18</v>
      </c>
      <c r="AG12" s="156">
        <v>11</v>
      </c>
      <c r="AH12" s="157"/>
      <c r="AI12" s="157">
        <v>7</v>
      </c>
      <c r="AJ12" s="157"/>
      <c r="AK12" s="157"/>
      <c r="AL12" s="157"/>
      <c r="AM12" s="157"/>
      <c r="AN12" s="157"/>
      <c r="AO12" s="157"/>
      <c r="AP12" s="158"/>
      <c r="AQ12" s="159">
        <v>8</v>
      </c>
      <c r="AR12" s="157"/>
      <c r="AS12" s="157"/>
      <c r="AT12" s="157"/>
      <c r="AU12" s="157"/>
      <c r="AV12" s="157"/>
      <c r="AW12" s="157"/>
      <c r="AX12" s="157"/>
      <c r="AY12" s="157"/>
      <c r="AZ12" s="160"/>
      <c r="BA12" s="117">
        <f t="shared" si="5"/>
        <v>18</v>
      </c>
      <c r="BB12" s="100">
        <f t="shared" si="6"/>
        <v>0.78260869565217395</v>
      </c>
      <c r="BC12" s="99" t="str">
        <f>IF(BA12="","",VLOOKUP(BB12,Table1[],2,TRUE))</f>
        <v>B+</v>
      </c>
      <c r="BD12" s="101">
        <f t="shared" si="7"/>
        <v>8</v>
      </c>
      <c r="BE12" s="102">
        <f t="shared" si="8"/>
        <v>0.59259259259259256</v>
      </c>
      <c r="BF12" s="103" t="str">
        <f>IF(BD12="","",VLOOKUP(BE12,Table1[],2,TRUE))</f>
        <v>C+</v>
      </c>
      <c r="BG12" s="104" t="str">
        <f>IF(AND(BB12="",BE12=""),"",IF(OR(BB12="-",BE12="-"),"-",IF(AND(BB$3&lt;&gt;0,BE$3&lt;&gt;0),VLOOKUP(AVERAGE(BB12,BE12),Table1[],2,TRUE),IF(AND(BB$3&lt;&gt;0,BE$3=0),BC12,BF12))))</f>
        <v>B-</v>
      </c>
      <c r="BH12" s="105"/>
      <c r="BI12" s="107" t="str">
        <f t="shared" si="9"/>
        <v>B-</v>
      </c>
      <c r="BJ12" s="155" t="s">
        <v>18</v>
      </c>
    </row>
    <row r="13" spans="1:62" s="61" customFormat="1" x14ac:dyDescent="0.25">
      <c r="A13" s="26" t="str">
        <f>IF(ISBLANK(ClassInformation!C18),"ZZZZZ",ClassInformation!C18)</f>
        <v>Davis</v>
      </c>
      <c r="B13" s="18" t="str">
        <f>IF(ISBLANK(ClassInformation!D18),"ZZZZZ",ClassInformation!D18)</f>
        <v>Billy</v>
      </c>
      <c r="C13" s="156">
        <v>6</v>
      </c>
      <c r="D13" s="157"/>
      <c r="E13" s="157">
        <v>1</v>
      </c>
      <c r="F13" s="157"/>
      <c r="G13" s="157">
        <v>4</v>
      </c>
      <c r="H13" s="157"/>
      <c r="I13" s="157">
        <v>2</v>
      </c>
      <c r="J13" s="157"/>
      <c r="K13" s="157">
        <v>4</v>
      </c>
      <c r="L13" s="158"/>
      <c r="M13" s="159"/>
      <c r="N13" s="157"/>
      <c r="O13" s="157"/>
      <c r="P13" s="157"/>
      <c r="Q13" s="157"/>
      <c r="R13" s="157"/>
      <c r="S13" s="157"/>
      <c r="T13" s="157"/>
      <c r="U13" s="157"/>
      <c r="V13" s="160"/>
      <c r="W13" s="117">
        <f t="shared" si="0"/>
        <v>17</v>
      </c>
      <c r="X13" s="100">
        <f t="shared" si="1"/>
        <v>0.56666666666666665</v>
      </c>
      <c r="Y13" s="99" t="str">
        <f>IF(W13="","",VLOOKUP(X13,Table1[],2,TRUE))</f>
        <v>C</v>
      </c>
      <c r="Z13" s="101" t="str">
        <f t="shared" si="2"/>
        <v/>
      </c>
      <c r="AA13" s="102" t="str">
        <f t="shared" si="3"/>
        <v/>
      </c>
      <c r="AB13" s="103" t="str">
        <f>IF(Z13="","",VLOOKUP(AA13,Table1[],2,TRUE))</f>
        <v/>
      </c>
      <c r="AC13" s="104" t="str">
        <f>IF(AND(X13="",AA13=""),"",IF(OR(X13="-",AA13="-"),"-",IF(AND(X$3&lt;&gt;0,AA$3&lt;&gt;0),VLOOKUP(AVERAGE(X13,AA13),Table1[],2,TRUE),IF(AND(X$3&lt;&gt;0,AA$3=0),Y13,AB13))))</f>
        <v>C</v>
      </c>
      <c r="AD13" s="105"/>
      <c r="AE13" s="107" t="str">
        <f t="shared" si="4"/>
        <v>C</v>
      </c>
      <c r="AF13" s="155" t="s">
        <v>18</v>
      </c>
      <c r="AG13" s="156">
        <v>10</v>
      </c>
      <c r="AH13" s="157"/>
      <c r="AI13" s="157">
        <v>3</v>
      </c>
      <c r="AJ13" s="157"/>
      <c r="AK13" s="157"/>
      <c r="AL13" s="157"/>
      <c r="AM13" s="157"/>
      <c r="AN13" s="157"/>
      <c r="AO13" s="157"/>
      <c r="AP13" s="158"/>
      <c r="AQ13" s="159">
        <v>0</v>
      </c>
      <c r="AR13" s="157"/>
      <c r="AS13" s="157"/>
      <c r="AT13" s="157"/>
      <c r="AU13" s="157"/>
      <c r="AV13" s="157"/>
      <c r="AW13" s="157"/>
      <c r="AX13" s="157"/>
      <c r="AY13" s="157"/>
      <c r="AZ13" s="160"/>
      <c r="BA13" s="117">
        <f t="shared" si="5"/>
        <v>13</v>
      </c>
      <c r="BB13" s="100">
        <f t="shared" si="6"/>
        <v>0.56521739130434778</v>
      </c>
      <c r="BC13" s="99" t="str">
        <f>IF(BA13="","",VLOOKUP(BB13,Table1[],2,TRUE))</f>
        <v>C</v>
      </c>
      <c r="BD13" s="101">
        <f t="shared" si="7"/>
        <v>0</v>
      </c>
      <c r="BE13" s="102">
        <f t="shared" si="8"/>
        <v>0</v>
      </c>
      <c r="BF13" s="103" t="str">
        <f>IF(BD13="","",VLOOKUP(BE13,Table1[],2,TRUE))</f>
        <v>E-</v>
      </c>
      <c r="BG13" s="104" t="str">
        <f>IF(AND(BB13="",BE13=""),"",IF(OR(BB13="-",BE13="-"),"-",IF(AND(BB$3&lt;&gt;0,BE$3&lt;&gt;0),VLOOKUP(AVERAGE(BB13,BE13),Table1[],2,TRUE),IF(AND(BB$3&lt;&gt;0,BE$3=0),BC13,BF13))))</f>
        <v>D-</v>
      </c>
      <c r="BH13" s="105"/>
      <c r="BI13" s="107" t="str">
        <f t="shared" si="9"/>
        <v>D-</v>
      </c>
      <c r="BJ13" s="155" t="s">
        <v>18</v>
      </c>
    </row>
    <row r="14" spans="1:62" s="61" customFormat="1" x14ac:dyDescent="0.25">
      <c r="A14" s="26" t="str">
        <f>IF(ISBLANK(ClassInformation!C19),"ZZZZZ",ClassInformation!C19)</f>
        <v>Fitzsimmons</v>
      </c>
      <c r="B14" s="18" t="str">
        <f>IF(ISBLANK(ClassInformation!D19),"ZZZZZ",ClassInformation!D19)</f>
        <v>Sullivan</v>
      </c>
      <c r="C14" s="156">
        <v>6.5</v>
      </c>
      <c r="D14" s="157"/>
      <c r="E14" s="157">
        <v>2</v>
      </c>
      <c r="F14" s="157"/>
      <c r="G14" s="157">
        <v>5</v>
      </c>
      <c r="H14" s="157"/>
      <c r="I14" s="157">
        <v>5</v>
      </c>
      <c r="J14" s="157"/>
      <c r="K14" s="157">
        <v>4.5</v>
      </c>
      <c r="L14" s="158"/>
      <c r="M14" s="159"/>
      <c r="N14" s="157"/>
      <c r="O14" s="157"/>
      <c r="P14" s="157"/>
      <c r="Q14" s="157"/>
      <c r="R14" s="157"/>
      <c r="S14" s="157"/>
      <c r="T14" s="157"/>
      <c r="U14" s="157"/>
      <c r="V14" s="160"/>
      <c r="W14" s="117">
        <f t="shared" si="0"/>
        <v>23</v>
      </c>
      <c r="X14" s="100">
        <f t="shared" si="1"/>
        <v>0.76666666666666672</v>
      </c>
      <c r="Y14" s="99" t="str">
        <f>IF(W14="","",VLOOKUP(X14,Table1[],2,TRUE))</f>
        <v>B+</v>
      </c>
      <c r="Z14" s="101" t="str">
        <f t="shared" si="2"/>
        <v/>
      </c>
      <c r="AA14" s="102" t="str">
        <f t="shared" si="3"/>
        <v/>
      </c>
      <c r="AB14" s="103" t="str">
        <f>IF(Z14="","",VLOOKUP(AA14,Table1[],2,TRUE))</f>
        <v/>
      </c>
      <c r="AC14" s="104" t="str">
        <f>IF(AND(X14="",AA14=""),"",IF(OR(X14="-",AA14="-"),"-",IF(AND(X$3&lt;&gt;0,AA$3&lt;&gt;0),VLOOKUP(AVERAGE(X14,AA14),Table1[],2,TRUE),IF(AND(X$3&lt;&gt;0,AA$3=0),Y14,AB14))))</f>
        <v>B+</v>
      </c>
      <c r="AD14" s="105"/>
      <c r="AE14" s="107" t="str">
        <f t="shared" si="4"/>
        <v>B+</v>
      </c>
      <c r="AF14" s="155" t="s">
        <v>18</v>
      </c>
      <c r="AG14" s="156">
        <v>12.5</v>
      </c>
      <c r="AH14" s="157"/>
      <c r="AI14" s="157">
        <v>8.5</v>
      </c>
      <c r="AJ14" s="157"/>
      <c r="AK14" s="157"/>
      <c r="AL14" s="157"/>
      <c r="AM14" s="157"/>
      <c r="AN14" s="157"/>
      <c r="AO14" s="157"/>
      <c r="AP14" s="158"/>
      <c r="AQ14" s="159">
        <v>8</v>
      </c>
      <c r="AR14" s="157"/>
      <c r="AS14" s="157"/>
      <c r="AT14" s="157"/>
      <c r="AU14" s="157"/>
      <c r="AV14" s="157"/>
      <c r="AW14" s="157"/>
      <c r="AX14" s="157"/>
      <c r="AY14" s="157"/>
      <c r="AZ14" s="160"/>
      <c r="BA14" s="117">
        <f t="shared" si="5"/>
        <v>21</v>
      </c>
      <c r="BB14" s="100">
        <f t="shared" si="6"/>
        <v>0.91304347826086951</v>
      </c>
      <c r="BC14" s="99" t="str">
        <f>IF(BA14="","",VLOOKUP(BB14,Table1[],2,TRUE))</f>
        <v>A</v>
      </c>
      <c r="BD14" s="101">
        <f t="shared" si="7"/>
        <v>8</v>
      </c>
      <c r="BE14" s="102">
        <f t="shared" si="8"/>
        <v>0.59259259259259256</v>
      </c>
      <c r="BF14" s="103" t="str">
        <f>IF(BD14="","",VLOOKUP(BE14,Table1[],2,TRUE))</f>
        <v>C+</v>
      </c>
      <c r="BG14" s="104" t="str">
        <f>IF(AND(BB14="",BE14=""),"",IF(OR(BB14="-",BE14="-"),"-",IF(AND(BB$3&lt;&gt;0,BE$3&lt;&gt;0),VLOOKUP(AVERAGE(BB14,BE14),Table1[],2,TRUE),IF(AND(BB$3&lt;&gt;0,BE$3=0),BC14,BF14))))</f>
        <v>B+</v>
      </c>
      <c r="BH14" s="105"/>
      <c r="BI14" s="107" t="str">
        <f t="shared" si="9"/>
        <v>B+</v>
      </c>
      <c r="BJ14" s="155" t="s">
        <v>18</v>
      </c>
    </row>
    <row r="15" spans="1:62" s="61" customFormat="1" x14ac:dyDescent="0.25">
      <c r="A15" s="26" t="str">
        <f>IF(ISBLANK(ClassInformation!C20),"ZZZZZ",ClassInformation!C20)</f>
        <v>Franciscus</v>
      </c>
      <c r="B15" s="18" t="str">
        <f>IF(ISBLANK(ClassInformation!D20),"ZZZZZ",ClassInformation!D20)</f>
        <v>Sonny</v>
      </c>
      <c r="C15" s="156">
        <v>7</v>
      </c>
      <c r="D15" s="157"/>
      <c r="E15" s="157">
        <v>1.5</v>
      </c>
      <c r="F15" s="157"/>
      <c r="G15" s="157">
        <v>5</v>
      </c>
      <c r="H15" s="157"/>
      <c r="I15" s="157">
        <v>4.5</v>
      </c>
      <c r="J15" s="157"/>
      <c r="K15" s="157">
        <v>4.5</v>
      </c>
      <c r="L15" s="158"/>
      <c r="M15" s="159"/>
      <c r="N15" s="157"/>
      <c r="O15" s="157"/>
      <c r="P15" s="157"/>
      <c r="Q15" s="157"/>
      <c r="R15" s="157"/>
      <c r="S15" s="157"/>
      <c r="T15" s="157"/>
      <c r="U15" s="157"/>
      <c r="V15" s="160"/>
      <c r="W15" s="117">
        <f t="shared" si="0"/>
        <v>22.5</v>
      </c>
      <c r="X15" s="100">
        <f t="shared" si="1"/>
        <v>0.75</v>
      </c>
      <c r="Y15" s="99" t="str">
        <f>IF(W15="","",VLOOKUP(X15,Table1[],2,TRUE))</f>
        <v>B+</v>
      </c>
      <c r="Z15" s="101" t="str">
        <f t="shared" si="2"/>
        <v/>
      </c>
      <c r="AA15" s="102" t="str">
        <f t="shared" si="3"/>
        <v/>
      </c>
      <c r="AB15" s="103" t="str">
        <f>IF(Z15="","",VLOOKUP(AA15,Table1[],2,TRUE))</f>
        <v/>
      </c>
      <c r="AC15" s="104" t="str">
        <f>IF(AND(X15="",AA15=""),"",IF(OR(X15="-",AA15="-"),"-",IF(AND(X$3&lt;&gt;0,AA$3&lt;&gt;0),VLOOKUP(AVERAGE(X15,AA15),Table1[],2,TRUE),IF(AND(X$3&lt;&gt;0,AA$3=0),Y15,AB15))))</f>
        <v>B+</v>
      </c>
      <c r="AD15" s="105"/>
      <c r="AE15" s="107" t="str">
        <f t="shared" si="4"/>
        <v>B+</v>
      </c>
      <c r="AF15" s="155" t="s">
        <v>18</v>
      </c>
      <c r="AG15" s="156">
        <v>10.5</v>
      </c>
      <c r="AH15" s="157"/>
      <c r="AI15" s="157">
        <v>7.5</v>
      </c>
      <c r="AJ15" s="157"/>
      <c r="AK15" s="157"/>
      <c r="AL15" s="157"/>
      <c r="AM15" s="157"/>
      <c r="AN15" s="157"/>
      <c r="AO15" s="157"/>
      <c r="AP15" s="158"/>
      <c r="AQ15" s="159">
        <v>5</v>
      </c>
      <c r="AR15" s="157"/>
      <c r="AS15" s="157"/>
      <c r="AT15" s="157"/>
      <c r="AU15" s="157"/>
      <c r="AV15" s="157"/>
      <c r="AW15" s="157"/>
      <c r="AX15" s="157"/>
      <c r="AY15" s="157"/>
      <c r="AZ15" s="160"/>
      <c r="BA15" s="117">
        <f t="shared" si="5"/>
        <v>18</v>
      </c>
      <c r="BB15" s="100">
        <f t="shared" si="6"/>
        <v>0.78260869565217395</v>
      </c>
      <c r="BC15" s="99" t="str">
        <f>IF(BA15="","",VLOOKUP(BB15,Table1[],2,TRUE))</f>
        <v>B+</v>
      </c>
      <c r="BD15" s="101">
        <f t="shared" si="7"/>
        <v>5</v>
      </c>
      <c r="BE15" s="102">
        <f t="shared" si="8"/>
        <v>0.37037037037037035</v>
      </c>
      <c r="BF15" s="103" t="str">
        <f>IF(BD15="","",VLOOKUP(BE15,Table1[],2,TRUE))</f>
        <v>D</v>
      </c>
      <c r="BG15" s="104" t="str">
        <f>IF(AND(BB15="",BE15=""),"",IF(OR(BB15="-",BE15="-"),"-",IF(AND(BB$3&lt;&gt;0,BE$3&lt;&gt;0),VLOOKUP(AVERAGE(BB15,BE15),Table1[],2,TRUE),IF(AND(BB$3&lt;&gt;0,BE$3=0),BC15,BF15))))</f>
        <v>C</v>
      </c>
      <c r="BH15" s="105"/>
      <c r="BI15" s="107" t="str">
        <f t="shared" si="9"/>
        <v>C</v>
      </c>
      <c r="BJ15" s="155" t="s">
        <v>18</v>
      </c>
    </row>
    <row r="16" spans="1:62" s="61" customFormat="1" x14ac:dyDescent="0.25">
      <c r="A16" s="26" t="str">
        <f>IF(ISBLANK(ClassInformation!C21),"ZZZZZ",ClassInformation!C21)</f>
        <v>Hamilton</v>
      </c>
      <c r="B16" s="18" t="str">
        <f>IF(ISBLANK(ClassInformation!D21),"ZZZZZ",ClassInformation!D21)</f>
        <v>Ella</v>
      </c>
      <c r="C16" s="156">
        <v>7</v>
      </c>
      <c r="D16" s="157"/>
      <c r="E16" s="157">
        <v>2</v>
      </c>
      <c r="F16" s="157"/>
      <c r="G16" s="157">
        <v>5</v>
      </c>
      <c r="H16" s="157"/>
      <c r="I16" s="157">
        <v>4.5</v>
      </c>
      <c r="J16" s="157"/>
      <c r="K16" s="157">
        <v>3.5</v>
      </c>
      <c r="L16" s="158"/>
      <c r="M16" s="159"/>
      <c r="N16" s="157"/>
      <c r="O16" s="157"/>
      <c r="P16" s="157"/>
      <c r="Q16" s="157"/>
      <c r="R16" s="157"/>
      <c r="S16" s="157"/>
      <c r="T16" s="157"/>
      <c r="U16" s="157"/>
      <c r="V16" s="160"/>
      <c r="W16" s="117">
        <f t="shared" si="0"/>
        <v>22</v>
      </c>
      <c r="X16" s="100">
        <f t="shared" si="1"/>
        <v>0.73333333333333328</v>
      </c>
      <c r="Y16" s="99" t="str">
        <f>IF(W16="","",VLOOKUP(X16,Table1[],2,TRUE))</f>
        <v>B</v>
      </c>
      <c r="Z16" s="101" t="str">
        <f t="shared" si="2"/>
        <v/>
      </c>
      <c r="AA16" s="102" t="str">
        <f t="shared" si="3"/>
        <v/>
      </c>
      <c r="AB16" s="103" t="str">
        <f>IF(Z16="","",VLOOKUP(AA16,Table1[],2,TRUE))</f>
        <v/>
      </c>
      <c r="AC16" s="104" t="str">
        <f>IF(AND(X16="",AA16=""),"",IF(OR(X16="-",AA16="-"),"-",IF(AND(X$3&lt;&gt;0,AA$3&lt;&gt;0),VLOOKUP(AVERAGE(X16,AA16),Table1[],2,TRUE),IF(AND(X$3&lt;&gt;0,AA$3=0),Y16,AB16))))</f>
        <v>B</v>
      </c>
      <c r="AD16" s="105"/>
      <c r="AE16" s="107" t="str">
        <f t="shared" si="4"/>
        <v>B</v>
      </c>
      <c r="AF16" s="155" t="s">
        <v>18</v>
      </c>
      <c r="AG16" s="156">
        <v>8</v>
      </c>
      <c r="AH16" s="157"/>
      <c r="AI16" s="157">
        <v>5</v>
      </c>
      <c r="AJ16" s="157"/>
      <c r="AK16" s="157"/>
      <c r="AL16" s="157"/>
      <c r="AM16" s="157"/>
      <c r="AN16" s="157"/>
      <c r="AO16" s="157"/>
      <c r="AP16" s="158"/>
      <c r="AQ16" s="159">
        <v>5.5</v>
      </c>
      <c r="AR16" s="157"/>
      <c r="AS16" s="157"/>
      <c r="AT16" s="157"/>
      <c r="AU16" s="157"/>
      <c r="AV16" s="157"/>
      <c r="AW16" s="157"/>
      <c r="AX16" s="157"/>
      <c r="AY16" s="157"/>
      <c r="AZ16" s="160"/>
      <c r="BA16" s="117">
        <f t="shared" si="5"/>
        <v>13</v>
      </c>
      <c r="BB16" s="100">
        <f t="shared" si="6"/>
        <v>0.56521739130434778</v>
      </c>
      <c r="BC16" s="99" t="str">
        <f>IF(BA16="","",VLOOKUP(BB16,Table1[],2,TRUE))</f>
        <v>C</v>
      </c>
      <c r="BD16" s="101">
        <f t="shared" si="7"/>
        <v>5.5</v>
      </c>
      <c r="BE16" s="102">
        <f t="shared" si="8"/>
        <v>0.40740740740740738</v>
      </c>
      <c r="BF16" s="103" t="str">
        <f>IF(BD16="","",VLOOKUP(BE16,Table1[],2,TRUE))</f>
        <v>D+</v>
      </c>
      <c r="BG16" s="104" t="str">
        <f>IF(AND(BB16="",BE16=""),"",IF(OR(BB16="-",BE16="-"),"-",IF(AND(BB$3&lt;&gt;0,BE$3&lt;&gt;0),VLOOKUP(AVERAGE(BB16,BE16),Table1[],2,TRUE),IF(AND(BB$3&lt;&gt;0,BE$3=0),BC16,BF16))))</f>
        <v>C-</v>
      </c>
      <c r="BH16" s="105"/>
      <c r="BI16" s="107" t="str">
        <f t="shared" si="9"/>
        <v>C-</v>
      </c>
      <c r="BJ16" s="155" t="s">
        <v>18</v>
      </c>
    </row>
    <row r="17" spans="1:62" s="61" customFormat="1" x14ac:dyDescent="0.25">
      <c r="A17" s="26" t="str">
        <f>IF(ISBLANK(ClassInformation!C22),"ZZZZZ",ClassInformation!C22)</f>
        <v>Harris</v>
      </c>
      <c r="B17" s="18" t="str">
        <f>IF(ISBLANK(ClassInformation!D22),"ZZZZZ",ClassInformation!D22)</f>
        <v>Emily</v>
      </c>
      <c r="C17" s="156">
        <v>6.5</v>
      </c>
      <c r="D17" s="157"/>
      <c r="E17" s="157">
        <v>1.5</v>
      </c>
      <c r="F17" s="157"/>
      <c r="G17" s="157">
        <v>4</v>
      </c>
      <c r="H17" s="157"/>
      <c r="I17" s="157">
        <v>3</v>
      </c>
      <c r="J17" s="157"/>
      <c r="K17" s="157">
        <v>4</v>
      </c>
      <c r="L17" s="158"/>
      <c r="M17" s="159"/>
      <c r="N17" s="157"/>
      <c r="O17" s="157"/>
      <c r="P17" s="157"/>
      <c r="Q17" s="157"/>
      <c r="R17" s="157"/>
      <c r="S17" s="157"/>
      <c r="T17" s="157"/>
      <c r="U17" s="157"/>
      <c r="V17" s="160"/>
      <c r="W17" s="117">
        <f t="shared" si="0"/>
        <v>19</v>
      </c>
      <c r="X17" s="100">
        <f t="shared" si="1"/>
        <v>0.6333333333333333</v>
      </c>
      <c r="Y17" s="99" t="str">
        <f>IF(W17="","",VLOOKUP(X17,Table1[],2,TRUE))</f>
        <v>C+</v>
      </c>
      <c r="Z17" s="101" t="str">
        <f t="shared" si="2"/>
        <v/>
      </c>
      <c r="AA17" s="102" t="str">
        <f t="shared" si="3"/>
        <v/>
      </c>
      <c r="AB17" s="103" t="str">
        <f>IF(Z17="","",VLOOKUP(AA17,Table1[],2,TRUE))</f>
        <v/>
      </c>
      <c r="AC17" s="104" t="str">
        <f>IF(AND(X17="",AA17=""),"",IF(OR(X17="-",AA17="-"),"-",IF(AND(X$3&lt;&gt;0,AA$3&lt;&gt;0),VLOOKUP(AVERAGE(X17,AA17),Table1[],2,TRUE),IF(AND(X$3&lt;&gt;0,AA$3=0),Y17,AB17))))</f>
        <v>C+</v>
      </c>
      <c r="AD17" s="105"/>
      <c r="AE17" s="107" t="str">
        <f t="shared" si="4"/>
        <v>C+</v>
      </c>
      <c r="AF17" s="155" t="s">
        <v>18</v>
      </c>
      <c r="AG17" s="156">
        <v>10.5</v>
      </c>
      <c r="AH17" s="157"/>
      <c r="AI17" s="157">
        <v>6</v>
      </c>
      <c r="AJ17" s="157"/>
      <c r="AK17" s="157"/>
      <c r="AL17" s="157"/>
      <c r="AM17" s="157"/>
      <c r="AN17" s="157"/>
      <c r="AO17" s="157"/>
      <c r="AP17" s="158"/>
      <c r="AQ17" s="159">
        <v>8</v>
      </c>
      <c r="AR17" s="157"/>
      <c r="AS17" s="157"/>
      <c r="AT17" s="157"/>
      <c r="AU17" s="157"/>
      <c r="AV17" s="157"/>
      <c r="AW17" s="157"/>
      <c r="AX17" s="157"/>
      <c r="AY17" s="157"/>
      <c r="AZ17" s="160"/>
      <c r="BA17" s="117">
        <f t="shared" si="5"/>
        <v>16.5</v>
      </c>
      <c r="BB17" s="100">
        <f t="shared" si="6"/>
        <v>0.71739130434782605</v>
      </c>
      <c r="BC17" s="99" t="str">
        <f>IF(BA17="","",VLOOKUP(BB17,Table1[],2,TRUE))</f>
        <v>B</v>
      </c>
      <c r="BD17" s="101">
        <f t="shared" si="7"/>
        <v>8</v>
      </c>
      <c r="BE17" s="102">
        <f t="shared" si="8"/>
        <v>0.59259259259259256</v>
      </c>
      <c r="BF17" s="103" t="str">
        <f>IF(BD17="","",VLOOKUP(BE17,Table1[],2,TRUE))</f>
        <v>C+</v>
      </c>
      <c r="BG17" s="104" t="str">
        <f>IF(AND(BB17="",BE17=""),"",IF(OR(BB17="-",BE17="-"),"-",IF(AND(BB$3&lt;&gt;0,BE$3&lt;&gt;0),VLOOKUP(AVERAGE(BB17,BE17),Table1[],2,TRUE),IF(AND(BB$3&lt;&gt;0,BE$3=0),BC17,BF17))))</f>
        <v>B-</v>
      </c>
      <c r="BH17" s="105"/>
      <c r="BI17" s="107" t="str">
        <f t="shared" si="9"/>
        <v>B-</v>
      </c>
      <c r="BJ17" s="155" t="s">
        <v>18</v>
      </c>
    </row>
    <row r="18" spans="1:62" s="61" customFormat="1" x14ac:dyDescent="0.25">
      <c r="A18" s="26" t="str">
        <f>IF(ISBLANK(ClassInformation!C23),"ZZZZZ",ClassInformation!C23)</f>
        <v>Harvey</v>
      </c>
      <c r="B18" s="18" t="str">
        <f>IF(ISBLANK(ClassInformation!D23),"ZZZZZ",ClassInformation!D23)</f>
        <v>Isabel</v>
      </c>
      <c r="C18" s="156" t="s">
        <v>18</v>
      </c>
      <c r="D18" s="157"/>
      <c r="E18" s="157" t="s">
        <v>18</v>
      </c>
      <c r="F18" s="157"/>
      <c r="G18" s="157" t="s">
        <v>18</v>
      </c>
      <c r="H18" s="157"/>
      <c r="I18" s="157" t="s">
        <v>18</v>
      </c>
      <c r="J18" s="157"/>
      <c r="K18" s="157" t="s">
        <v>18</v>
      </c>
      <c r="L18" s="158"/>
      <c r="M18" s="159"/>
      <c r="N18" s="157"/>
      <c r="O18" s="157"/>
      <c r="P18" s="157"/>
      <c r="Q18" s="157"/>
      <c r="R18" s="157"/>
      <c r="S18" s="157"/>
      <c r="T18" s="157"/>
      <c r="U18" s="157"/>
      <c r="V18" s="160"/>
      <c r="W18" s="117" t="str">
        <f t="shared" si="0"/>
        <v>-</v>
      </c>
      <c r="X18" s="100" t="str">
        <f t="shared" si="1"/>
        <v>-</v>
      </c>
      <c r="Y18" s="99" t="str">
        <f>IF(W18="","",VLOOKUP(X18,Table1[],2,TRUE))</f>
        <v>-</v>
      </c>
      <c r="Z18" s="101" t="str">
        <f t="shared" si="2"/>
        <v/>
      </c>
      <c r="AA18" s="102" t="str">
        <f t="shared" si="3"/>
        <v/>
      </c>
      <c r="AB18" s="103" t="str">
        <f>IF(Z18="","",VLOOKUP(AA18,Table1[],2,TRUE))</f>
        <v/>
      </c>
      <c r="AC18" s="104" t="str">
        <f>IF(AND(X18="",AA18=""),"",IF(OR(X18="-",AA18="-"),"-",IF(AND(X$3&lt;&gt;0,AA$3&lt;&gt;0),VLOOKUP(AVERAGE(X18,AA18),Table1[],2,TRUE),IF(AND(X$3&lt;&gt;0,AA$3=0),Y18,AB18))))</f>
        <v>-</v>
      </c>
      <c r="AD18" s="105"/>
      <c r="AE18" s="107" t="str">
        <f t="shared" si="4"/>
        <v>-</v>
      </c>
      <c r="AF18" s="155" t="s">
        <v>18</v>
      </c>
      <c r="AG18" s="156" t="s">
        <v>18</v>
      </c>
      <c r="AH18" s="157"/>
      <c r="AI18" s="157" t="s">
        <v>18</v>
      </c>
      <c r="AJ18" s="157"/>
      <c r="AK18" s="157"/>
      <c r="AL18" s="157"/>
      <c r="AM18" s="157"/>
      <c r="AN18" s="157"/>
      <c r="AO18" s="157"/>
      <c r="AP18" s="158"/>
      <c r="AQ18" s="159" t="s">
        <v>18</v>
      </c>
      <c r="AR18" s="157"/>
      <c r="AS18" s="157"/>
      <c r="AT18" s="157"/>
      <c r="AU18" s="157"/>
      <c r="AV18" s="157"/>
      <c r="AW18" s="157"/>
      <c r="AX18" s="157"/>
      <c r="AY18" s="157"/>
      <c r="AZ18" s="160"/>
      <c r="BA18" s="117" t="str">
        <f t="shared" si="5"/>
        <v>-</v>
      </c>
      <c r="BB18" s="100" t="str">
        <f t="shared" si="6"/>
        <v>-</v>
      </c>
      <c r="BC18" s="99" t="str">
        <f>IF(BA18="","",VLOOKUP(BB18,Table1[],2,TRUE))</f>
        <v>-</v>
      </c>
      <c r="BD18" s="101" t="str">
        <f t="shared" si="7"/>
        <v>-</v>
      </c>
      <c r="BE18" s="102" t="str">
        <f t="shared" si="8"/>
        <v>-</v>
      </c>
      <c r="BF18" s="103" t="str">
        <f>IF(BD18="","",VLOOKUP(BE18,Table1[],2,TRUE))</f>
        <v>-</v>
      </c>
      <c r="BG18" s="104" t="str">
        <f>IF(AND(BB18="",BE18=""),"",IF(OR(BB18="-",BE18="-"),"-",IF(AND(BB$3&lt;&gt;0,BE$3&lt;&gt;0),VLOOKUP(AVERAGE(BB18,BE18),Table1[],2,TRUE),IF(AND(BB$3&lt;&gt;0,BE$3=0),BC18,BF18))))</f>
        <v>-</v>
      </c>
      <c r="BH18" s="105"/>
      <c r="BI18" s="107" t="str">
        <f t="shared" si="9"/>
        <v>-</v>
      </c>
      <c r="BJ18" s="155" t="s">
        <v>18</v>
      </c>
    </row>
    <row r="19" spans="1:62" s="61" customFormat="1" x14ac:dyDescent="0.25">
      <c r="A19" s="26" t="str">
        <f>IF(ISBLANK(ClassInformation!C24),"ZZZZZ",ClassInformation!C24)</f>
        <v>Macdonald</v>
      </c>
      <c r="B19" s="18" t="str">
        <f>IF(ISBLANK(ClassInformation!D24),"ZZZZZ",ClassInformation!D24)</f>
        <v>Dominic</v>
      </c>
      <c r="C19" s="156">
        <v>6.5</v>
      </c>
      <c r="D19" s="157"/>
      <c r="E19" s="157">
        <v>2.5</v>
      </c>
      <c r="F19" s="157"/>
      <c r="G19" s="157">
        <v>5</v>
      </c>
      <c r="H19" s="157"/>
      <c r="I19" s="157">
        <v>2</v>
      </c>
      <c r="J19" s="157"/>
      <c r="K19" s="157">
        <v>5</v>
      </c>
      <c r="L19" s="158"/>
      <c r="M19" s="159"/>
      <c r="N19" s="157"/>
      <c r="O19" s="157"/>
      <c r="P19" s="157"/>
      <c r="Q19" s="157"/>
      <c r="R19" s="157"/>
      <c r="S19" s="157"/>
      <c r="T19" s="157"/>
      <c r="U19" s="157"/>
      <c r="V19" s="160"/>
      <c r="W19" s="117">
        <f t="shared" si="0"/>
        <v>21</v>
      </c>
      <c r="X19" s="100">
        <f t="shared" si="1"/>
        <v>0.7</v>
      </c>
      <c r="Y19" s="99" t="str">
        <f>IF(W19="","",VLOOKUP(X19,Table1[],2,TRUE))</f>
        <v>B</v>
      </c>
      <c r="Z19" s="101" t="str">
        <f t="shared" si="2"/>
        <v/>
      </c>
      <c r="AA19" s="102" t="str">
        <f t="shared" si="3"/>
        <v/>
      </c>
      <c r="AB19" s="103" t="str">
        <f>IF(Z19="","",VLOOKUP(AA19,Table1[],2,TRUE))</f>
        <v/>
      </c>
      <c r="AC19" s="104" t="str">
        <f>IF(AND(X19="",AA19=""),"",IF(OR(X19="-",AA19="-"),"-",IF(AND(X$3&lt;&gt;0,AA$3&lt;&gt;0),VLOOKUP(AVERAGE(X19,AA19),Table1[],2,TRUE),IF(AND(X$3&lt;&gt;0,AA$3=0),Y19,AB19))))</f>
        <v>B</v>
      </c>
      <c r="AD19" s="105"/>
      <c r="AE19" s="107" t="str">
        <f t="shared" si="4"/>
        <v>B</v>
      </c>
      <c r="AF19" s="155" t="s">
        <v>18</v>
      </c>
      <c r="AG19" s="156">
        <v>10.5</v>
      </c>
      <c r="AH19" s="157"/>
      <c r="AI19" s="157">
        <v>7.5</v>
      </c>
      <c r="AJ19" s="157"/>
      <c r="AK19" s="157"/>
      <c r="AL19" s="157"/>
      <c r="AM19" s="157"/>
      <c r="AN19" s="157"/>
      <c r="AO19" s="157"/>
      <c r="AP19" s="158"/>
      <c r="AQ19" s="159">
        <v>11</v>
      </c>
      <c r="AR19" s="157"/>
      <c r="AS19" s="157"/>
      <c r="AT19" s="157"/>
      <c r="AU19" s="157"/>
      <c r="AV19" s="157"/>
      <c r="AW19" s="157"/>
      <c r="AX19" s="157"/>
      <c r="AY19" s="157"/>
      <c r="AZ19" s="160"/>
      <c r="BA19" s="117">
        <f t="shared" si="5"/>
        <v>18</v>
      </c>
      <c r="BB19" s="100">
        <f t="shared" si="6"/>
        <v>0.78260869565217395</v>
      </c>
      <c r="BC19" s="99" t="str">
        <f>IF(BA19="","",VLOOKUP(BB19,Table1[],2,TRUE))</f>
        <v>B+</v>
      </c>
      <c r="BD19" s="101">
        <f t="shared" si="7"/>
        <v>11</v>
      </c>
      <c r="BE19" s="102">
        <f t="shared" si="8"/>
        <v>0.81481481481481477</v>
      </c>
      <c r="BF19" s="103" t="str">
        <f>IF(BD19="","",VLOOKUP(BE19,Table1[],2,TRUE))</f>
        <v>A-</v>
      </c>
      <c r="BG19" s="104" t="str">
        <f>IF(AND(BB19="",BE19=""),"",IF(OR(BB19="-",BE19="-"),"-",IF(AND(BB$3&lt;&gt;0,BE$3&lt;&gt;0),VLOOKUP(AVERAGE(BB19,BE19),Table1[],2,TRUE),IF(AND(BB$3&lt;&gt;0,BE$3=0),BC19,BF19))))</f>
        <v>B+</v>
      </c>
      <c r="BH19" s="105"/>
      <c r="BI19" s="107" t="str">
        <f t="shared" si="9"/>
        <v>B+</v>
      </c>
      <c r="BJ19" s="155" t="s">
        <v>18</v>
      </c>
    </row>
    <row r="20" spans="1:62" s="61" customFormat="1" x14ac:dyDescent="0.25">
      <c r="A20" s="26" t="str">
        <f>IF(ISBLANK(ClassInformation!C25),"ZZZZZ",ClassInformation!C25)</f>
        <v>Manolis</v>
      </c>
      <c r="B20" s="18" t="str">
        <f>IF(ISBLANK(ClassInformation!D25),"ZZZZZ",ClassInformation!D25)</f>
        <v>India</v>
      </c>
      <c r="C20" s="156">
        <v>6</v>
      </c>
      <c r="D20" s="157"/>
      <c r="E20" s="157">
        <v>1.5</v>
      </c>
      <c r="F20" s="157"/>
      <c r="G20" s="157">
        <v>5</v>
      </c>
      <c r="H20" s="157"/>
      <c r="I20" s="157">
        <v>4.5</v>
      </c>
      <c r="J20" s="157"/>
      <c r="K20" s="157">
        <v>4.5</v>
      </c>
      <c r="L20" s="158"/>
      <c r="M20" s="159"/>
      <c r="N20" s="157"/>
      <c r="O20" s="157"/>
      <c r="P20" s="157"/>
      <c r="Q20" s="157"/>
      <c r="R20" s="157"/>
      <c r="S20" s="157"/>
      <c r="T20" s="157"/>
      <c r="U20" s="157"/>
      <c r="V20" s="160"/>
      <c r="W20" s="117">
        <f t="shared" si="0"/>
        <v>21.5</v>
      </c>
      <c r="X20" s="100">
        <f t="shared" si="1"/>
        <v>0.71666666666666667</v>
      </c>
      <c r="Y20" s="99" t="str">
        <f>IF(W20="","",VLOOKUP(X20,Table1[],2,TRUE))</f>
        <v>B</v>
      </c>
      <c r="Z20" s="101" t="str">
        <f t="shared" si="2"/>
        <v/>
      </c>
      <c r="AA20" s="102" t="str">
        <f t="shared" si="3"/>
        <v/>
      </c>
      <c r="AB20" s="103" t="str">
        <f>IF(Z20="","",VLOOKUP(AA20,Table1[],2,TRUE))</f>
        <v/>
      </c>
      <c r="AC20" s="104" t="str">
        <f>IF(AND(X20="",AA20=""),"",IF(OR(X20="-",AA20="-"),"-",IF(AND(X$3&lt;&gt;0,AA$3&lt;&gt;0),VLOOKUP(AVERAGE(X20,AA20),Table1[],2,TRUE),IF(AND(X$3&lt;&gt;0,AA$3=0),Y20,AB20))))</f>
        <v>B</v>
      </c>
      <c r="AD20" s="105"/>
      <c r="AE20" s="107" t="str">
        <f t="shared" si="4"/>
        <v>B</v>
      </c>
      <c r="AF20" s="155" t="s">
        <v>18</v>
      </c>
      <c r="AG20" s="156">
        <v>12</v>
      </c>
      <c r="AH20" s="157"/>
      <c r="AI20" s="157">
        <v>7</v>
      </c>
      <c r="AJ20" s="157"/>
      <c r="AK20" s="157"/>
      <c r="AL20" s="157"/>
      <c r="AM20" s="157"/>
      <c r="AN20" s="157"/>
      <c r="AO20" s="157"/>
      <c r="AP20" s="158"/>
      <c r="AQ20" s="159">
        <v>11.5</v>
      </c>
      <c r="AR20" s="157"/>
      <c r="AS20" s="157"/>
      <c r="AT20" s="157"/>
      <c r="AU20" s="157"/>
      <c r="AV20" s="157"/>
      <c r="AW20" s="157"/>
      <c r="AX20" s="157"/>
      <c r="AY20" s="157"/>
      <c r="AZ20" s="160"/>
      <c r="BA20" s="117">
        <f t="shared" si="5"/>
        <v>19</v>
      </c>
      <c r="BB20" s="100">
        <f t="shared" si="6"/>
        <v>0.82608695652173914</v>
      </c>
      <c r="BC20" s="99" t="str">
        <f>IF(BA20="","",VLOOKUP(BB20,Table1[],2,TRUE))</f>
        <v>A-</v>
      </c>
      <c r="BD20" s="101">
        <f t="shared" si="7"/>
        <v>11.5</v>
      </c>
      <c r="BE20" s="102">
        <f t="shared" si="8"/>
        <v>0.85185185185185186</v>
      </c>
      <c r="BF20" s="103" t="str">
        <f>IF(BD20="","",VLOOKUP(BE20,Table1[],2,TRUE))</f>
        <v>A-</v>
      </c>
      <c r="BG20" s="104" t="str">
        <f>IF(AND(BB20="",BE20=""),"",IF(OR(BB20="-",BE20="-"),"-",IF(AND(BB$3&lt;&gt;0,BE$3&lt;&gt;0),VLOOKUP(AVERAGE(BB20,BE20),Table1[],2,TRUE),IF(AND(BB$3&lt;&gt;0,BE$3=0),BC20,BF20))))</f>
        <v>A-</v>
      </c>
      <c r="BH20" s="105"/>
      <c r="BI20" s="107" t="str">
        <f t="shared" si="9"/>
        <v>A-</v>
      </c>
      <c r="BJ20" s="155" t="s">
        <v>18</v>
      </c>
    </row>
    <row r="21" spans="1:62" s="61" customFormat="1" x14ac:dyDescent="0.25">
      <c r="A21" s="26" t="str">
        <f>IF(ISBLANK(ClassInformation!C26),"ZZZZZ",ClassInformation!C26)</f>
        <v>Milton</v>
      </c>
      <c r="B21" s="18" t="str">
        <f>IF(ISBLANK(ClassInformation!D26),"ZZZZZ",ClassInformation!D26)</f>
        <v>Charlie</v>
      </c>
      <c r="C21" s="156">
        <v>7</v>
      </c>
      <c r="D21" s="157"/>
      <c r="E21" s="157">
        <v>2</v>
      </c>
      <c r="F21" s="157"/>
      <c r="G21" s="157">
        <v>5</v>
      </c>
      <c r="H21" s="157"/>
      <c r="I21" s="157">
        <v>10</v>
      </c>
      <c r="J21" s="157"/>
      <c r="K21" s="157">
        <v>3</v>
      </c>
      <c r="L21" s="158"/>
      <c r="M21" s="159"/>
      <c r="N21" s="157"/>
      <c r="O21" s="157"/>
      <c r="P21" s="157"/>
      <c r="Q21" s="157"/>
      <c r="R21" s="157"/>
      <c r="S21" s="157"/>
      <c r="T21" s="157"/>
      <c r="U21" s="157"/>
      <c r="V21" s="160"/>
      <c r="W21" s="117">
        <f t="shared" si="0"/>
        <v>27</v>
      </c>
      <c r="X21" s="100">
        <f t="shared" si="1"/>
        <v>0.9</v>
      </c>
      <c r="Y21" s="99" t="str">
        <f>IF(W21="","",VLOOKUP(X21,Table1[],2,TRUE))</f>
        <v>A</v>
      </c>
      <c r="Z21" s="101" t="str">
        <f t="shared" si="2"/>
        <v/>
      </c>
      <c r="AA21" s="102" t="str">
        <f t="shared" si="3"/>
        <v/>
      </c>
      <c r="AB21" s="103" t="str">
        <f>IF(Z21="","",VLOOKUP(AA21,Table1[],2,TRUE))</f>
        <v/>
      </c>
      <c r="AC21" s="104" t="str">
        <f>IF(AND(X21="",AA21=""),"",IF(OR(X21="-",AA21="-"),"-",IF(AND(X$3&lt;&gt;0,AA$3&lt;&gt;0),VLOOKUP(AVERAGE(X21,AA21),Table1[],2,TRUE),IF(AND(X$3&lt;&gt;0,AA$3=0),Y21,AB21))))</f>
        <v>A</v>
      </c>
      <c r="AD21" s="105"/>
      <c r="AE21" s="107" t="str">
        <f t="shared" si="4"/>
        <v>A</v>
      </c>
      <c r="AF21" s="155" t="s">
        <v>18</v>
      </c>
      <c r="AG21" s="156">
        <v>10</v>
      </c>
      <c r="AH21" s="157"/>
      <c r="AI21" s="157">
        <v>9</v>
      </c>
      <c r="AJ21" s="157"/>
      <c r="AK21" s="157"/>
      <c r="AL21" s="157"/>
      <c r="AM21" s="157"/>
      <c r="AN21" s="157"/>
      <c r="AO21" s="157"/>
      <c r="AP21" s="158"/>
      <c r="AQ21" s="159">
        <v>6.5</v>
      </c>
      <c r="AR21" s="157"/>
      <c r="AS21" s="157"/>
      <c r="AT21" s="157"/>
      <c r="AU21" s="157"/>
      <c r="AV21" s="157"/>
      <c r="AW21" s="157"/>
      <c r="AX21" s="157"/>
      <c r="AY21" s="157"/>
      <c r="AZ21" s="160"/>
      <c r="BA21" s="117">
        <f t="shared" si="5"/>
        <v>19</v>
      </c>
      <c r="BB21" s="100">
        <f t="shared" si="6"/>
        <v>0.82608695652173914</v>
      </c>
      <c r="BC21" s="99" t="str">
        <f>IF(BA21="","",VLOOKUP(BB21,Table1[],2,TRUE))</f>
        <v>A-</v>
      </c>
      <c r="BD21" s="101">
        <f t="shared" si="7"/>
        <v>6.5</v>
      </c>
      <c r="BE21" s="102">
        <f t="shared" si="8"/>
        <v>0.48148148148148145</v>
      </c>
      <c r="BF21" s="103" t="str">
        <f>IF(BD21="","",VLOOKUP(BE21,Table1[],2,TRUE))</f>
        <v>C-</v>
      </c>
      <c r="BG21" s="104" t="str">
        <f>IF(AND(BB21="",BE21=""),"",IF(OR(BB21="-",BE21="-"),"-",IF(AND(BB$3&lt;&gt;0,BE$3&lt;&gt;0),VLOOKUP(AVERAGE(BB21,BE21),Table1[],2,TRUE),IF(AND(BB$3&lt;&gt;0,BE$3=0),BC21,BF21))))</f>
        <v>B-</v>
      </c>
      <c r="BH21" s="105"/>
      <c r="BI21" s="107" t="str">
        <f t="shared" si="9"/>
        <v>B-</v>
      </c>
      <c r="BJ21" s="155" t="s">
        <v>18</v>
      </c>
    </row>
    <row r="22" spans="1:62" s="61" customFormat="1" x14ac:dyDescent="0.25">
      <c r="A22" s="26" t="str">
        <f>IF(ISBLANK(ClassInformation!C27),"ZZZZZ",ClassInformation!C27)</f>
        <v>Olguin</v>
      </c>
      <c r="B22" s="18" t="str">
        <f>IF(ISBLANK(ClassInformation!D27),"ZZZZZ",ClassInformation!D27)</f>
        <v>Scarlett</v>
      </c>
      <c r="C22" s="156">
        <v>6</v>
      </c>
      <c r="D22" s="157"/>
      <c r="E22" s="157">
        <v>1</v>
      </c>
      <c r="F22" s="157"/>
      <c r="G22" s="157">
        <v>5</v>
      </c>
      <c r="H22" s="157"/>
      <c r="I22" s="157">
        <v>4</v>
      </c>
      <c r="J22" s="157"/>
      <c r="K22" s="157">
        <v>1.5</v>
      </c>
      <c r="L22" s="158"/>
      <c r="M22" s="159"/>
      <c r="N22" s="157"/>
      <c r="O22" s="157"/>
      <c r="P22" s="157"/>
      <c r="Q22" s="157"/>
      <c r="R22" s="157"/>
      <c r="S22" s="157"/>
      <c r="T22" s="157"/>
      <c r="U22" s="157"/>
      <c r="V22" s="160"/>
      <c r="W22" s="117">
        <f t="shared" si="0"/>
        <v>17.5</v>
      </c>
      <c r="X22" s="100">
        <f t="shared" si="1"/>
        <v>0.58333333333333337</v>
      </c>
      <c r="Y22" s="99" t="str">
        <f>IF(W22="","",VLOOKUP(X22,Table1[],2,TRUE))</f>
        <v>C</v>
      </c>
      <c r="Z22" s="101" t="str">
        <f t="shared" si="2"/>
        <v/>
      </c>
      <c r="AA22" s="102" t="str">
        <f t="shared" si="3"/>
        <v/>
      </c>
      <c r="AB22" s="103" t="str">
        <f>IF(Z22="","",VLOOKUP(AA22,Table1[],2,TRUE))</f>
        <v/>
      </c>
      <c r="AC22" s="104" t="str">
        <f>IF(AND(X22="",AA22=""),"",IF(OR(X22="-",AA22="-"),"-",IF(AND(X$3&lt;&gt;0,AA$3&lt;&gt;0),VLOOKUP(AVERAGE(X22,AA22),Table1[],2,TRUE),IF(AND(X$3&lt;&gt;0,AA$3=0),Y22,AB22))))</f>
        <v>C</v>
      </c>
      <c r="AD22" s="105"/>
      <c r="AE22" s="107" t="str">
        <f t="shared" si="4"/>
        <v>C</v>
      </c>
      <c r="AF22" s="155" t="s">
        <v>18</v>
      </c>
      <c r="AG22" s="156" t="s">
        <v>18</v>
      </c>
      <c r="AH22" s="157"/>
      <c r="AI22" s="157" t="s">
        <v>18</v>
      </c>
      <c r="AJ22" s="157"/>
      <c r="AK22" s="157"/>
      <c r="AL22" s="157"/>
      <c r="AM22" s="157"/>
      <c r="AN22" s="157"/>
      <c r="AO22" s="157"/>
      <c r="AP22" s="158"/>
      <c r="AQ22" s="159" t="s">
        <v>18</v>
      </c>
      <c r="AR22" s="157"/>
      <c r="AS22" s="157"/>
      <c r="AT22" s="157"/>
      <c r="AU22" s="157"/>
      <c r="AV22" s="157"/>
      <c r="AW22" s="157"/>
      <c r="AX22" s="157"/>
      <c r="AY22" s="157"/>
      <c r="AZ22" s="160"/>
      <c r="BA22" s="117" t="str">
        <f t="shared" si="5"/>
        <v>-</v>
      </c>
      <c r="BB22" s="100" t="str">
        <f t="shared" si="6"/>
        <v>-</v>
      </c>
      <c r="BC22" s="99" t="str">
        <f>IF(BA22="","",VLOOKUP(BB22,Table1[],2,TRUE))</f>
        <v>-</v>
      </c>
      <c r="BD22" s="101" t="str">
        <f t="shared" si="7"/>
        <v>-</v>
      </c>
      <c r="BE22" s="102" t="str">
        <f t="shared" si="8"/>
        <v>-</v>
      </c>
      <c r="BF22" s="103" t="str">
        <f>IF(BD22="","",VLOOKUP(BE22,Table1[],2,TRUE))</f>
        <v>-</v>
      </c>
      <c r="BG22" s="104" t="str">
        <f>IF(AND(BB22="",BE22=""),"",IF(OR(BB22="-",BE22="-"),"-",IF(AND(BB$3&lt;&gt;0,BE$3&lt;&gt;0),VLOOKUP(AVERAGE(BB22,BE22),Table1[],2,TRUE),IF(AND(BB$3&lt;&gt;0,BE$3=0),BC22,BF22))))</f>
        <v>-</v>
      </c>
      <c r="BH22" s="105"/>
      <c r="BI22" s="107" t="str">
        <f t="shared" si="9"/>
        <v>-</v>
      </c>
      <c r="BJ22" s="155" t="s">
        <v>18</v>
      </c>
    </row>
    <row r="23" spans="1:62" s="61" customFormat="1" x14ac:dyDescent="0.25">
      <c r="A23" s="26" t="str">
        <f>IF(ISBLANK(ClassInformation!C28),"ZZZZZ",ClassInformation!C28)</f>
        <v>Pardon</v>
      </c>
      <c r="B23" s="18" t="str">
        <f>IF(ISBLANK(ClassInformation!D28),"ZZZZZ",ClassInformation!D28)</f>
        <v>Harmony</v>
      </c>
      <c r="C23" s="156">
        <v>5.5</v>
      </c>
      <c r="D23" s="157"/>
      <c r="E23" s="157">
        <v>1.5</v>
      </c>
      <c r="F23" s="157"/>
      <c r="G23" s="157">
        <v>5</v>
      </c>
      <c r="H23" s="157"/>
      <c r="I23" s="157">
        <v>4</v>
      </c>
      <c r="J23" s="157"/>
      <c r="K23" s="157">
        <v>2.5</v>
      </c>
      <c r="L23" s="158"/>
      <c r="M23" s="159"/>
      <c r="N23" s="157"/>
      <c r="O23" s="157"/>
      <c r="P23" s="157"/>
      <c r="Q23" s="157"/>
      <c r="R23" s="157"/>
      <c r="S23" s="157"/>
      <c r="T23" s="157"/>
      <c r="U23" s="157"/>
      <c r="V23" s="160"/>
      <c r="W23" s="117">
        <f t="shared" si="0"/>
        <v>18.5</v>
      </c>
      <c r="X23" s="100">
        <f t="shared" si="1"/>
        <v>0.6166666666666667</v>
      </c>
      <c r="Y23" s="99" t="str">
        <f>IF(W23="","",VLOOKUP(X23,Table1[],2,TRUE))</f>
        <v>C+</v>
      </c>
      <c r="Z23" s="101" t="str">
        <f t="shared" si="2"/>
        <v/>
      </c>
      <c r="AA23" s="102" t="str">
        <f t="shared" si="3"/>
        <v/>
      </c>
      <c r="AB23" s="103" t="str">
        <f>IF(Z23="","",VLOOKUP(AA23,Table1[],2,TRUE))</f>
        <v/>
      </c>
      <c r="AC23" s="104" t="str">
        <f>IF(AND(X23="",AA23=""),"",IF(OR(X23="-",AA23="-"),"-",IF(AND(X$3&lt;&gt;0,AA$3&lt;&gt;0),VLOOKUP(AVERAGE(X23,AA23),Table1[],2,TRUE),IF(AND(X$3&lt;&gt;0,AA$3=0),Y23,AB23))))</f>
        <v>C+</v>
      </c>
      <c r="AD23" s="105"/>
      <c r="AE23" s="107" t="str">
        <f t="shared" si="4"/>
        <v>C+</v>
      </c>
      <c r="AF23" s="155" t="s">
        <v>18</v>
      </c>
      <c r="AG23" s="156">
        <v>5</v>
      </c>
      <c r="AH23" s="157"/>
      <c r="AI23" s="157">
        <v>5</v>
      </c>
      <c r="AJ23" s="157"/>
      <c r="AK23" s="157"/>
      <c r="AL23" s="157"/>
      <c r="AM23" s="157"/>
      <c r="AN23" s="157"/>
      <c r="AO23" s="157"/>
      <c r="AP23" s="158"/>
      <c r="AQ23" s="159">
        <v>8</v>
      </c>
      <c r="AR23" s="157"/>
      <c r="AS23" s="157"/>
      <c r="AT23" s="157"/>
      <c r="AU23" s="157"/>
      <c r="AV23" s="157"/>
      <c r="AW23" s="157"/>
      <c r="AX23" s="157"/>
      <c r="AY23" s="157"/>
      <c r="AZ23" s="160"/>
      <c r="BA23" s="117">
        <f t="shared" si="5"/>
        <v>10</v>
      </c>
      <c r="BB23" s="100">
        <f t="shared" si="6"/>
        <v>0.43478260869565216</v>
      </c>
      <c r="BC23" s="99" t="str">
        <f>IF(BA23="","",VLOOKUP(BB23,Table1[],2,TRUE))</f>
        <v>D+</v>
      </c>
      <c r="BD23" s="101">
        <f t="shared" si="7"/>
        <v>8</v>
      </c>
      <c r="BE23" s="102">
        <f t="shared" si="8"/>
        <v>0.59259259259259256</v>
      </c>
      <c r="BF23" s="103" t="str">
        <f>IF(BD23="","",VLOOKUP(BE23,Table1[],2,TRUE))</f>
        <v>C+</v>
      </c>
      <c r="BG23" s="104" t="str">
        <f>IF(AND(BB23="",BE23=""),"",IF(OR(BB23="-",BE23="-"),"-",IF(AND(BB$3&lt;&gt;0,BE$3&lt;&gt;0),VLOOKUP(AVERAGE(BB23,BE23),Table1[],2,TRUE),IF(AND(BB$3&lt;&gt;0,BE$3=0),BC23,BF23))))</f>
        <v>C-</v>
      </c>
      <c r="BH23" s="105"/>
      <c r="BI23" s="107" t="str">
        <f t="shared" si="9"/>
        <v>C-</v>
      </c>
      <c r="BJ23" s="155" t="s">
        <v>18</v>
      </c>
    </row>
    <row r="24" spans="1:62" s="61" customFormat="1" x14ac:dyDescent="0.25">
      <c r="A24" s="26" t="str">
        <f>IF(ISBLANK(ClassInformation!C29),"ZZZZZ",ClassInformation!C29)</f>
        <v>Romero</v>
      </c>
      <c r="B24" s="18" t="str">
        <f>IF(ISBLANK(ClassInformation!D29),"ZZZZZ",ClassInformation!D29)</f>
        <v>Rubens</v>
      </c>
      <c r="C24" s="156">
        <v>4.5</v>
      </c>
      <c r="D24" s="157"/>
      <c r="E24" s="157">
        <v>0.5</v>
      </c>
      <c r="F24" s="157"/>
      <c r="G24" s="157">
        <v>5</v>
      </c>
      <c r="H24" s="157"/>
      <c r="I24" s="157">
        <v>1</v>
      </c>
      <c r="J24" s="157"/>
      <c r="K24" s="157">
        <v>0</v>
      </c>
      <c r="L24" s="158"/>
      <c r="M24" s="159"/>
      <c r="N24" s="157"/>
      <c r="O24" s="157"/>
      <c r="P24" s="157"/>
      <c r="Q24" s="157"/>
      <c r="R24" s="157"/>
      <c r="S24" s="157"/>
      <c r="T24" s="157"/>
      <c r="U24" s="157"/>
      <c r="V24" s="160"/>
      <c r="W24" s="117">
        <f t="shared" si="0"/>
        <v>11</v>
      </c>
      <c r="X24" s="100">
        <f t="shared" si="1"/>
        <v>0.36666666666666664</v>
      </c>
      <c r="Y24" s="99" t="str">
        <f>IF(W24="","",VLOOKUP(X24,Table1[],2,TRUE))</f>
        <v>D</v>
      </c>
      <c r="Z24" s="101" t="str">
        <f t="shared" si="2"/>
        <v/>
      </c>
      <c r="AA24" s="102" t="str">
        <f t="shared" si="3"/>
        <v/>
      </c>
      <c r="AB24" s="103" t="str">
        <f>IF(Z24="","",VLOOKUP(AA24,Table1[],2,TRUE))</f>
        <v/>
      </c>
      <c r="AC24" s="104" t="str">
        <f>IF(AND(X24="",AA24=""),"",IF(OR(X24="-",AA24="-"),"-",IF(AND(X$3&lt;&gt;0,AA$3&lt;&gt;0),VLOOKUP(AVERAGE(X24,AA24),Table1[],2,TRUE),IF(AND(X$3&lt;&gt;0,AA$3=0),Y24,AB24))))</f>
        <v>D</v>
      </c>
      <c r="AD24" s="105"/>
      <c r="AE24" s="107" t="str">
        <f t="shared" si="4"/>
        <v>D</v>
      </c>
      <c r="AF24" s="155" t="s">
        <v>18</v>
      </c>
      <c r="AG24" s="156">
        <v>5.5</v>
      </c>
      <c r="AH24" s="157"/>
      <c r="AI24" s="157">
        <v>3</v>
      </c>
      <c r="AJ24" s="157"/>
      <c r="AK24" s="157"/>
      <c r="AL24" s="157"/>
      <c r="AM24" s="157"/>
      <c r="AN24" s="157"/>
      <c r="AO24" s="157"/>
      <c r="AP24" s="158"/>
      <c r="AQ24" s="159">
        <v>4.5</v>
      </c>
      <c r="AR24" s="157"/>
      <c r="AS24" s="157"/>
      <c r="AT24" s="157"/>
      <c r="AU24" s="157"/>
      <c r="AV24" s="157"/>
      <c r="AW24" s="157"/>
      <c r="AX24" s="157"/>
      <c r="AY24" s="157"/>
      <c r="AZ24" s="160"/>
      <c r="BA24" s="117">
        <f t="shared" si="5"/>
        <v>8.5</v>
      </c>
      <c r="BB24" s="100">
        <f t="shared" si="6"/>
        <v>0.36956521739130432</v>
      </c>
      <c r="BC24" s="99" t="str">
        <f>IF(BA24="","",VLOOKUP(BB24,Table1[],2,TRUE))</f>
        <v>D</v>
      </c>
      <c r="BD24" s="101">
        <f t="shared" si="7"/>
        <v>4.5</v>
      </c>
      <c r="BE24" s="102">
        <f t="shared" si="8"/>
        <v>0.33333333333333331</v>
      </c>
      <c r="BF24" s="103" t="str">
        <f>IF(BD24="","",VLOOKUP(BE24,Table1[],2,TRUE))</f>
        <v>D</v>
      </c>
      <c r="BG24" s="104" t="str">
        <f>IF(AND(BB24="",BE24=""),"",IF(OR(BB24="-",BE24="-"),"-",IF(AND(BB$3&lt;&gt;0,BE$3&lt;&gt;0),VLOOKUP(AVERAGE(BB24,BE24),Table1[],2,TRUE),IF(AND(BB$3&lt;&gt;0,BE$3=0),BC24,BF24))))</f>
        <v>D</v>
      </c>
      <c r="BH24" s="105"/>
      <c r="BI24" s="107" t="str">
        <f t="shared" si="9"/>
        <v>D</v>
      </c>
      <c r="BJ24" s="155" t="s">
        <v>18</v>
      </c>
    </row>
    <row r="25" spans="1:62" s="61" customFormat="1" x14ac:dyDescent="0.25">
      <c r="A25" s="26" t="str">
        <f>IF(ISBLANK(ClassInformation!C30),"ZZZZZ",ClassInformation!C30)</f>
        <v>Sarzynska</v>
      </c>
      <c r="B25" s="18" t="str">
        <f>IF(ISBLANK(ClassInformation!D30),"ZZZZZ",ClassInformation!D30)</f>
        <v>Nikola</v>
      </c>
      <c r="C25" s="156">
        <v>5.5</v>
      </c>
      <c r="D25" s="157"/>
      <c r="E25" s="157">
        <v>1.5</v>
      </c>
      <c r="F25" s="157"/>
      <c r="G25" s="157">
        <v>5</v>
      </c>
      <c r="H25" s="157"/>
      <c r="I25" s="157">
        <v>10</v>
      </c>
      <c r="J25" s="157"/>
      <c r="K25" s="157">
        <v>4.5</v>
      </c>
      <c r="L25" s="158"/>
      <c r="M25" s="159"/>
      <c r="N25" s="157"/>
      <c r="O25" s="157"/>
      <c r="P25" s="157"/>
      <c r="Q25" s="157"/>
      <c r="R25" s="157"/>
      <c r="S25" s="157"/>
      <c r="T25" s="157"/>
      <c r="U25" s="157"/>
      <c r="V25" s="160"/>
      <c r="W25" s="117">
        <f t="shared" si="0"/>
        <v>26.5</v>
      </c>
      <c r="X25" s="100">
        <f t="shared" si="1"/>
        <v>0.8833333333333333</v>
      </c>
      <c r="Y25" s="99" t="str">
        <f>IF(W25="","",VLOOKUP(X25,Table1[],2,TRUE))</f>
        <v>A</v>
      </c>
      <c r="Z25" s="101" t="str">
        <f t="shared" si="2"/>
        <v/>
      </c>
      <c r="AA25" s="102" t="str">
        <f t="shared" si="3"/>
        <v/>
      </c>
      <c r="AB25" s="103" t="str">
        <f>IF(Z25="","",VLOOKUP(AA25,Table1[],2,TRUE))</f>
        <v/>
      </c>
      <c r="AC25" s="104" t="str">
        <f>IF(AND(X25="",AA25=""),"",IF(OR(X25="-",AA25="-"),"-",IF(AND(X$3&lt;&gt;0,AA$3&lt;&gt;0),VLOOKUP(AVERAGE(X25,AA25),Table1[],2,TRUE),IF(AND(X$3&lt;&gt;0,AA$3=0),Y25,AB25))))</f>
        <v>A</v>
      </c>
      <c r="AD25" s="105"/>
      <c r="AE25" s="107" t="str">
        <f t="shared" si="4"/>
        <v>A</v>
      </c>
      <c r="AF25" s="155" t="s">
        <v>18</v>
      </c>
      <c r="AG25" s="156">
        <v>10</v>
      </c>
      <c r="AH25" s="157"/>
      <c r="AI25" s="157">
        <v>8</v>
      </c>
      <c r="AJ25" s="157"/>
      <c r="AK25" s="157"/>
      <c r="AL25" s="157"/>
      <c r="AM25" s="157"/>
      <c r="AN25" s="157"/>
      <c r="AO25" s="157"/>
      <c r="AP25" s="158"/>
      <c r="AQ25" s="159">
        <v>10.5</v>
      </c>
      <c r="AR25" s="157"/>
      <c r="AS25" s="157"/>
      <c r="AT25" s="157"/>
      <c r="AU25" s="157"/>
      <c r="AV25" s="157"/>
      <c r="AW25" s="157"/>
      <c r="AX25" s="157"/>
      <c r="AY25" s="157"/>
      <c r="AZ25" s="160"/>
      <c r="BA25" s="117">
        <f t="shared" si="5"/>
        <v>18</v>
      </c>
      <c r="BB25" s="100">
        <f t="shared" si="6"/>
        <v>0.78260869565217395</v>
      </c>
      <c r="BC25" s="99" t="str">
        <f>IF(BA25="","",VLOOKUP(BB25,Table1[],2,TRUE))</f>
        <v>B+</v>
      </c>
      <c r="BD25" s="101">
        <f t="shared" si="7"/>
        <v>10.5</v>
      </c>
      <c r="BE25" s="102">
        <f t="shared" si="8"/>
        <v>0.77777777777777779</v>
      </c>
      <c r="BF25" s="103" t="str">
        <f>IF(BD25="","",VLOOKUP(BE25,Table1[],2,TRUE))</f>
        <v>B+</v>
      </c>
      <c r="BG25" s="104" t="str">
        <f>IF(AND(BB25="",BE25=""),"",IF(OR(BB25="-",BE25="-"),"-",IF(AND(BB$3&lt;&gt;0,BE$3&lt;&gt;0),VLOOKUP(AVERAGE(BB25,BE25),Table1[],2,TRUE),IF(AND(BB$3&lt;&gt;0,BE$3=0),BC25,BF25))))</f>
        <v>B+</v>
      </c>
      <c r="BH25" s="105"/>
      <c r="BI25" s="107" t="str">
        <f t="shared" si="9"/>
        <v>B+</v>
      </c>
      <c r="BJ25" s="155" t="s">
        <v>18</v>
      </c>
    </row>
    <row r="26" spans="1:62" s="61" customFormat="1" x14ac:dyDescent="0.25">
      <c r="A26" s="26" t="str">
        <f>IF(ISBLANK(ClassInformation!C31),"ZZZZZ",ClassInformation!C31)</f>
        <v>Taylor</v>
      </c>
      <c r="B26" s="18" t="str">
        <f>IF(ISBLANK(ClassInformation!D31),"ZZZZZ",ClassInformation!D31)</f>
        <v>Rohan</v>
      </c>
      <c r="C26" s="156">
        <v>5</v>
      </c>
      <c r="D26" s="157"/>
      <c r="E26" s="157">
        <v>1</v>
      </c>
      <c r="F26" s="157"/>
      <c r="G26" s="157">
        <v>3</v>
      </c>
      <c r="H26" s="157"/>
      <c r="I26" s="157">
        <v>1</v>
      </c>
      <c r="J26" s="157"/>
      <c r="K26" s="157">
        <v>0</v>
      </c>
      <c r="L26" s="158"/>
      <c r="M26" s="159"/>
      <c r="N26" s="157"/>
      <c r="O26" s="157"/>
      <c r="P26" s="157"/>
      <c r="Q26" s="157"/>
      <c r="R26" s="157"/>
      <c r="S26" s="157"/>
      <c r="T26" s="157"/>
      <c r="U26" s="157"/>
      <c r="V26" s="160"/>
      <c r="W26" s="117">
        <f t="shared" si="0"/>
        <v>10</v>
      </c>
      <c r="X26" s="100">
        <f t="shared" si="1"/>
        <v>0.33333333333333331</v>
      </c>
      <c r="Y26" s="99" t="str">
        <f>IF(W26="","",VLOOKUP(X26,Table1[],2,TRUE))</f>
        <v>D</v>
      </c>
      <c r="Z26" s="101" t="str">
        <f t="shared" si="2"/>
        <v/>
      </c>
      <c r="AA26" s="102" t="str">
        <f t="shared" si="3"/>
        <v/>
      </c>
      <c r="AB26" s="103" t="str">
        <f>IF(Z26="","",VLOOKUP(AA26,Table1[],2,TRUE))</f>
        <v/>
      </c>
      <c r="AC26" s="104" t="str">
        <f>IF(AND(X26="",AA26=""),"",IF(OR(X26="-",AA26="-"),"-",IF(AND(X$3&lt;&gt;0,AA$3&lt;&gt;0),VLOOKUP(AVERAGE(X26,AA26),Table1[],2,TRUE),IF(AND(X$3&lt;&gt;0,AA$3=0),Y26,AB26))))</f>
        <v>D</v>
      </c>
      <c r="AD26" s="105"/>
      <c r="AE26" s="107" t="str">
        <f t="shared" si="4"/>
        <v>D</v>
      </c>
      <c r="AF26" s="155" t="s">
        <v>18</v>
      </c>
      <c r="AG26" s="156">
        <v>6</v>
      </c>
      <c r="AH26" s="157"/>
      <c r="AI26" s="157">
        <v>5</v>
      </c>
      <c r="AJ26" s="157"/>
      <c r="AK26" s="157"/>
      <c r="AL26" s="157"/>
      <c r="AM26" s="157"/>
      <c r="AN26" s="157"/>
      <c r="AO26" s="157"/>
      <c r="AP26" s="158"/>
      <c r="AQ26" s="159">
        <v>4.5</v>
      </c>
      <c r="AR26" s="157"/>
      <c r="AS26" s="157"/>
      <c r="AT26" s="157"/>
      <c r="AU26" s="157"/>
      <c r="AV26" s="157"/>
      <c r="AW26" s="157"/>
      <c r="AX26" s="157"/>
      <c r="AY26" s="157"/>
      <c r="AZ26" s="160"/>
      <c r="BA26" s="117">
        <f t="shared" si="5"/>
        <v>11</v>
      </c>
      <c r="BB26" s="100">
        <f t="shared" si="6"/>
        <v>0.47826086956521741</v>
      </c>
      <c r="BC26" s="99" t="str">
        <f>IF(BA26="","",VLOOKUP(BB26,Table1[],2,TRUE))</f>
        <v>C-</v>
      </c>
      <c r="BD26" s="101">
        <f t="shared" si="7"/>
        <v>4.5</v>
      </c>
      <c r="BE26" s="102">
        <f t="shared" si="8"/>
        <v>0.33333333333333331</v>
      </c>
      <c r="BF26" s="103" t="str">
        <f>IF(BD26="","",VLOOKUP(BE26,Table1[],2,TRUE))</f>
        <v>D</v>
      </c>
      <c r="BG26" s="104" t="str">
        <f>IF(AND(BB26="",BE26=""),"",IF(OR(BB26="-",BE26="-"),"-",IF(AND(BB$3&lt;&gt;0,BE$3&lt;&gt;0),VLOOKUP(AVERAGE(BB26,BE26),Table1[],2,TRUE),IF(AND(BB$3&lt;&gt;0,BE$3=0),BC26,BF26))))</f>
        <v>D+</v>
      </c>
      <c r="BH26" s="105"/>
      <c r="BI26" s="107" t="str">
        <f t="shared" si="9"/>
        <v>D+</v>
      </c>
      <c r="BJ26" s="155" t="s">
        <v>18</v>
      </c>
    </row>
    <row r="27" spans="1:62" s="61" customFormat="1" x14ac:dyDescent="0.25">
      <c r="A27" s="26" t="str">
        <f>IF(ISBLANK(ClassInformation!C32),"ZZZZZ",ClassInformation!C32)</f>
        <v>Thangeswaran</v>
      </c>
      <c r="B27" s="18" t="str">
        <f>IF(ISBLANK(ClassInformation!D32),"ZZZZZ",ClassInformation!D32)</f>
        <v>Shesuthan</v>
      </c>
      <c r="C27" s="156">
        <v>6.5</v>
      </c>
      <c r="D27" s="157"/>
      <c r="E27" s="157">
        <v>2.5</v>
      </c>
      <c r="F27" s="157"/>
      <c r="G27" s="157">
        <v>5</v>
      </c>
      <c r="H27" s="157"/>
      <c r="I27" s="157">
        <v>4.5</v>
      </c>
      <c r="J27" s="157"/>
      <c r="K27" s="157">
        <v>3.5</v>
      </c>
      <c r="L27" s="158"/>
      <c r="M27" s="159"/>
      <c r="N27" s="157"/>
      <c r="O27" s="157"/>
      <c r="P27" s="157"/>
      <c r="Q27" s="157"/>
      <c r="R27" s="157"/>
      <c r="S27" s="157"/>
      <c r="T27" s="157"/>
      <c r="U27" s="157"/>
      <c r="V27" s="160"/>
      <c r="W27" s="117">
        <f t="shared" si="0"/>
        <v>22</v>
      </c>
      <c r="X27" s="100">
        <f t="shared" si="1"/>
        <v>0.73333333333333328</v>
      </c>
      <c r="Y27" s="99" t="str">
        <f>IF(W27="","",VLOOKUP(X27,Table1[],2,TRUE))</f>
        <v>B</v>
      </c>
      <c r="Z27" s="101" t="str">
        <f t="shared" si="2"/>
        <v/>
      </c>
      <c r="AA27" s="102" t="str">
        <f t="shared" si="3"/>
        <v/>
      </c>
      <c r="AB27" s="103" t="str">
        <f>IF(Z27="","",VLOOKUP(AA27,Table1[],2,TRUE))</f>
        <v/>
      </c>
      <c r="AC27" s="104" t="str">
        <f>IF(AND(X27="",AA27=""),"",IF(OR(X27="-",AA27="-"),"-",IF(AND(X$3&lt;&gt;0,AA$3&lt;&gt;0),VLOOKUP(AVERAGE(X27,AA27),Table1[],2,TRUE),IF(AND(X$3&lt;&gt;0,AA$3=0),Y27,AB27))))</f>
        <v>B</v>
      </c>
      <c r="AD27" s="105"/>
      <c r="AE27" s="107" t="str">
        <f t="shared" si="4"/>
        <v>B</v>
      </c>
      <c r="AF27" s="155" t="s">
        <v>18</v>
      </c>
      <c r="AG27" s="156">
        <v>6</v>
      </c>
      <c r="AH27" s="157"/>
      <c r="AI27" s="157">
        <v>4.5</v>
      </c>
      <c r="AJ27" s="157"/>
      <c r="AK27" s="157"/>
      <c r="AL27" s="157"/>
      <c r="AM27" s="157"/>
      <c r="AN27" s="157"/>
      <c r="AO27" s="157"/>
      <c r="AP27" s="158"/>
      <c r="AQ27" s="159">
        <v>8.5</v>
      </c>
      <c r="AR27" s="157"/>
      <c r="AS27" s="157"/>
      <c r="AT27" s="157"/>
      <c r="AU27" s="157"/>
      <c r="AV27" s="157"/>
      <c r="AW27" s="157"/>
      <c r="AX27" s="157"/>
      <c r="AY27" s="157"/>
      <c r="AZ27" s="160"/>
      <c r="BA27" s="117">
        <f t="shared" si="5"/>
        <v>10.5</v>
      </c>
      <c r="BB27" s="100">
        <f t="shared" si="6"/>
        <v>0.45652173913043476</v>
      </c>
      <c r="BC27" s="99" t="str">
        <f>IF(BA27="","",VLOOKUP(BB27,Table1[],2,TRUE))</f>
        <v>C-</v>
      </c>
      <c r="BD27" s="101">
        <f t="shared" si="7"/>
        <v>8.5</v>
      </c>
      <c r="BE27" s="102">
        <f t="shared" si="8"/>
        <v>0.62962962962962965</v>
      </c>
      <c r="BF27" s="103" t="str">
        <f>IF(BD27="","",VLOOKUP(BE27,Table1[],2,TRUE))</f>
        <v>C+</v>
      </c>
      <c r="BG27" s="104" t="str">
        <f>IF(AND(BB27="",BE27=""),"",IF(OR(BB27="-",BE27="-"),"-",IF(AND(BB$3&lt;&gt;0,BE$3&lt;&gt;0),VLOOKUP(AVERAGE(BB27,BE27),Table1[],2,TRUE),IF(AND(BB$3&lt;&gt;0,BE$3=0),BC27,BF27))))</f>
        <v>C</v>
      </c>
      <c r="BH27" s="105"/>
      <c r="BI27" s="107" t="str">
        <f t="shared" si="9"/>
        <v>C</v>
      </c>
      <c r="BJ27" s="155" t="s">
        <v>18</v>
      </c>
    </row>
    <row r="28" spans="1:62" s="61" customFormat="1" x14ac:dyDescent="0.25">
      <c r="A28" s="26" t="str">
        <f>IF(ISBLANK(ClassInformation!C33),"ZZZZZ",ClassInformation!C33)</f>
        <v>Thompson</v>
      </c>
      <c r="B28" s="18" t="str">
        <f>IF(ISBLANK(ClassInformation!D33),"ZZZZZ",ClassInformation!D33)</f>
        <v>Benjamin</v>
      </c>
      <c r="C28" s="156">
        <v>6</v>
      </c>
      <c r="D28" s="157"/>
      <c r="E28" s="157">
        <v>2</v>
      </c>
      <c r="F28" s="157"/>
      <c r="G28" s="157">
        <v>3</v>
      </c>
      <c r="H28" s="157"/>
      <c r="I28" s="157">
        <v>9</v>
      </c>
      <c r="J28" s="157"/>
      <c r="K28" s="157">
        <v>4.5</v>
      </c>
      <c r="L28" s="158"/>
      <c r="M28" s="159"/>
      <c r="N28" s="157"/>
      <c r="O28" s="157"/>
      <c r="P28" s="157"/>
      <c r="Q28" s="157"/>
      <c r="R28" s="157"/>
      <c r="S28" s="157"/>
      <c r="T28" s="157"/>
      <c r="U28" s="157"/>
      <c r="V28" s="160"/>
      <c r="W28" s="117">
        <f t="shared" si="0"/>
        <v>24.5</v>
      </c>
      <c r="X28" s="100">
        <f t="shared" si="1"/>
        <v>0.81666666666666665</v>
      </c>
      <c r="Y28" s="99" t="str">
        <f>IF(W28="","",VLOOKUP(X28,Table1[],2,TRUE))</f>
        <v>A-</v>
      </c>
      <c r="Z28" s="101" t="str">
        <f t="shared" si="2"/>
        <v/>
      </c>
      <c r="AA28" s="102" t="str">
        <f t="shared" si="3"/>
        <v/>
      </c>
      <c r="AB28" s="103" t="str">
        <f>IF(Z28="","",VLOOKUP(AA28,Table1[],2,TRUE))</f>
        <v/>
      </c>
      <c r="AC28" s="104" t="str">
        <f>IF(AND(X28="",AA28=""),"",IF(OR(X28="-",AA28="-"),"-",IF(AND(X$3&lt;&gt;0,AA$3&lt;&gt;0),VLOOKUP(AVERAGE(X28,AA28),Table1[],2,TRUE),IF(AND(X$3&lt;&gt;0,AA$3=0),Y28,AB28))))</f>
        <v>A-</v>
      </c>
      <c r="AD28" s="105"/>
      <c r="AE28" s="107" t="str">
        <f t="shared" si="4"/>
        <v>A-</v>
      </c>
      <c r="AF28" s="155" t="s">
        <v>18</v>
      </c>
      <c r="AG28" s="156">
        <v>12</v>
      </c>
      <c r="AH28" s="157"/>
      <c r="AI28" s="157">
        <v>6.5</v>
      </c>
      <c r="AJ28" s="157"/>
      <c r="AK28" s="157"/>
      <c r="AL28" s="157"/>
      <c r="AM28" s="157"/>
      <c r="AN28" s="157"/>
      <c r="AO28" s="157"/>
      <c r="AP28" s="158"/>
      <c r="AQ28" s="159">
        <v>10.5</v>
      </c>
      <c r="AR28" s="157"/>
      <c r="AS28" s="157"/>
      <c r="AT28" s="157"/>
      <c r="AU28" s="157"/>
      <c r="AV28" s="157"/>
      <c r="AW28" s="157"/>
      <c r="AX28" s="157"/>
      <c r="AY28" s="157"/>
      <c r="AZ28" s="160"/>
      <c r="BA28" s="117">
        <f t="shared" si="5"/>
        <v>18.5</v>
      </c>
      <c r="BB28" s="100">
        <f t="shared" si="6"/>
        <v>0.80434782608695654</v>
      </c>
      <c r="BC28" s="99" t="str">
        <f>IF(BA28="","",VLOOKUP(BB28,Table1[],2,TRUE))</f>
        <v>A-</v>
      </c>
      <c r="BD28" s="101">
        <f t="shared" si="7"/>
        <v>10.5</v>
      </c>
      <c r="BE28" s="102">
        <f t="shared" si="8"/>
        <v>0.77777777777777779</v>
      </c>
      <c r="BF28" s="103" t="str">
        <f>IF(BD28="","",VLOOKUP(BE28,Table1[],2,TRUE))</f>
        <v>B+</v>
      </c>
      <c r="BG28" s="104" t="str">
        <f>IF(AND(BB28="",BE28=""),"",IF(OR(BB28="-",BE28="-"),"-",IF(AND(BB$3&lt;&gt;0,BE$3&lt;&gt;0),VLOOKUP(AVERAGE(BB28,BE28),Table1[],2,TRUE),IF(AND(BB$3&lt;&gt;0,BE$3=0),BC28,BF28))))</f>
        <v>B+</v>
      </c>
      <c r="BH28" s="105"/>
      <c r="BI28" s="107" t="str">
        <f t="shared" si="9"/>
        <v>B+</v>
      </c>
      <c r="BJ28" s="155" t="s">
        <v>18</v>
      </c>
    </row>
    <row r="29" spans="1:62" s="61" customFormat="1" x14ac:dyDescent="0.25">
      <c r="A29" s="26" t="str">
        <f>IF(ISBLANK(ClassInformation!C34),"ZZZZZ",ClassInformation!C34)</f>
        <v>Yakimoff-Minge</v>
      </c>
      <c r="B29" s="18" t="str">
        <f>IF(ISBLANK(ClassInformation!D34),"ZZZZZ",ClassInformation!D34)</f>
        <v>Lliam</v>
      </c>
      <c r="C29" s="156"/>
      <c r="D29" s="157"/>
      <c r="E29" s="157"/>
      <c r="F29" s="157"/>
      <c r="G29" s="157"/>
      <c r="H29" s="157"/>
      <c r="I29" s="157"/>
      <c r="J29" s="157"/>
      <c r="K29" s="157"/>
      <c r="L29" s="158"/>
      <c r="M29" s="159"/>
      <c r="N29" s="157"/>
      <c r="O29" s="157"/>
      <c r="P29" s="157"/>
      <c r="Q29" s="157"/>
      <c r="R29" s="157"/>
      <c r="S29" s="157"/>
      <c r="T29" s="157"/>
      <c r="U29" s="157"/>
      <c r="V29" s="160"/>
      <c r="W29" s="117" t="str">
        <f t="shared" si="0"/>
        <v/>
      </c>
      <c r="X29" s="100" t="str">
        <f t="shared" si="1"/>
        <v/>
      </c>
      <c r="Y29" s="99" t="str">
        <f>IF(W29="","",VLOOKUP(X29,Table1[],2,TRUE))</f>
        <v/>
      </c>
      <c r="Z29" s="101" t="str">
        <f t="shared" si="2"/>
        <v/>
      </c>
      <c r="AA29" s="102" t="str">
        <f t="shared" si="3"/>
        <v/>
      </c>
      <c r="AB29" s="103" t="str">
        <f>IF(Z29="","",VLOOKUP(AA29,Table1[],2,TRUE))</f>
        <v/>
      </c>
      <c r="AC29" s="104" t="str">
        <f>IF(AND(X29="",AA29=""),"",IF(OR(X29="-",AA29="-"),"-",IF(AND(X$3&lt;&gt;0,AA$3&lt;&gt;0),VLOOKUP(AVERAGE(X29,AA29),Table1[],2,TRUE),IF(AND(X$3&lt;&gt;0,AA$3=0),Y29,AB29))))</f>
        <v/>
      </c>
      <c r="AD29" s="105"/>
      <c r="AE29" s="107" t="str">
        <f t="shared" si="4"/>
        <v/>
      </c>
      <c r="AF29" s="155" t="s">
        <v>18</v>
      </c>
      <c r="AG29" s="156"/>
      <c r="AH29" s="157"/>
      <c r="AI29" s="157"/>
      <c r="AJ29" s="157"/>
      <c r="AK29" s="157"/>
      <c r="AL29" s="157"/>
      <c r="AM29" s="157"/>
      <c r="AN29" s="157"/>
      <c r="AO29" s="157"/>
      <c r="AP29" s="158"/>
      <c r="AQ29" s="159"/>
      <c r="AR29" s="157"/>
      <c r="AS29" s="157"/>
      <c r="AT29" s="157"/>
      <c r="AU29" s="157"/>
      <c r="AV29" s="157"/>
      <c r="AW29" s="157"/>
      <c r="AX29" s="157"/>
      <c r="AY29" s="157"/>
      <c r="AZ29" s="160"/>
      <c r="BA29" s="117" t="str">
        <f t="shared" si="5"/>
        <v/>
      </c>
      <c r="BB29" s="100" t="str">
        <f t="shared" si="6"/>
        <v/>
      </c>
      <c r="BC29" s="99" t="str">
        <f>IF(BA29="","",VLOOKUP(BB29,Table1[],2,TRUE))</f>
        <v/>
      </c>
      <c r="BD29" s="101" t="str">
        <f t="shared" si="7"/>
        <v/>
      </c>
      <c r="BE29" s="102" t="str">
        <f t="shared" si="8"/>
        <v/>
      </c>
      <c r="BF29" s="103" t="str">
        <f>IF(BD29="","",VLOOKUP(BE29,Table1[],2,TRUE))</f>
        <v/>
      </c>
      <c r="BG29" s="104" t="str">
        <f>IF(AND(BB29="",BE29=""),"",IF(OR(BB29="-",BE29="-"),"-",IF(AND(BB$3&lt;&gt;0,BE$3&lt;&gt;0),VLOOKUP(AVERAGE(BB29,BE29),Table1[],2,TRUE),IF(AND(BB$3&lt;&gt;0,BE$3=0),BC29,BF29))))</f>
        <v/>
      </c>
      <c r="BH29" s="105"/>
      <c r="BI29" s="107" t="str">
        <f t="shared" si="9"/>
        <v/>
      </c>
      <c r="BJ29" s="155" t="s">
        <v>18</v>
      </c>
    </row>
    <row r="30" spans="1:62" s="61" customFormat="1" x14ac:dyDescent="0.25">
      <c r="A30" s="26" t="str">
        <f>IF(ISBLANK(ClassInformation!C35),"ZZZZZ",ClassInformation!C35)</f>
        <v>ZZZZZ</v>
      </c>
      <c r="B30" s="18" t="str">
        <f>IF(ISBLANK(ClassInformation!D35),"ZZZZZ",ClassInformation!D35)</f>
        <v>ZZZZZ</v>
      </c>
      <c r="C30" s="156"/>
      <c r="D30" s="157"/>
      <c r="E30" s="157"/>
      <c r="F30" s="157"/>
      <c r="G30" s="157"/>
      <c r="H30" s="157"/>
      <c r="I30" s="157"/>
      <c r="J30" s="157"/>
      <c r="K30" s="157"/>
      <c r="L30" s="158"/>
      <c r="M30" s="159"/>
      <c r="N30" s="157"/>
      <c r="O30" s="157"/>
      <c r="P30" s="157"/>
      <c r="Q30" s="157"/>
      <c r="R30" s="157"/>
      <c r="S30" s="157"/>
      <c r="T30" s="157"/>
      <c r="U30" s="157"/>
      <c r="V30" s="160"/>
      <c r="W30" s="117" t="str">
        <f t="shared" si="0"/>
        <v/>
      </c>
      <c r="X30" s="100" t="str">
        <f t="shared" si="1"/>
        <v/>
      </c>
      <c r="Y30" s="99" t="str">
        <f>IF(W30="","",VLOOKUP(X30,Table1[],2,TRUE))</f>
        <v/>
      </c>
      <c r="Z30" s="101" t="str">
        <f t="shared" si="2"/>
        <v/>
      </c>
      <c r="AA30" s="102" t="str">
        <f t="shared" si="3"/>
        <v/>
      </c>
      <c r="AB30" s="103" t="str">
        <f>IF(Z30="","",VLOOKUP(AA30,Table1[],2,TRUE))</f>
        <v/>
      </c>
      <c r="AC30" s="104" t="str">
        <f>IF(AND(X30="",AA30=""),"",IF(OR(X30="-",AA30="-"),"-",IF(AND(X$3&lt;&gt;0,AA$3&lt;&gt;0),VLOOKUP(AVERAGE(X30,AA30),Table1[],2,TRUE),IF(AND(X$3&lt;&gt;0,AA$3=0),Y30,AB30))))</f>
        <v/>
      </c>
      <c r="AD30" s="105"/>
      <c r="AE30" s="107" t="str">
        <f t="shared" si="4"/>
        <v/>
      </c>
      <c r="AF30" s="155" t="s">
        <v>18</v>
      </c>
      <c r="AG30" s="156"/>
      <c r="AH30" s="157"/>
      <c r="AI30" s="157"/>
      <c r="AJ30" s="157"/>
      <c r="AK30" s="157"/>
      <c r="AL30" s="157"/>
      <c r="AM30" s="157"/>
      <c r="AN30" s="157"/>
      <c r="AO30" s="157"/>
      <c r="AP30" s="158"/>
      <c r="AQ30" s="159"/>
      <c r="AR30" s="157"/>
      <c r="AS30" s="157"/>
      <c r="AT30" s="157"/>
      <c r="AU30" s="157"/>
      <c r="AV30" s="157"/>
      <c r="AW30" s="157"/>
      <c r="AX30" s="157"/>
      <c r="AY30" s="157"/>
      <c r="AZ30" s="160"/>
      <c r="BA30" s="117" t="str">
        <f t="shared" si="5"/>
        <v/>
      </c>
      <c r="BB30" s="100" t="str">
        <f t="shared" si="6"/>
        <v/>
      </c>
      <c r="BC30" s="99" t="str">
        <f>IF(BA30="","",VLOOKUP(BB30,Table1[],2,TRUE))</f>
        <v/>
      </c>
      <c r="BD30" s="101" t="str">
        <f t="shared" si="7"/>
        <v/>
      </c>
      <c r="BE30" s="102" t="str">
        <f t="shared" si="8"/>
        <v/>
      </c>
      <c r="BF30" s="103" t="str">
        <f>IF(BD30="","",VLOOKUP(BE30,Table1[],2,TRUE))</f>
        <v/>
      </c>
      <c r="BG30" s="104" t="str">
        <f>IF(AND(BB30="",BE30=""),"",IF(OR(BB30="-",BE30="-"),"-",IF(AND(BB$3&lt;&gt;0,BE$3&lt;&gt;0),VLOOKUP(AVERAGE(BB30,BE30),Table1[],2,TRUE),IF(AND(BB$3&lt;&gt;0,BE$3=0),BC30,BF30))))</f>
        <v/>
      </c>
      <c r="BH30" s="105"/>
      <c r="BI30" s="107" t="str">
        <f t="shared" si="9"/>
        <v/>
      </c>
      <c r="BJ30" s="155" t="s">
        <v>18</v>
      </c>
    </row>
    <row r="31" spans="1:62" s="61" customFormat="1" x14ac:dyDescent="0.25">
      <c r="A31" s="26" t="str">
        <f>IF(ISBLANK(ClassInformation!C36),"ZZZZZ",ClassInformation!C36)</f>
        <v>ZZZZZ</v>
      </c>
      <c r="B31" s="18" t="str">
        <f>IF(ISBLANK(ClassInformation!D36),"ZZZZZ",ClassInformation!D36)</f>
        <v>ZZZZZ</v>
      </c>
      <c r="C31" s="156"/>
      <c r="D31" s="157"/>
      <c r="E31" s="157"/>
      <c r="F31" s="157"/>
      <c r="G31" s="157"/>
      <c r="H31" s="157"/>
      <c r="I31" s="157"/>
      <c r="J31" s="157"/>
      <c r="K31" s="157"/>
      <c r="L31" s="158"/>
      <c r="M31" s="159"/>
      <c r="N31" s="157"/>
      <c r="O31" s="157"/>
      <c r="P31" s="157"/>
      <c r="Q31" s="157"/>
      <c r="R31" s="157"/>
      <c r="S31" s="157"/>
      <c r="T31" s="157"/>
      <c r="U31" s="157"/>
      <c r="V31" s="160"/>
      <c r="W31" s="117" t="str">
        <f t="shared" si="0"/>
        <v/>
      </c>
      <c r="X31" s="100" t="str">
        <f t="shared" si="1"/>
        <v/>
      </c>
      <c r="Y31" s="99" t="str">
        <f>IF(W31="","",VLOOKUP(X31,Table1[],2,TRUE))</f>
        <v/>
      </c>
      <c r="Z31" s="101" t="str">
        <f t="shared" si="2"/>
        <v/>
      </c>
      <c r="AA31" s="102" t="str">
        <f t="shared" si="3"/>
        <v/>
      </c>
      <c r="AB31" s="103" t="str">
        <f>IF(Z31="","",VLOOKUP(AA31,Table1[],2,TRUE))</f>
        <v/>
      </c>
      <c r="AC31" s="104" t="str">
        <f>IF(AND(X31="",AA31=""),"",IF(OR(X31="-",AA31="-"),"-",IF(AND(X$3&lt;&gt;0,AA$3&lt;&gt;0),VLOOKUP(AVERAGE(X31,AA31),Table1[],2,TRUE),IF(AND(X$3&lt;&gt;0,AA$3=0),Y31,AB31))))</f>
        <v/>
      </c>
      <c r="AD31" s="105"/>
      <c r="AE31" s="107" t="str">
        <f t="shared" si="4"/>
        <v/>
      </c>
      <c r="AF31" s="155" t="s">
        <v>18</v>
      </c>
      <c r="AG31" s="156"/>
      <c r="AH31" s="157"/>
      <c r="AI31" s="157"/>
      <c r="AJ31" s="157"/>
      <c r="AK31" s="157"/>
      <c r="AL31" s="157"/>
      <c r="AM31" s="157"/>
      <c r="AN31" s="157"/>
      <c r="AO31" s="157"/>
      <c r="AP31" s="158"/>
      <c r="AQ31" s="159"/>
      <c r="AR31" s="157"/>
      <c r="AS31" s="157"/>
      <c r="AT31" s="157"/>
      <c r="AU31" s="157"/>
      <c r="AV31" s="157"/>
      <c r="AW31" s="157"/>
      <c r="AX31" s="157"/>
      <c r="AY31" s="157"/>
      <c r="AZ31" s="160"/>
      <c r="BA31" s="117" t="str">
        <f t="shared" si="5"/>
        <v/>
      </c>
      <c r="BB31" s="100" t="str">
        <f t="shared" si="6"/>
        <v/>
      </c>
      <c r="BC31" s="99" t="str">
        <f>IF(BA31="","",VLOOKUP(BB31,Table1[],2,TRUE))</f>
        <v/>
      </c>
      <c r="BD31" s="101" t="str">
        <f t="shared" si="7"/>
        <v/>
      </c>
      <c r="BE31" s="102" t="str">
        <f t="shared" si="8"/>
        <v/>
      </c>
      <c r="BF31" s="103" t="str">
        <f>IF(BD31="","",VLOOKUP(BE31,Table1[],2,TRUE))</f>
        <v/>
      </c>
      <c r="BG31" s="104" t="str">
        <f>IF(AND(BB31="",BE31=""),"",IF(OR(BB31="-",BE31="-"),"-",IF(AND(BB$3&lt;&gt;0,BE$3&lt;&gt;0),VLOOKUP(AVERAGE(BB31,BE31),Table1[],2,TRUE),IF(AND(BB$3&lt;&gt;0,BE$3=0),BC31,BF31))))</f>
        <v/>
      </c>
      <c r="BH31" s="105"/>
      <c r="BI31" s="107" t="str">
        <f t="shared" si="9"/>
        <v/>
      </c>
      <c r="BJ31" s="155" t="s">
        <v>18</v>
      </c>
    </row>
    <row r="32" spans="1:62" s="61" customFormat="1" x14ac:dyDescent="0.25">
      <c r="A32" s="26" t="str">
        <f>IF(ISBLANK(ClassInformation!C37),"ZZZZZ",ClassInformation!C37)</f>
        <v>ZZZZZ</v>
      </c>
      <c r="B32" s="18" t="str">
        <f>IF(ISBLANK(ClassInformation!D37),"ZZZZZ",ClassInformation!D37)</f>
        <v>ZZZZZ</v>
      </c>
      <c r="C32" s="156"/>
      <c r="D32" s="157"/>
      <c r="E32" s="157"/>
      <c r="F32" s="157"/>
      <c r="G32" s="157"/>
      <c r="H32" s="157"/>
      <c r="I32" s="157"/>
      <c r="J32" s="157"/>
      <c r="K32" s="157"/>
      <c r="L32" s="158"/>
      <c r="M32" s="159"/>
      <c r="N32" s="157"/>
      <c r="O32" s="157"/>
      <c r="P32" s="157"/>
      <c r="Q32" s="157"/>
      <c r="R32" s="157"/>
      <c r="S32" s="157"/>
      <c r="T32" s="157"/>
      <c r="U32" s="157"/>
      <c r="V32" s="160"/>
      <c r="W32" s="117" t="str">
        <f t="shared" si="0"/>
        <v/>
      </c>
      <c r="X32" s="100" t="str">
        <f t="shared" si="1"/>
        <v/>
      </c>
      <c r="Y32" s="99" t="str">
        <f>IF(W32="","",VLOOKUP(X32,Table1[],2,TRUE))</f>
        <v/>
      </c>
      <c r="Z32" s="101" t="str">
        <f t="shared" si="2"/>
        <v/>
      </c>
      <c r="AA32" s="102" t="str">
        <f t="shared" si="3"/>
        <v/>
      </c>
      <c r="AB32" s="103" t="str">
        <f>IF(Z32="","",VLOOKUP(AA32,Table1[],2,TRUE))</f>
        <v/>
      </c>
      <c r="AC32" s="104" t="str">
        <f>IF(AND(X32="",AA32=""),"",IF(OR(X32="-",AA32="-"),"-",IF(AND(X$3&lt;&gt;0,AA$3&lt;&gt;0),VLOOKUP(AVERAGE(X32,AA32),Table1[],2,TRUE),IF(AND(X$3&lt;&gt;0,AA$3=0),Y32,AB32))))</f>
        <v/>
      </c>
      <c r="AD32" s="105"/>
      <c r="AE32" s="107" t="str">
        <f t="shared" si="4"/>
        <v/>
      </c>
      <c r="AF32" s="155" t="s">
        <v>18</v>
      </c>
      <c r="AG32" s="156"/>
      <c r="AH32" s="157"/>
      <c r="AI32" s="157"/>
      <c r="AJ32" s="157"/>
      <c r="AK32" s="157"/>
      <c r="AL32" s="157"/>
      <c r="AM32" s="157"/>
      <c r="AN32" s="157"/>
      <c r="AO32" s="157"/>
      <c r="AP32" s="158"/>
      <c r="AQ32" s="159"/>
      <c r="AR32" s="157"/>
      <c r="AS32" s="157"/>
      <c r="AT32" s="157"/>
      <c r="AU32" s="157"/>
      <c r="AV32" s="157"/>
      <c r="AW32" s="157"/>
      <c r="AX32" s="157"/>
      <c r="AY32" s="157"/>
      <c r="AZ32" s="160"/>
      <c r="BA32" s="117" t="str">
        <f t="shared" si="5"/>
        <v/>
      </c>
      <c r="BB32" s="100" t="str">
        <f t="shared" si="6"/>
        <v/>
      </c>
      <c r="BC32" s="99" t="str">
        <f>IF(BA32="","",VLOOKUP(BB32,Table1[],2,TRUE))</f>
        <v/>
      </c>
      <c r="BD32" s="101" t="str">
        <f t="shared" si="7"/>
        <v/>
      </c>
      <c r="BE32" s="102" t="str">
        <f t="shared" si="8"/>
        <v/>
      </c>
      <c r="BF32" s="103" t="str">
        <f>IF(BD32="","",VLOOKUP(BE32,Table1[],2,TRUE))</f>
        <v/>
      </c>
      <c r="BG32" s="104" t="str">
        <f>IF(AND(BB32="",BE32=""),"",IF(OR(BB32="-",BE32="-"),"-",IF(AND(BB$3&lt;&gt;0,BE$3&lt;&gt;0),VLOOKUP(AVERAGE(BB32,BE32),Table1[],2,TRUE),IF(AND(BB$3&lt;&gt;0,BE$3=0),BC32,BF32))))</f>
        <v/>
      </c>
      <c r="BH32" s="105"/>
      <c r="BI32" s="107" t="str">
        <f t="shared" si="9"/>
        <v/>
      </c>
      <c r="BJ32" s="155" t="s">
        <v>18</v>
      </c>
    </row>
    <row r="33" spans="1:62" s="61" customFormat="1" x14ac:dyDescent="0.25">
      <c r="A33" s="26" t="str">
        <f>IF(ISBLANK(ClassInformation!C38),"ZZZZZ",ClassInformation!C38)</f>
        <v>ZZZZZ</v>
      </c>
      <c r="B33" s="18" t="str">
        <f>IF(ISBLANK(ClassInformation!D38),"ZZZZZ",ClassInformation!D38)</f>
        <v>ZZZZZ</v>
      </c>
      <c r="C33" s="156"/>
      <c r="D33" s="157"/>
      <c r="E33" s="157"/>
      <c r="F33" s="157"/>
      <c r="G33" s="157"/>
      <c r="H33" s="157"/>
      <c r="I33" s="157"/>
      <c r="J33" s="157"/>
      <c r="K33" s="157"/>
      <c r="L33" s="158"/>
      <c r="M33" s="159"/>
      <c r="N33" s="157"/>
      <c r="O33" s="157"/>
      <c r="P33" s="157"/>
      <c r="Q33" s="157"/>
      <c r="R33" s="157"/>
      <c r="S33" s="157"/>
      <c r="T33" s="157"/>
      <c r="U33" s="157"/>
      <c r="V33" s="160"/>
      <c r="W33" s="117" t="str">
        <f t="shared" si="0"/>
        <v/>
      </c>
      <c r="X33" s="100" t="str">
        <f t="shared" si="1"/>
        <v/>
      </c>
      <c r="Y33" s="99" t="str">
        <f>IF(W33="","",VLOOKUP(X33,Table1[],2,TRUE))</f>
        <v/>
      </c>
      <c r="Z33" s="101" t="str">
        <f t="shared" si="2"/>
        <v/>
      </c>
      <c r="AA33" s="102" t="str">
        <f t="shared" si="3"/>
        <v/>
      </c>
      <c r="AB33" s="103" t="str">
        <f>IF(Z33="","",VLOOKUP(AA33,Table1[],2,TRUE))</f>
        <v/>
      </c>
      <c r="AC33" s="104" t="str">
        <f>IF(AND(X33="",AA33=""),"",IF(OR(X33="-",AA33="-"),"-",IF(AND(X$3&lt;&gt;0,AA$3&lt;&gt;0),VLOOKUP(AVERAGE(X33,AA33),Table1[],2,TRUE),IF(AND(X$3&lt;&gt;0,AA$3=0),Y33,AB33))))</f>
        <v/>
      </c>
      <c r="AD33" s="105"/>
      <c r="AE33" s="107" t="str">
        <f t="shared" si="4"/>
        <v/>
      </c>
      <c r="AF33" s="155" t="s">
        <v>18</v>
      </c>
      <c r="AG33" s="156"/>
      <c r="AH33" s="157"/>
      <c r="AI33" s="157"/>
      <c r="AJ33" s="157"/>
      <c r="AK33" s="157"/>
      <c r="AL33" s="157"/>
      <c r="AM33" s="157"/>
      <c r="AN33" s="157"/>
      <c r="AO33" s="157"/>
      <c r="AP33" s="158"/>
      <c r="AQ33" s="159"/>
      <c r="AR33" s="157"/>
      <c r="AS33" s="157"/>
      <c r="AT33" s="157"/>
      <c r="AU33" s="157"/>
      <c r="AV33" s="157"/>
      <c r="AW33" s="157"/>
      <c r="AX33" s="157"/>
      <c r="AY33" s="157"/>
      <c r="AZ33" s="160"/>
      <c r="BA33" s="117" t="str">
        <f t="shared" si="5"/>
        <v/>
      </c>
      <c r="BB33" s="100" t="str">
        <f t="shared" si="6"/>
        <v/>
      </c>
      <c r="BC33" s="99" t="str">
        <f>IF(BA33="","",VLOOKUP(BB33,Table1[],2,TRUE))</f>
        <v/>
      </c>
      <c r="BD33" s="101" t="str">
        <f t="shared" si="7"/>
        <v/>
      </c>
      <c r="BE33" s="102" t="str">
        <f t="shared" si="8"/>
        <v/>
      </c>
      <c r="BF33" s="103" t="str">
        <f>IF(BD33="","",VLOOKUP(BE33,Table1[],2,TRUE))</f>
        <v/>
      </c>
      <c r="BG33" s="104" t="str">
        <f>IF(AND(BB33="",BE33=""),"",IF(OR(BB33="-",BE33="-"),"-",IF(AND(BB$3&lt;&gt;0,BE$3&lt;&gt;0),VLOOKUP(AVERAGE(BB33,BE33),Table1[],2,TRUE),IF(AND(BB$3&lt;&gt;0,BE$3=0),BC33,BF33))))</f>
        <v/>
      </c>
      <c r="BH33" s="105"/>
      <c r="BI33" s="107" t="str">
        <f t="shared" si="9"/>
        <v/>
      </c>
      <c r="BJ33" s="155" t="s">
        <v>18</v>
      </c>
    </row>
    <row r="34" spans="1:62" s="61" customFormat="1" x14ac:dyDescent="0.25">
      <c r="A34" s="26" t="str">
        <f>IF(ISBLANK(ClassInformation!C39),"ZZZZZ",ClassInformation!C39)</f>
        <v>ZZZZZ</v>
      </c>
      <c r="B34" s="18" t="str">
        <f>IF(ISBLANK(ClassInformation!D39),"ZZZZZ",ClassInformation!D39)</f>
        <v>ZZZZZ</v>
      </c>
      <c r="C34" s="156"/>
      <c r="D34" s="157"/>
      <c r="E34" s="157"/>
      <c r="F34" s="157"/>
      <c r="G34" s="157"/>
      <c r="H34" s="157"/>
      <c r="I34" s="157"/>
      <c r="J34" s="157"/>
      <c r="K34" s="157"/>
      <c r="L34" s="158"/>
      <c r="M34" s="159"/>
      <c r="N34" s="157"/>
      <c r="O34" s="157"/>
      <c r="P34" s="157"/>
      <c r="Q34" s="157"/>
      <c r="R34" s="157"/>
      <c r="S34" s="157"/>
      <c r="T34" s="157"/>
      <c r="U34" s="157"/>
      <c r="V34" s="160"/>
      <c r="W34" s="117" t="str">
        <f t="shared" si="0"/>
        <v/>
      </c>
      <c r="X34" s="100" t="str">
        <f t="shared" si="1"/>
        <v/>
      </c>
      <c r="Y34" s="99" t="str">
        <f>IF(W34="","",VLOOKUP(X34,Table1[],2,TRUE))</f>
        <v/>
      </c>
      <c r="Z34" s="101" t="str">
        <f t="shared" si="2"/>
        <v/>
      </c>
      <c r="AA34" s="102" t="str">
        <f t="shared" si="3"/>
        <v/>
      </c>
      <c r="AB34" s="103" t="str">
        <f>IF(Z34="","",VLOOKUP(AA34,Table1[],2,TRUE))</f>
        <v/>
      </c>
      <c r="AC34" s="104" t="str">
        <f>IF(AND(X34="",AA34=""),"",IF(OR(X34="-",AA34="-"),"-",IF(AND(X$3&lt;&gt;0,AA$3&lt;&gt;0),VLOOKUP(AVERAGE(X34,AA34),Table1[],2,TRUE),IF(AND(X$3&lt;&gt;0,AA$3=0),Y34,AB34))))</f>
        <v/>
      </c>
      <c r="AD34" s="105"/>
      <c r="AE34" s="107" t="str">
        <f t="shared" si="4"/>
        <v/>
      </c>
      <c r="AF34" s="155" t="s">
        <v>18</v>
      </c>
      <c r="AG34" s="156"/>
      <c r="AH34" s="157"/>
      <c r="AI34" s="157"/>
      <c r="AJ34" s="157"/>
      <c r="AK34" s="157"/>
      <c r="AL34" s="157"/>
      <c r="AM34" s="157"/>
      <c r="AN34" s="157"/>
      <c r="AO34" s="157"/>
      <c r="AP34" s="158"/>
      <c r="AQ34" s="159"/>
      <c r="AR34" s="157"/>
      <c r="AS34" s="157"/>
      <c r="AT34" s="157"/>
      <c r="AU34" s="157"/>
      <c r="AV34" s="157"/>
      <c r="AW34" s="157"/>
      <c r="AX34" s="157"/>
      <c r="AY34" s="157"/>
      <c r="AZ34" s="160"/>
      <c r="BA34" s="117" t="str">
        <f t="shared" si="5"/>
        <v/>
      </c>
      <c r="BB34" s="100" t="str">
        <f t="shared" si="6"/>
        <v/>
      </c>
      <c r="BC34" s="99" t="str">
        <f>IF(BA34="","",VLOOKUP(BB34,Table1[],2,TRUE))</f>
        <v/>
      </c>
      <c r="BD34" s="101" t="str">
        <f t="shared" si="7"/>
        <v/>
      </c>
      <c r="BE34" s="102" t="str">
        <f t="shared" si="8"/>
        <v/>
      </c>
      <c r="BF34" s="103" t="str">
        <f>IF(BD34="","",VLOOKUP(BE34,Table1[],2,TRUE))</f>
        <v/>
      </c>
      <c r="BG34" s="104" t="str">
        <f>IF(AND(BB34="",BE34=""),"",IF(OR(BB34="-",BE34="-"),"-",IF(AND(BB$3&lt;&gt;0,BE$3&lt;&gt;0),VLOOKUP(AVERAGE(BB34,BE34),Table1[],2,TRUE),IF(AND(BB$3&lt;&gt;0,BE$3=0),BC34,BF34))))</f>
        <v/>
      </c>
      <c r="BH34" s="105"/>
      <c r="BI34" s="107" t="str">
        <f t="shared" si="9"/>
        <v/>
      </c>
      <c r="BJ34" s="155" t="s">
        <v>18</v>
      </c>
    </row>
    <row r="35" spans="1:62" s="61" customFormat="1" x14ac:dyDescent="0.25">
      <c r="A35" s="26" t="str">
        <f>IF(ISBLANK(ClassInformation!C40),"ZZZZZ",ClassInformation!C40)</f>
        <v>ZZZZZ</v>
      </c>
      <c r="B35" s="18" t="str">
        <f>IF(ISBLANK(ClassInformation!D40),"ZZZZZ",ClassInformation!D40)</f>
        <v>ZZZZZ</v>
      </c>
      <c r="C35" s="156"/>
      <c r="D35" s="157"/>
      <c r="E35" s="157"/>
      <c r="F35" s="157"/>
      <c r="G35" s="157"/>
      <c r="H35" s="157"/>
      <c r="I35" s="157"/>
      <c r="J35" s="157"/>
      <c r="K35" s="157"/>
      <c r="L35" s="158"/>
      <c r="M35" s="159"/>
      <c r="N35" s="157"/>
      <c r="O35" s="157"/>
      <c r="P35" s="157"/>
      <c r="Q35" s="157"/>
      <c r="R35" s="157"/>
      <c r="S35" s="157"/>
      <c r="T35" s="157"/>
      <c r="U35" s="157"/>
      <c r="V35" s="160"/>
      <c r="W35" s="117" t="str">
        <f t="shared" si="0"/>
        <v/>
      </c>
      <c r="X35" s="100" t="str">
        <f t="shared" si="1"/>
        <v/>
      </c>
      <c r="Y35" s="99" t="str">
        <f>IF(W35="","",VLOOKUP(X35,Table1[],2,TRUE))</f>
        <v/>
      </c>
      <c r="Z35" s="101" t="str">
        <f t="shared" si="2"/>
        <v/>
      </c>
      <c r="AA35" s="102" t="str">
        <f t="shared" si="3"/>
        <v/>
      </c>
      <c r="AB35" s="103" t="str">
        <f>IF(Z35="","",VLOOKUP(AA35,Table1[],2,TRUE))</f>
        <v/>
      </c>
      <c r="AC35" s="104" t="str">
        <f>IF(AND(X35="",AA35=""),"",IF(OR(X35="-",AA35="-"),"-",IF(AND(X$3&lt;&gt;0,AA$3&lt;&gt;0),VLOOKUP(AVERAGE(X35,AA35),Table1[],2,TRUE),IF(AND(X$3&lt;&gt;0,AA$3=0),Y35,AB35))))</f>
        <v/>
      </c>
      <c r="AD35" s="105"/>
      <c r="AE35" s="107" t="str">
        <f t="shared" si="4"/>
        <v/>
      </c>
      <c r="AF35" s="155" t="s">
        <v>18</v>
      </c>
      <c r="AG35" s="156"/>
      <c r="AH35" s="157"/>
      <c r="AI35" s="157"/>
      <c r="AJ35" s="157"/>
      <c r="AK35" s="157"/>
      <c r="AL35" s="157"/>
      <c r="AM35" s="157"/>
      <c r="AN35" s="157"/>
      <c r="AO35" s="157"/>
      <c r="AP35" s="158"/>
      <c r="AQ35" s="159"/>
      <c r="AR35" s="157"/>
      <c r="AS35" s="157"/>
      <c r="AT35" s="157"/>
      <c r="AU35" s="157"/>
      <c r="AV35" s="157"/>
      <c r="AW35" s="157"/>
      <c r="AX35" s="157"/>
      <c r="AY35" s="157"/>
      <c r="AZ35" s="160"/>
      <c r="BA35" s="117" t="str">
        <f t="shared" si="5"/>
        <v/>
      </c>
      <c r="BB35" s="100" t="str">
        <f t="shared" si="6"/>
        <v/>
      </c>
      <c r="BC35" s="99" t="str">
        <f>IF(BA35="","",VLOOKUP(BB35,Table1[],2,TRUE))</f>
        <v/>
      </c>
      <c r="BD35" s="101" t="str">
        <f t="shared" si="7"/>
        <v/>
      </c>
      <c r="BE35" s="102" t="str">
        <f t="shared" si="8"/>
        <v/>
      </c>
      <c r="BF35" s="103" t="str">
        <f>IF(BD35="","",VLOOKUP(BE35,Table1[],2,TRUE))</f>
        <v/>
      </c>
      <c r="BG35" s="104" t="str">
        <f>IF(AND(BB35="",BE35=""),"",IF(OR(BB35="-",BE35="-"),"-",IF(AND(BB$3&lt;&gt;0,BE$3&lt;&gt;0),VLOOKUP(AVERAGE(BB35,BE35),Table1[],2,TRUE),IF(AND(BB$3&lt;&gt;0,BE$3=0),BC35,BF35))))</f>
        <v/>
      </c>
      <c r="BH35" s="105"/>
      <c r="BI35" s="107" t="str">
        <f t="shared" si="9"/>
        <v/>
      </c>
      <c r="BJ35" s="155" t="s">
        <v>18</v>
      </c>
    </row>
    <row r="36" spans="1:62" s="61" customFormat="1" x14ac:dyDescent="0.25">
      <c r="A36" s="26" t="str">
        <f>IF(ISBLANK(ClassInformation!C41),"ZZZZZ",ClassInformation!C41)</f>
        <v>ZZZZZ</v>
      </c>
      <c r="B36" s="18" t="str">
        <f>IF(ISBLANK(ClassInformation!D41),"ZZZZZ",ClassInformation!D41)</f>
        <v>ZZZZZ</v>
      </c>
      <c r="C36" s="156"/>
      <c r="D36" s="157"/>
      <c r="E36" s="157"/>
      <c r="F36" s="157"/>
      <c r="G36" s="157"/>
      <c r="H36" s="157"/>
      <c r="I36" s="157"/>
      <c r="J36" s="157"/>
      <c r="K36" s="157"/>
      <c r="L36" s="158"/>
      <c r="M36" s="159"/>
      <c r="N36" s="157"/>
      <c r="O36" s="157"/>
      <c r="P36" s="157"/>
      <c r="Q36" s="157"/>
      <c r="R36" s="157"/>
      <c r="S36" s="157"/>
      <c r="T36" s="157"/>
      <c r="U36" s="157"/>
      <c r="V36" s="160"/>
      <c r="W36" s="117" t="str">
        <f t="shared" si="0"/>
        <v/>
      </c>
      <c r="X36" s="100" t="str">
        <f t="shared" si="1"/>
        <v/>
      </c>
      <c r="Y36" s="99" t="str">
        <f>IF(W36="","",VLOOKUP(X36,Table1[],2,TRUE))</f>
        <v/>
      </c>
      <c r="Z36" s="101" t="str">
        <f t="shared" si="2"/>
        <v/>
      </c>
      <c r="AA36" s="102" t="str">
        <f t="shared" si="3"/>
        <v/>
      </c>
      <c r="AB36" s="103" t="str">
        <f>IF(Z36="","",VLOOKUP(AA36,Table1[],2,TRUE))</f>
        <v/>
      </c>
      <c r="AC36" s="104" t="str">
        <f>IF(AND(X36="",AA36=""),"",IF(OR(X36="-",AA36="-"),"-",IF(AND(X$3&lt;&gt;0,AA$3&lt;&gt;0),VLOOKUP(AVERAGE(X36,AA36),Table1[],2,TRUE),IF(AND(X$3&lt;&gt;0,AA$3=0),Y36,AB36))))</f>
        <v/>
      </c>
      <c r="AD36" s="105"/>
      <c r="AE36" s="107" t="str">
        <f t="shared" si="4"/>
        <v/>
      </c>
      <c r="AF36" s="155" t="s">
        <v>18</v>
      </c>
      <c r="AG36" s="156"/>
      <c r="AH36" s="157"/>
      <c r="AI36" s="157"/>
      <c r="AJ36" s="157"/>
      <c r="AK36" s="157"/>
      <c r="AL36" s="157"/>
      <c r="AM36" s="157"/>
      <c r="AN36" s="157"/>
      <c r="AO36" s="157"/>
      <c r="AP36" s="158"/>
      <c r="AQ36" s="159"/>
      <c r="AR36" s="157"/>
      <c r="AS36" s="157"/>
      <c r="AT36" s="157"/>
      <c r="AU36" s="157"/>
      <c r="AV36" s="157"/>
      <c r="AW36" s="157"/>
      <c r="AX36" s="157"/>
      <c r="AY36" s="157"/>
      <c r="AZ36" s="160"/>
      <c r="BA36" s="117" t="str">
        <f t="shared" si="5"/>
        <v/>
      </c>
      <c r="BB36" s="100" t="str">
        <f t="shared" si="6"/>
        <v/>
      </c>
      <c r="BC36" s="99" t="str">
        <f>IF(BA36="","",VLOOKUP(BB36,Table1[],2,TRUE))</f>
        <v/>
      </c>
      <c r="BD36" s="101" t="str">
        <f t="shared" si="7"/>
        <v/>
      </c>
      <c r="BE36" s="102" t="str">
        <f t="shared" si="8"/>
        <v/>
      </c>
      <c r="BF36" s="103" t="str">
        <f>IF(BD36="","",VLOOKUP(BE36,Table1[],2,TRUE))</f>
        <v/>
      </c>
      <c r="BG36" s="104" t="str">
        <f>IF(AND(BB36="",BE36=""),"",IF(OR(BB36="-",BE36="-"),"-",IF(AND(BB$3&lt;&gt;0,BE$3&lt;&gt;0),VLOOKUP(AVERAGE(BB36,BE36),Table1[],2,TRUE),IF(AND(BB$3&lt;&gt;0,BE$3=0),BC36,BF36))))</f>
        <v/>
      </c>
      <c r="BH36" s="105"/>
      <c r="BI36" s="107" t="str">
        <f t="shared" si="9"/>
        <v/>
      </c>
      <c r="BJ36" s="155" t="s">
        <v>18</v>
      </c>
    </row>
    <row r="37" spans="1:62" s="61" customFormat="1" x14ac:dyDescent="0.25">
      <c r="A37" s="26" t="str">
        <f>IF(ISBLANK(ClassInformation!C42),"ZZZZZ",ClassInformation!C42)</f>
        <v>ZZZZZ</v>
      </c>
      <c r="B37" s="18" t="str">
        <f>IF(ISBLANK(ClassInformation!D42),"ZZZZZ",ClassInformation!D42)</f>
        <v>ZZZZZ</v>
      </c>
      <c r="C37" s="156"/>
      <c r="D37" s="157"/>
      <c r="E37" s="157"/>
      <c r="F37" s="157"/>
      <c r="G37" s="157"/>
      <c r="H37" s="157"/>
      <c r="I37" s="157"/>
      <c r="J37" s="157"/>
      <c r="K37" s="157"/>
      <c r="L37" s="158"/>
      <c r="M37" s="159"/>
      <c r="N37" s="157"/>
      <c r="O37" s="157"/>
      <c r="P37" s="157"/>
      <c r="Q37" s="157"/>
      <c r="R37" s="157"/>
      <c r="S37" s="157"/>
      <c r="T37" s="157"/>
      <c r="U37" s="157"/>
      <c r="V37" s="160"/>
      <c r="W37" s="117" t="str">
        <f t="shared" si="0"/>
        <v/>
      </c>
      <c r="X37" s="100" t="str">
        <f t="shared" si="1"/>
        <v/>
      </c>
      <c r="Y37" s="99" t="str">
        <f>IF(W37="","",VLOOKUP(X37,Table1[],2,TRUE))</f>
        <v/>
      </c>
      <c r="Z37" s="101" t="str">
        <f t="shared" si="2"/>
        <v/>
      </c>
      <c r="AA37" s="102" t="str">
        <f t="shared" si="3"/>
        <v/>
      </c>
      <c r="AB37" s="103" t="str">
        <f>IF(Z37="","",VLOOKUP(AA37,Table1[],2,TRUE))</f>
        <v/>
      </c>
      <c r="AC37" s="104" t="str">
        <f>IF(AND(X37="",AA37=""),"",IF(OR(X37="-",AA37="-"),"-",IF(AND(X$3&lt;&gt;0,AA$3&lt;&gt;0),VLOOKUP(AVERAGE(X37,AA37),Table1[],2,TRUE),IF(AND(X$3&lt;&gt;0,AA$3=0),Y37,AB37))))</f>
        <v/>
      </c>
      <c r="AD37" s="105"/>
      <c r="AE37" s="107" t="str">
        <f t="shared" si="4"/>
        <v/>
      </c>
      <c r="AF37" s="155" t="s">
        <v>18</v>
      </c>
      <c r="AG37" s="156"/>
      <c r="AH37" s="157"/>
      <c r="AI37" s="157"/>
      <c r="AJ37" s="157"/>
      <c r="AK37" s="157"/>
      <c r="AL37" s="157"/>
      <c r="AM37" s="157"/>
      <c r="AN37" s="157"/>
      <c r="AO37" s="157"/>
      <c r="AP37" s="158"/>
      <c r="AQ37" s="159"/>
      <c r="AR37" s="157"/>
      <c r="AS37" s="157"/>
      <c r="AT37" s="157"/>
      <c r="AU37" s="157"/>
      <c r="AV37" s="157"/>
      <c r="AW37" s="157"/>
      <c r="AX37" s="157"/>
      <c r="AY37" s="157"/>
      <c r="AZ37" s="160"/>
      <c r="BA37" s="117" t="str">
        <f t="shared" si="5"/>
        <v/>
      </c>
      <c r="BB37" s="100" t="str">
        <f t="shared" si="6"/>
        <v/>
      </c>
      <c r="BC37" s="99" t="str">
        <f>IF(BA37="","",VLOOKUP(BB37,Table1[],2,TRUE))</f>
        <v/>
      </c>
      <c r="BD37" s="101" t="str">
        <f t="shared" si="7"/>
        <v/>
      </c>
      <c r="BE37" s="102" t="str">
        <f t="shared" si="8"/>
        <v/>
      </c>
      <c r="BF37" s="103" t="str">
        <f>IF(BD37="","",VLOOKUP(BE37,Table1[],2,TRUE))</f>
        <v/>
      </c>
      <c r="BG37" s="104" t="str">
        <f>IF(AND(BB37="",BE37=""),"",IF(OR(BB37="-",BE37="-"),"-",IF(AND(BB$3&lt;&gt;0,BE$3&lt;&gt;0),VLOOKUP(AVERAGE(BB37,BE37),Table1[],2,TRUE),IF(AND(BB$3&lt;&gt;0,BE$3=0),BC37,BF37))))</f>
        <v/>
      </c>
      <c r="BH37" s="105"/>
      <c r="BI37" s="107" t="str">
        <f t="shared" si="9"/>
        <v/>
      </c>
      <c r="BJ37" s="155" t="s">
        <v>18</v>
      </c>
    </row>
    <row r="38" spans="1:62" s="61" customFormat="1" x14ac:dyDescent="0.25">
      <c r="A38" s="26" t="str">
        <f>IF(ISBLANK(ClassInformation!C43),"ZZZZZ",ClassInformation!C43)</f>
        <v>ZZZZZ</v>
      </c>
      <c r="B38" s="18" t="str">
        <f>IF(ISBLANK(ClassInformation!D43),"ZZZZZ",ClassInformation!D43)</f>
        <v>ZZZZZ</v>
      </c>
      <c r="C38" s="156"/>
      <c r="D38" s="157"/>
      <c r="E38" s="157"/>
      <c r="F38" s="157"/>
      <c r="G38" s="157"/>
      <c r="H38" s="157"/>
      <c r="I38" s="157"/>
      <c r="J38" s="157"/>
      <c r="K38" s="157"/>
      <c r="L38" s="158"/>
      <c r="M38" s="159"/>
      <c r="N38" s="157"/>
      <c r="O38" s="157"/>
      <c r="P38" s="157"/>
      <c r="Q38" s="157"/>
      <c r="R38" s="157"/>
      <c r="S38" s="157"/>
      <c r="T38" s="157"/>
      <c r="U38" s="157"/>
      <c r="V38" s="160"/>
      <c r="W38" s="117" t="str">
        <f t="shared" si="0"/>
        <v/>
      </c>
      <c r="X38" s="100" t="str">
        <f t="shared" si="1"/>
        <v/>
      </c>
      <c r="Y38" s="99" t="str">
        <f>IF(W38="","",VLOOKUP(X38,Table1[],2,TRUE))</f>
        <v/>
      </c>
      <c r="Z38" s="101" t="str">
        <f t="shared" si="2"/>
        <v/>
      </c>
      <c r="AA38" s="102" t="str">
        <f t="shared" si="3"/>
        <v/>
      </c>
      <c r="AB38" s="103" t="str">
        <f>IF(Z38="","",VLOOKUP(AA38,Table1[],2,TRUE))</f>
        <v/>
      </c>
      <c r="AC38" s="104" t="str">
        <f>IF(AND(X38="",AA38=""),"",IF(OR(X38="-",AA38="-"),"-",IF(AND(X$3&lt;&gt;0,AA$3&lt;&gt;0),VLOOKUP(AVERAGE(X38,AA38),Table1[],2,TRUE),IF(AND(X$3&lt;&gt;0,AA$3=0),Y38,AB38))))</f>
        <v/>
      </c>
      <c r="AD38" s="105"/>
      <c r="AE38" s="107" t="str">
        <f t="shared" si="4"/>
        <v/>
      </c>
      <c r="AF38" s="155" t="s">
        <v>18</v>
      </c>
      <c r="AG38" s="156"/>
      <c r="AH38" s="157"/>
      <c r="AI38" s="157"/>
      <c r="AJ38" s="157"/>
      <c r="AK38" s="157"/>
      <c r="AL38" s="157"/>
      <c r="AM38" s="157"/>
      <c r="AN38" s="157"/>
      <c r="AO38" s="157"/>
      <c r="AP38" s="158"/>
      <c r="AQ38" s="159"/>
      <c r="AR38" s="157"/>
      <c r="AS38" s="157"/>
      <c r="AT38" s="157"/>
      <c r="AU38" s="157"/>
      <c r="AV38" s="157"/>
      <c r="AW38" s="157"/>
      <c r="AX38" s="157"/>
      <c r="AY38" s="157"/>
      <c r="AZ38" s="160"/>
      <c r="BA38" s="117" t="str">
        <f t="shared" si="5"/>
        <v/>
      </c>
      <c r="BB38" s="100" t="str">
        <f t="shared" si="6"/>
        <v/>
      </c>
      <c r="BC38" s="99" t="str">
        <f>IF(BA38="","",VLOOKUP(BB38,Table1[],2,TRUE))</f>
        <v/>
      </c>
      <c r="BD38" s="101" t="str">
        <f t="shared" si="7"/>
        <v/>
      </c>
      <c r="BE38" s="102" t="str">
        <f t="shared" si="8"/>
        <v/>
      </c>
      <c r="BF38" s="103" t="str">
        <f>IF(BD38="","",VLOOKUP(BE38,Table1[],2,TRUE))</f>
        <v/>
      </c>
      <c r="BG38" s="104" t="str">
        <f>IF(AND(BB38="",BE38=""),"",IF(OR(BB38="-",BE38="-"),"-",IF(AND(BB$3&lt;&gt;0,BE$3&lt;&gt;0),VLOOKUP(AVERAGE(BB38,BE38),Table1[],2,TRUE),IF(AND(BB$3&lt;&gt;0,BE$3=0),BC38,BF38))))</f>
        <v/>
      </c>
      <c r="BH38" s="105"/>
      <c r="BI38" s="107" t="str">
        <f t="shared" si="9"/>
        <v/>
      </c>
      <c r="BJ38" s="155" t="s">
        <v>18</v>
      </c>
    </row>
    <row r="39" spans="1:62" s="61" customFormat="1" x14ac:dyDescent="0.25">
      <c r="A39" s="26" t="str">
        <f>IF(ISBLANK(ClassInformation!C44),"ZZZZZ",ClassInformation!C44)</f>
        <v>ZZZZZ</v>
      </c>
      <c r="B39" s="18" t="str">
        <f>IF(ISBLANK(ClassInformation!D44),"ZZZZZ",ClassInformation!D44)</f>
        <v>ZZZZZ</v>
      </c>
      <c r="C39" s="156"/>
      <c r="D39" s="157"/>
      <c r="E39" s="157"/>
      <c r="F39" s="157"/>
      <c r="G39" s="157"/>
      <c r="H39" s="157"/>
      <c r="I39" s="157"/>
      <c r="J39" s="157"/>
      <c r="K39" s="157"/>
      <c r="L39" s="158"/>
      <c r="M39" s="159"/>
      <c r="N39" s="157"/>
      <c r="O39" s="157"/>
      <c r="P39" s="157"/>
      <c r="Q39" s="157"/>
      <c r="R39" s="157"/>
      <c r="S39" s="157"/>
      <c r="T39" s="157"/>
      <c r="U39" s="157"/>
      <c r="V39" s="160"/>
      <c r="W39" s="117" t="str">
        <f t="shared" si="0"/>
        <v/>
      </c>
      <c r="X39" s="100" t="str">
        <f t="shared" si="1"/>
        <v/>
      </c>
      <c r="Y39" s="99" t="str">
        <f>IF(W39="","",VLOOKUP(X39,Table1[],2,TRUE))</f>
        <v/>
      </c>
      <c r="Z39" s="101" t="str">
        <f t="shared" si="2"/>
        <v/>
      </c>
      <c r="AA39" s="102" t="str">
        <f t="shared" si="3"/>
        <v/>
      </c>
      <c r="AB39" s="103" t="str">
        <f>IF(Z39="","",VLOOKUP(AA39,Table1[],2,TRUE))</f>
        <v/>
      </c>
      <c r="AC39" s="104" t="str">
        <f>IF(AND(X39="",AA39=""),"",IF(OR(X39="-",AA39="-"),"-",IF(AND(X$3&lt;&gt;0,AA$3&lt;&gt;0),VLOOKUP(AVERAGE(X39,AA39),Table1[],2,TRUE),IF(AND(X$3&lt;&gt;0,AA$3=0),Y39,AB39))))</f>
        <v/>
      </c>
      <c r="AD39" s="105"/>
      <c r="AE39" s="107" t="str">
        <f t="shared" si="4"/>
        <v/>
      </c>
      <c r="AF39" s="155" t="s">
        <v>18</v>
      </c>
      <c r="AG39" s="156"/>
      <c r="AH39" s="157"/>
      <c r="AI39" s="157"/>
      <c r="AJ39" s="157"/>
      <c r="AK39" s="157"/>
      <c r="AL39" s="157"/>
      <c r="AM39" s="157"/>
      <c r="AN39" s="157"/>
      <c r="AO39" s="157"/>
      <c r="AP39" s="158"/>
      <c r="AQ39" s="159"/>
      <c r="AR39" s="157"/>
      <c r="AS39" s="157"/>
      <c r="AT39" s="157"/>
      <c r="AU39" s="157"/>
      <c r="AV39" s="157"/>
      <c r="AW39" s="157"/>
      <c r="AX39" s="157"/>
      <c r="AY39" s="157"/>
      <c r="AZ39" s="160"/>
      <c r="BA39" s="117" t="str">
        <f t="shared" si="5"/>
        <v/>
      </c>
      <c r="BB39" s="100" t="str">
        <f t="shared" si="6"/>
        <v/>
      </c>
      <c r="BC39" s="99" t="str">
        <f>IF(BA39="","",VLOOKUP(BB39,Table1[],2,TRUE))</f>
        <v/>
      </c>
      <c r="BD39" s="101" t="str">
        <f t="shared" si="7"/>
        <v/>
      </c>
      <c r="BE39" s="102" t="str">
        <f t="shared" si="8"/>
        <v/>
      </c>
      <c r="BF39" s="103" t="str">
        <f>IF(BD39="","",VLOOKUP(BE39,Table1[],2,TRUE))</f>
        <v/>
      </c>
      <c r="BG39" s="104" t="str">
        <f>IF(AND(BB39="",BE39=""),"",IF(OR(BB39="-",BE39="-"),"-",IF(AND(BB$3&lt;&gt;0,BE$3&lt;&gt;0),VLOOKUP(AVERAGE(BB39,BE39),Table1[],2,TRUE),IF(AND(BB$3&lt;&gt;0,BE$3=0),BC39,BF39))))</f>
        <v/>
      </c>
      <c r="BH39" s="105"/>
      <c r="BI39" s="107" t="str">
        <f t="shared" si="9"/>
        <v/>
      </c>
      <c r="BJ39" s="155" t="s">
        <v>18</v>
      </c>
    </row>
    <row r="40" spans="1:62" s="61" customFormat="1" ht="15.75" thickBot="1" x14ac:dyDescent="0.3">
      <c r="A40" s="26" t="str">
        <f>IF(ISBLANK(ClassInformation!C45),"ZZZZZ",ClassInformation!C45)</f>
        <v>ZZZZZ</v>
      </c>
      <c r="B40" s="18" t="str">
        <f>IF(ISBLANK(ClassInformation!D45),"ZZZZZ",ClassInformation!D45)</f>
        <v>ZZZZZ</v>
      </c>
      <c r="C40" s="161"/>
      <c r="D40" s="162"/>
      <c r="E40" s="162"/>
      <c r="F40" s="162"/>
      <c r="G40" s="162"/>
      <c r="H40" s="162"/>
      <c r="I40" s="162"/>
      <c r="J40" s="162"/>
      <c r="K40" s="162"/>
      <c r="L40" s="163"/>
      <c r="M40" s="164"/>
      <c r="N40" s="162"/>
      <c r="O40" s="162"/>
      <c r="P40" s="162"/>
      <c r="Q40" s="162"/>
      <c r="R40" s="162"/>
      <c r="S40" s="162"/>
      <c r="T40" s="162"/>
      <c r="U40" s="162"/>
      <c r="V40" s="165"/>
      <c r="W40" s="108" t="str">
        <f t="shared" si="0"/>
        <v/>
      </c>
      <c r="X40" s="108" t="str">
        <f t="shared" si="1"/>
        <v/>
      </c>
      <c r="Y40" s="109" t="str">
        <f>IF(W40="","",VLOOKUP(X40,Table1[],2,TRUE))</f>
        <v/>
      </c>
      <c r="Z40" s="110" t="str">
        <f t="shared" si="2"/>
        <v/>
      </c>
      <c r="AA40" s="110" t="str">
        <f t="shared" si="3"/>
        <v/>
      </c>
      <c r="AB40" s="110" t="str">
        <f>IF(Z40="","",VLOOKUP(AA40,Table1[],2,TRUE))</f>
        <v/>
      </c>
      <c r="AC40" s="111" t="str">
        <f>IF(AND(X40="",AA40=""),"",IF(OR(X40="-",AA40="-"),"-",IF(AND(X$3&lt;&gt;0,AA$3&lt;&gt;0),VLOOKUP(AVERAGE(X40,AA40),Table1[],2,TRUE),IF(AND(X$3&lt;&gt;0,AA$3=0),Y40,AB40))))</f>
        <v/>
      </c>
      <c r="AD40" s="112"/>
      <c r="AE40" s="113" t="str">
        <f t="shared" si="4"/>
        <v/>
      </c>
      <c r="AF40" s="166" t="s">
        <v>18</v>
      </c>
      <c r="AG40" s="161"/>
      <c r="AH40" s="162"/>
      <c r="AI40" s="162"/>
      <c r="AJ40" s="162"/>
      <c r="AK40" s="162"/>
      <c r="AL40" s="162"/>
      <c r="AM40" s="162"/>
      <c r="AN40" s="162"/>
      <c r="AO40" s="162"/>
      <c r="AP40" s="163"/>
      <c r="AQ40" s="164"/>
      <c r="AR40" s="162"/>
      <c r="AS40" s="162"/>
      <c r="AT40" s="162"/>
      <c r="AU40" s="162"/>
      <c r="AV40" s="162"/>
      <c r="AW40" s="162"/>
      <c r="AX40" s="162"/>
      <c r="AY40" s="162"/>
      <c r="AZ40" s="165"/>
      <c r="BA40" s="108" t="str">
        <f t="shared" si="5"/>
        <v/>
      </c>
      <c r="BB40" s="108" t="str">
        <f t="shared" si="6"/>
        <v/>
      </c>
      <c r="BC40" s="109" t="str">
        <f>IF(BA40="","",VLOOKUP(BB40,Table1[],2,TRUE))</f>
        <v/>
      </c>
      <c r="BD40" s="110" t="str">
        <f t="shared" si="7"/>
        <v/>
      </c>
      <c r="BE40" s="110" t="str">
        <f t="shared" si="8"/>
        <v/>
      </c>
      <c r="BF40" s="110" t="str">
        <f>IF(BD40="","",VLOOKUP(BE40,Table1[],2,TRUE))</f>
        <v/>
      </c>
      <c r="BG40" s="111" t="str">
        <f>IF(AND(BB40="",BE40=""),"",IF(OR(BB40="-",BE40="-"),"-",IF(AND(BB$3&lt;&gt;0,BE$3&lt;&gt;0),VLOOKUP(AVERAGE(BB40,BE40),Table1[],2,TRUE),IF(AND(BB$3&lt;&gt;0,BE$3=0),BC40,BF40))))</f>
        <v/>
      </c>
      <c r="BH40" s="112"/>
      <c r="BI40" s="113" t="str">
        <f t="shared" si="9"/>
        <v/>
      </c>
      <c r="BJ40" s="166" t="s">
        <v>18</v>
      </c>
    </row>
  </sheetData>
  <sheetProtection formatCells="0" formatColumns="0" formatRows="0" insertColumns="0" deleteColumns="0"/>
  <mergeCells count="30">
    <mergeCell ref="A1:B2"/>
    <mergeCell ref="A3:B3"/>
    <mergeCell ref="D1:AF1"/>
    <mergeCell ref="C2:L2"/>
    <mergeCell ref="M2:V2"/>
    <mergeCell ref="W2:AE2"/>
    <mergeCell ref="C4:D4"/>
    <mergeCell ref="E4:F4"/>
    <mergeCell ref="G4:H4"/>
    <mergeCell ref="I4:J4"/>
    <mergeCell ref="K4:L4"/>
    <mergeCell ref="M4:N4"/>
    <mergeCell ref="O4:P4"/>
    <mergeCell ref="Q4:R4"/>
    <mergeCell ref="S4:T4"/>
    <mergeCell ref="U4:V4"/>
    <mergeCell ref="AH1:BJ1"/>
    <mergeCell ref="AG2:AP2"/>
    <mergeCell ref="AQ2:AZ2"/>
    <mergeCell ref="BA2:BI2"/>
    <mergeCell ref="AG4:AH4"/>
    <mergeCell ref="AI4:AJ4"/>
    <mergeCell ref="AK4:AL4"/>
    <mergeCell ref="AM4:AN4"/>
    <mergeCell ref="AO4:AP4"/>
    <mergeCell ref="AQ4:AR4"/>
    <mergeCell ref="AS4:AT4"/>
    <mergeCell ref="AU4:AV4"/>
    <mergeCell ref="AW4:AX4"/>
    <mergeCell ref="AY4:AZ4"/>
  </mergeCells>
  <conditionalFormatting sqref="A5:B40">
    <cfRule type="expression" dxfId="32" priority="10">
      <formula>$A5="ZZZZZ"</formula>
    </cfRule>
  </conditionalFormatting>
  <conditionalFormatting sqref="Y5:Y40 AB5:AE40">
    <cfRule type="expression" dxfId="31" priority="5">
      <formula>OR(ISNUMBER(SEARCH("D",Y5)),ISNUMBER(SEARCH("E",Y5)))</formula>
    </cfRule>
  </conditionalFormatting>
  <conditionalFormatting sqref="C5:V40">
    <cfRule type="expression" dxfId="30" priority="4">
      <formula>NOT(ISBLANK(C5))</formula>
    </cfRule>
  </conditionalFormatting>
  <conditionalFormatting sqref="C5:C40 E5:E40 G5:G40 I5:I40 K5:K40 M5:M40 O5:O40 Q5:Q40 S5:S40 U5:U40">
    <cfRule type="expression" dxfId="29" priority="6">
      <formula>NOT($A5="ZZZZZ")</formula>
    </cfRule>
  </conditionalFormatting>
  <conditionalFormatting sqref="BC5:BC40 BF5:BI40">
    <cfRule type="expression" dxfId="28" priority="2">
      <formula>OR(ISNUMBER(SEARCH("D",BC5)),ISNUMBER(SEARCH("E",BC5)))</formula>
    </cfRule>
  </conditionalFormatting>
  <conditionalFormatting sqref="AG5:AZ40">
    <cfRule type="expression" dxfId="27" priority="1">
      <formula>NOT(ISBLANK(AG5))</formula>
    </cfRule>
  </conditionalFormatting>
  <conditionalFormatting sqref="AG5:AG40 AI5:AI40 AK5:AK40 AM5:AM40 AO5:AO40 AQ5:AQ40 AS5:AS40 AU5:AU40 AW5:AW40 AY5:AY40">
    <cfRule type="expression" dxfId="26" priority="3">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Group Box 1">
              <controlPr defaultSize="0" autoFill="0" autoPict="0">
                <anchor moveWithCells="1">
                  <from>
                    <xdr:col>0</xdr:col>
                    <xdr:colOff>28575</xdr:colOff>
                    <xdr:row>40</xdr:row>
                    <xdr:rowOff>47625</xdr:rowOff>
                  </from>
                  <to>
                    <xdr:col>1</xdr:col>
                    <xdr:colOff>1019175</xdr:colOff>
                    <xdr:row>44</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783B49B7-D1DD-4434-85D1-157729E50BA4}">
            <xm:f>ClassInformation!$E10="N"</xm:f>
            <x14:dxf>
              <font>
                <strike/>
              </font>
            </x14:dxf>
          </x14:cfRule>
          <xm:sqref>A5:B40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0F0FEDC-5847-4719-B02A-90F78A212BF0}">
          <x14:formula1>
            <xm:f>GradeScheme!$B$2:$B$18</xm:f>
          </x14:formula1>
          <xm:sqref>AD5:AD40 BH5:BH40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3187E-9827-4587-AABE-5B9992D59C9C}">
  <sheetPr codeName="Sheet5">
    <tabColor theme="7" tint="0.59999389629810485"/>
  </sheetPr>
  <dimension ref="A1:AI40"/>
  <sheetViews>
    <sheetView topLeftCell="N1" zoomScale="70" zoomScaleNormal="70" workbookViewId="0">
      <selection activeCell="Y3" sqref="Y3:Z3"/>
    </sheetView>
  </sheetViews>
  <sheetFormatPr defaultRowHeight="15" x14ac:dyDescent="0.25"/>
  <cols>
    <col min="1" max="1" width="17" style="123" bestFit="1" customWidth="1"/>
    <col min="2" max="2" width="4.7109375" style="124" customWidth="1"/>
    <col min="3" max="3" width="17" style="124" bestFit="1" customWidth="1"/>
    <col min="4" max="4" width="4.7109375" style="124" customWidth="1"/>
    <col min="5" max="5" width="17" style="124" bestFit="1" customWidth="1"/>
    <col min="6" max="6" width="4.7109375" style="167" customWidth="1"/>
    <col min="7" max="7" width="17" style="124" bestFit="1" customWidth="1"/>
    <col min="8" max="8" width="4.7109375" style="167" customWidth="1"/>
    <col min="9" max="9" width="17" style="124" bestFit="1" customWidth="1"/>
    <col min="10" max="10" width="4.7109375" style="167" customWidth="1"/>
    <col min="11" max="11" width="17" style="167" bestFit="1" customWidth="1"/>
    <col min="12" max="12" width="4.7109375" style="167" customWidth="1"/>
    <col min="13" max="13" width="17" style="167" bestFit="1" customWidth="1"/>
    <col min="14" max="14" width="4.7109375" style="167" customWidth="1"/>
    <col min="15" max="15" width="17" style="167" bestFit="1" customWidth="1"/>
    <col min="16" max="16" width="4.7109375" style="167" customWidth="1"/>
    <col min="17" max="17" width="17" style="167" bestFit="1" customWidth="1"/>
    <col min="18" max="18" width="4.7109375" style="167" customWidth="1"/>
    <col min="19" max="19" width="17" style="124" bestFit="1" customWidth="1"/>
    <col min="20" max="20" width="4.7109375" style="167" customWidth="1"/>
    <col min="21" max="21" width="13.28515625" style="124" bestFit="1" customWidth="1"/>
    <col min="22" max="22" width="5.5703125" style="167" customWidth="1"/>
    <col min="23" max="23" width="6.140625" style="124" customWidth="1"/>
    <col min="24" max="24" width="12.85546875" style="124" bestFit="1" customWidth="1"/>
    <col min="25" max="25" width="5.5703125" style="167" bestFit="1" customWidth="1"/>
    <col min="26" max="26" width="10" style="124" bestFit="1" customWidth="1"/>
    <col min="27" max="27" width="11" style="124" bestFit="1" customWidth="1"/>
    <col min="28" max="28" width="10.42578125" style="124" bestFit="1" customWidth="1"/>
    <col min="29" max="29" width="13.42578125" style="130" bestFit="1" customWidth="1"/>
    <col min="30" max="30" width="2.85546875" style="130" customWidth="1"/>
    <col min="31" max="16384" width="9.140625" style="130"/>
  </cols>
  <sheetData>
    <row r="1" spans="1:35" x14ac:dyDescent="0.25">
      <c r="A1" s="132" t="s">
        <v>123</v>
      </c>
      <c r="B1" s="209"/>
      <c r="C1" s="210"/>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1"/>
      <c r="AE1" s="133"/>
      <c r="AF1" s="133"/>
      <c r="AG1" s="133"/>
      <c r="AH1" s="133"/>
      <c r="AI1" s="133"/>
    </row>
    <row r="2" spans="1:35" x14ac:dyDescent="0.25">
      <c r="A2" s="212" t="s">
        <v>32</v>
      </c>
      <c r="B2" s="213"/>
      <c r="C2" s="213"/>
      <c r="D2" s="213"/>
      <c r="E2" s="213"/>
      <c r="F2" s="213"/>
      <c r="G2" s="213"/>
      <c r="H2" s="213"/>
      <c r="I2" s="213"/>
      <c r="J2" s="214"/>
      <c r="K2" s="215" t="s">
        <v>34</v>
      </c>
      <c r="L2" s="213"/>
      <c r="M2" s="213"/>
      <c r="N2" s="213"/>
      <c r="O2" s="213"/>
      <c r="P2" s="213"/>
      <c r="Q2" s="213"/>
      <c r="R2" s="213"/>
      <c r="S2" s="213"/>
      <c r="T2" s="214"/>
      <c r="U2" s="215" t="s">
        <v>35</v>
      </c>
      <c r="V2" s="213"/>
      <c r="W2" s="213"/>
      <c r="X2" s="213"/>
      <c r="Y2" s="213"/>
      <c r="Z2" s="213"/>
      <c r="AA2" s="213"/>
      <c r="AB2" s="213"/>
      <c r="AC2" s="216"/>
      <c r="AD2" s="134" t="s">
        <v>18</v>
      </c>
      <c r="AF2" s="135"/>
      <c r="AG2" s="135"/>
      <c r="AH2" s="135"/>
      <c r="AI2" s="135"/>
    </row>
    <row r="3" spans="1:35" x14ac:dyDescent="0.25">
      <c r="A3" s="136" t="str">
        <f>_xlfn.CONCAT("Max ",A4,":")</f>
        <v>Max [Mark]:</v>
      </c>
      <c r="B3" s="137"/>
      <c r="C3" s="136" t="str">
        <f>_xlfn.CONCAT("Max ",C4,":")</f>
        <v>Max [Mark]:</v>
      </c>
      <c r="D3" s="137"/>
      <c r="E3" s="136" t="str">
        <f>_xlfn.CONCAT("Max ",E4,":")</f>
        <v>Max [Mark]:</v>
      </c>
      <c r="F3" s="137"/>
      <c r="G3" s="136" t="str">
        <f>_xlfn.CONCAT("Max ",G4,":")</f>
        <v>Max [Mark]:</v>
      </c>
      <c r="H3" s="137"/>
      <c r="I3" s="136" t="str">
        <f>_xlfn.CONCAT("Max ",I4,":")</f>
        <v>Max [Mark]:</v>
      </c>
      <c r="J3" s="138"/>
      <c r="K3" s="136" t="str">
        <f>_xlfn.CONCAT("Max ",K4,":")</f>
        <v>Max [Mark]:</v>
      </c>
      <c r="L3" s="137"/>
      <c r="M3" s="136" t="str">
        <f>_xlfn.CONCAT("Max ",M4,":")</f>
        <v>Max [Mark]:</v>
      </c>
      <c r="N3" s="138"/>
      <c r="O3" s="136" t="str">
        <f>_xlfn.CONCAT("Max ",O4,":")</f>
        <v>Max [Mark]:</v>
      </c>
      <c r="P3" s="138"/>
      <c r="Q3" s="136" t="str">
        <f>_xlfn.CONCAT("Max ",Q4,":")</f>
        <v>Max [Mark]:</v>
      </c>
      <c r="R3" s="138"/>
      <c r="S3" s="136" t="str">
        <f>_xlfn.CONCAT("Max ",S4,":")</f>
        <v>Max [Mark]:</v>
      </c>
      <c r="T3" s="138"/>
      <c r="U3" s="136" t="str">
        <f>_xlfn.CONCAT("Max ",A2,":")</f>
        <v>Max UD:</v>
      </c>
      <c r="V3" s="217">
        <f>IF(OR(B3="-",D3="-",F3="-",H3="-",J3="-"),"-",SUM(B3,D3,F3,H3,J3))</f>
        <v>0</v>
      </c>
      <c r="W3" s="218"/>
      <c r="X3" s="136" t="str">
        <f>_xlfn.CONCAT("Max ",K2,":")</f>
        <v>Max SD:</v>
      </c>
      <c r="Y3" s="219">
        <f>IF(OR(L3="-",N3="-",P3="-",R3="-",T3="-"),"-",SUM(L3,N3,P3,R3,T3))</f>
        <v>0</v>
      </c>
      <c r="Z3" s="220"/>
      <c r="AA3" s="142"/>
      <c r="AB3" s="142"/>
      <c r="AC3" s="142"/>
      <c r="AD3" s="134" t="s">
        <v>18</v>
      </c>
    </row>
    <row r="4" spans="1:35" x14ac:dyDescent="0.25">
      <c r="A4" s="207" t="s">
        <v>40</v>
      </c>
      <c r="B4" s="208"/>
      <c r="C4" s="207" t="s">
        <v>40</v>
      </c>
      <c r="D4" s="208"/>
      <c r="E4" s="207" t="s">
        <v>40</v>
      </c>
      <c r="F4" s="208"/>
      <c r="G4" s="207" t="s">
        <v>40</v>
      </c>
      <c r="H4" s="208"/>
      <c r="I4" s="207" t="s">
        <v>40</v>
      </c>
      <c r="J4" s="208"/>
      <c r="K4" s="207" t="s">
        <v>40</v>
      </c>
      <c r="L4" s="208"/>
      <c r="M4" s="207" t="s">
        <v>40</v>
      </c>
      <c r="N4" s="208"/>
      <c r="O4" s="207" t="s">
        <v>40</v>
      </c>
      <c r="P4" s="208"/>
      <c r="Q4" s="207" t="s">
        <v>40</v>
      </c>
      <c r="R4" s="208"/>
      <c r="S4" s="207" t="s">
        <v>40</v>
      </c>
      <c r="T4" s="208"/>
      <c r="U4" s="143" t="str">
        <f>_xlfn.CONCAT(U2," ",A2)</f>
        <v>Overall UD</v>
      </c>
      <c r="V4" s="144" t="s">
        <v>33</v>
      </c>
      <c r="W4" s="145" t="s">
        <v>1</v>
      </c>
      <c r="X4" s="146" t="str">
        <f>_xlfn.CONCAT(U2," ",K2)</f>
        <v>Overall SD</v>
      </c>
      <c r="Y4" s="147" t="s">
        <v>33</v>
      </c>
      <c r="Z4" s="148" t="s">
        <v>1</v>
      </c>
      <c r="AA4" s="149" t="s">
        <v>55</v>
      </c>
      <c r="AB4" s="149" t="s">
        <v>56</v>
      </c>
      <c r="AC4" s="149" t="str">
        <f>_xlfn.CONCAT(U2," Grade")</f>
        <v>Overall Grade</v>
      </c>
      <c r="AD4" s="134" t="s">
        <v>18</v>
      </c>
    </row>
    <row r="5" spans="1:35" x14ac:dyDescent="0.25">
      <c r="A5" s="150"/>
      <c r="B5" s="151"/>
      <c r="C5" s="151"/>
      <c r="D5" s="151"/>
      <c r="E5" s="151"/>
      <c r="F5" s="151"/>
      <c r="G5" s="151"/>
      <c r="H5" s="151"/>
      <c r="I5" s="151"/>
      <c r="J5" s="152"/>
      <c r="K5" s="153"/>
      <c r="L5" s="151"/>
      <c r="M5" s="151"/>
      <c r="N5" s="151"/>
      <c r="O5" s="151"/>
      <c r="P5" s="151"/>
      <c r="Q5" s="151"/>
      <c r="R5" s="151"/>
      <c r="S5" s="151"/>
      <c r="T5" s="154"/>
      <c r="U5" s="116" t="str">
        <f>_xlfn.IFS(COUNTIF(A5:J5,"*-*")&gt;0,"-",COUNTBLANK(A5:J5)=10,"",V$3="-","-",TRUE,SUM(A5:J5))</f>
        <v/>
      </c>
      <c r="V5" s="100" t="str">
        <f>_xlfn.SWITCH(U5,"","","-","-",U5/V$3)</f>
        <v/>
      </c>
      <c r="W5" s="99" t="str">
        <f>IF(V5="","",VLOOKUP(V5,Table1[],2,TRUE))</f>
        <v/>
      </c>
      <c r="X5" s="101" t="str">
        <f>_xlfn.IFS(COUNTIF(K5:T5,"*-*")&gt;0,"-",COUNTBLANK(K5:T5)=10,"",Y$3="-","-",TRUE,SUM(K5:T5))</f>
        <v/>
      </c>
      <c r="Y5" s="102" t="str">
        <f>_xlfn.SWITCH(X5,"","","-", "-",X5/Y$3)</f>
        <v/>
      </c>
      <c r="Z5" s="103" t="str">
        <f>IF(Y5="","",VLOOKUP(Y5,Table1[],2,TRUE))</f>
        <v/>
      </c>
      <c r="AA5" s="114" t="str">
        <f>_xlfn.IFS(AND(V5="",Y5=""),"",OR(V5="-",Y5="-"),"-",AND(V$3&lt;&gt;0,Y$3&lt;&gt;0),VLOOKUP(AVERAGE(V5,Y5),Table1[],2,TRUE),AND(V$3&lt;&gt;0,Y$3=0),W5,TRUE,Z5)</f>
        <v/>
      </c>
      <c r="AB5" s="115"/>
      <c r="AC5" s="106" t="str">
        <f>IF(ISBLANK(AB5),AA5,AB5)</f>
        <v/>
      </c>
      <c r="AD5" s="155" t="s">
        <v>18</v>
      </c>
    </row>
    <row r="6" spans="1:35" x14ac:dyDescent="0.25">
      <c r="A6" s="156"/>
      <c r="B6" s="157"/>
      <c r="C6" s="157"/>
      <c r="D6" s="157"/>
      <c r="E6" s="157"/>
      <c r="F6" s="157"/>
      <c r="G6" s="157"/>
      <c r="H6" s="157"/>
      <c r="I6" s="157"/>
      <c r="J6" s="158"/>
      <c r="K6" s="159"/>
      <c r="L6" s="157"/>
      <c r="M6" s="157"/>
      <c r="N6" s="157"/>
      <c r="O6" s="157"/>
      <c r="P6" s="157"/>
      <c r="Q6" s="157"/>
      <c r="R6" s="157"/>
      <c r="S6" s="157"/>
      <c r="T6" s="160"/>
      <c r="U6" s="117" t="str">
        <f t="shared" ref="U6:U40" si="0">_xlfn.IFS(COUNTIF(A6:J6,"*-*")&gt;0,"-",COUNTBLANK(A6:J6)=10,"",V$3="-","-",TRUE,SUM(A6:J6))</f>
        <v/>
      </c>
      <c r="V6" s="100" t="str">
        <f t="shared" ref="V6:V40" si="1">_xlfn.SWITCH(U6,"","","-","-",U6/V$3)</f>
        <v/>
      </c>
      <c r="W6" s="99" t="str">
        <f>IF(U6="","",VLOOKUP(V6,Table1[],2,TRUE))</f>
        <v/>
      </c>
      <c r="X6" s="101" t="str">
        <f t="shared" ref="X6:X40" si="2">_xlfn.IFS(COUNTIF(K6:T6,"*-*")&gt;0,"-",COUNTBLANK(K6:T6)=10,"",Y$3="-","-",TRUE,SUM(K6:T6))</f>
        <v/>
      </c>
      <c r="Y6" s="102" t="str">
        <f t="shared" ref="Y6:Y40" si="3">_xlfn.SWITCH(X6,"","","-", "-",X6/Y$3)</f>
        <v/>
      </c>
      <c r="Z6" s="103" t="str">
        <f>IF(X6="","",VLOOKUP(Y6,Table1[],2,TRUE))</f>
        <v/>
      </c>
      <c r="AA6" s="104" t="str">
        <f>IF(AND(V6="",Y6=""),"",IF(OR(V6="-",Y6="-"),"-",IF(AND(V$3&lt;&gt;0,Y$3&lt;&gt;0),VLOOKUP(AVERAGE(V6,Y6),Table1[],2,TRUE),IF(AND(V$3&lt;&gt;0,Y$3=0),W6,Z6))))</f>
        <v/>
      </c>
      <c r="AB6" s="105"/>
      <c r="AC6" s="107" t="str">
        <f t="shared" ref="AC6:AC40" si="4">IF(ISBLANK(AB6),AA6,AB6)</f>
        <v/>
      </c>
      <c r="AD6" s="155" t="s">
        <v>18</v>
      </c>
    </row>
    <row r="7" spans="1:35" x14ac:dyDescent="0.25">
      <c r="A7" s="156"/>
      <c r="B7" s="157"/>
      <c r="C7" s="157"/>
      <c r="D7" s="157"/>
      <c r="E7" s="157"/>
      <c r="F7" s="157"/>
      <c r="G7" s="157"/>
      <c r="H7" s="157"/>
      <c r="I7" s="157"/>
      <c r="J7" s="158"/>
      <c r="K7" s="159"/>
      <c r="L7" s="157"/>
      <c r="M7" s="157"/>
      <c r="N7" s="157"/>
      <c r="O7" s="157"/>
      <c r="P7" s="157"/>
      <c r="Q7" s="157"/>
      <c r="R7" s="157"/>
      <c r="S7" s="157"/>
      <c r="T7" s="160"/>
      <c r="U7" s="117" t="str">
        <f t="shared" si="0"/>
        <v/>
      </c>
      <c r="V7" s="100" t="str">
        <f t="shared" si="1"/>
        <v/>
      </c>
      <c r="W7" s="99" t="str">
        <f>IF(U7="","",VLOOKUP(V7,Table1[],2,TRUE))</f>
        <v/>
      </c>
      <c r="X7" s="101" t="str">
        <f t="shared" si="2"/>
        <v/>
      </c>
      <c r="Y7" s="102" t="str">
        <f t="shared" si="3"/>
        <v/>
      </c>
      <c r="Z7" s="103" t="str">
        <f>IF(X7="","",VLOOKUP(Y7,Table1[],2,TRUE))</f>
        <v/>
      </c>
      <c r="AA7" s="104" t="str">
        <f>IF(AND(V7="",Y7=""),"",IF(OR(V7="-",Y7="-"),"-",IF(AND(V$3&lt;&gt;0,Y$3&lt;&gt;0),VLOOKUP(AVERAGE(V7,Y7),Table1[],2,TRUE),IF(AND(V$3&lt;&gt;0,Y$3=0),W7,Z7))))</f>
        <v/>
      </c>
      <c r="AB7" s="105"/>
      <c r="AC7" s="107" t="str">
        <f t="shared" si="4"/>
        <v/>
      </c>
      <c r="AD7" s="155" t="s">
        <v>18</v>
      </c>
    </row>
    <row r="8" spans="1:35" x14ac:dyDescent="0.25">
      <c r="A8" s="156"/>
      <c r="B8" s="157"/>
      <c r="C8" s="157"/>
      <c r="D8" s="157"/>
      <c r="E8" s="157"/>
      <c r="F8" s="157"/>
      <c r="G8" s="157"/>
      <c r="H8" s="157"/>
      <c r="I8" s="157"/>
      <c r="J8" s="158"/>
      <c r="K8" s="159"/>
      <c r="L8" s="157"/>
      <c r="M8" s="157"/>
      <c r="N8" s="157"/>
      <c r="O8" s="157"/>
      <c r="P8" s="157"/>
      <c r="Q8" s="157"/>
      <c r="R8" s="157"/>
      <c r="S8" s="157"/>
      <c r="T8" s="160"/>
      <c r="U8" s="117" t="str">
        <f t="shared" si="0"/>
        <v/>
      </c>
      <c r="V8" s="100" t="str">
        <f t="shared" si="1"/>
        <v/>
      </c>
      <c r="W8" s="99" t="str">
        <f>IF(U8="","",VLOOKUP(V8,Table1[],2,TRUE))</f>
        <v/>
      </c>
      <c r="X8" s="101" t="str">
        <f t="shared" si="2"/>
        <v/>
      </c>
      <c r="Y8" s="102" t="str">
        <f t="shared" si="3"/>
        <v/>
      </c>
      <c r="Z8" s="103" t="str">
        <f>IF(X8="","",VLOOKUP(Y8,Table1[],2,TRUE))</f>
        <v/>
      </c>
      <c r="AA8" s="104" t="str">
        <f>IF(AND(V8="",Y8=""),"",IF(OR(V8="-",Y8="-"),"-",IF(AND(V$3&lt;&gt;0,Y$3&lt;&gt;0),VLOOKUP(AVERAGE(V8,Y8),Table1[],2,TRUE),IF(AND(V$3&lt;&gt;0,Y$3=0),W8,Z8))))</f>
        <v/>
      </c>
      <c r="AB8" s="105"/>
      <c r="AC8" s="107" t="str">
        <f t="shared" si="4"/>
        <v/>
      </c>
      <c r="AD8" s="155" t="s">
        <v>18</v>
      </c>
    </row>
    <row r="9" spans="1:35" x14ac:dyDescent="0.25">
      <c r="A9" s="156"/>
      <c r="B9" s="157"/>
      <c r="C9" s="157"/>
      <c r="D9" s="157"/>
      <c r="E9" s="157"/>
      <c r="F9" s="157"/>
      <c r="G9" s="157"/>
      <c r="H9" s="157"/>
      <c r="I9" s="157"/>
      <c r="J9" s="158"/>
      <c r="K9" s="159"/>
      <c r="L9" s="157"/>
      <c r="M9" s="157"/>
      <c r="N9" s="157"/>
      <c r="O9" s="157"/>
      <c r="P9" s="157"/>
      <c r="Q9" s="157"/>
      <c r="R9" s="157"/>
      <c r="S9" s="157"/>
      <c r="T9" s="160"/>
      <c r="U9" s="117" t="str">
        <f t="shared" si="0"/>
        <v/>
      </c>
      <c r="V9" s="100" t="str">
        <f t="shared" si="1"/>
        <v/>
      </c>
      <c r="W9" s="99" t="str">
        <f>IF(U9="","",VLOOKUP(V9,Table1[],2,TRUE))</f>
        <v/>
      </c>
      <c r="X9" s="101" t="str">
        <f t="shared" si="2"/>
        <v/>
      </c>
      <c r="Y9" s="102" t="str">
        <f t="shared" si="3"/>
        <v/>
      </c>
      <c r="Z9" s="103" t="str">
        <f>IF(X9="","",VLOOKUP(Y9,Table1[],2,TRUE))</f>
        <v/>
      </c>
      <c r="AA9" s="104" t="str">
        <f>IF(AND(V9="",Y9=""),"",IF(OR(V9="-",Y9="-"),"-",IF(AND(V$3&lt;&gt;0,Y$3&lt;&gt;0),VLOOKUP(AVERAGE(V9,Y9),Table1[],2,TRUE),IF(AND(V$3&lt;&gt;0,Y$3=0),W9,Z9))))</f>
        <v/>
      </c>
      <c r="AB9" s="105"/>
      <c r="AC9" s="107" t="str">
        <f t="shared" si="4"/>
        <v/>
      </c>
      <c r="AD9" s="155" t="s">
        <v>18</v>
      </c>
    </row>
    <row r="10" spans="1:35" x14ac:dyDescent="0.25">
      <c r="A10" s="156"/>
      <c r="B10" s="157"/>
      <c r="C10" s="157"/>
      <c r="D10" s="157"/>
      <c r="E10" s="157"/>
      <c r="F10" s="157"/>
      <c r="G10" s="157"/>
      <c r="H10" s="157"/>
      <c r="I10" s="157"/>
      <c r="J10" s="158"/>
      <c r="K10" s="159"/>
      <c r="L10" s="157"/>
      <c r="M10" s="157"/>
      <c r="N10" s="157"/>
      <c r="O10" s="157"/>
      <c r="P10" s="157"/>
      <c r="Q10" s="157"/>
      <c r="R10" s="157"/>
      <c r="S10" s="157"/>
      <c r="T10" s="160"/>
      <c r="U10" s="117" t="str">
        <f t="shared" si="0"/>
        <v/>
      </c>
      <c r="V10" s="100" t="str">
        <f t="shared" si="1"/>
        <v/>
      </c>
      <c r="W10" s="99" t="str">
        <f>IF(U10="","",VLOOKUP(V10,Table1[],2,TRUE))</f>
        <v/>
      </c>
      <c r="X10" s="101" t="str">
        <f t="shared" si="2"/>
        <v/>
      </c>
      <c r="Y10" s="102" t="str">
        <f t="shared" si="3"/>
        <v/>
      </c>
      <c r="Z10" s="103" t="str">
        <f>IF(X10="","",VLOOKUP(Y10,Table1[],2,TRUE))</f>
        <v/>
      </c>
      <c r="AA10" s="104" t="str">
        <f>IF(AND(V10="",Y10=""),"",IF(OR(V10="-",Y10="-"),"-",IF(AND(V$3&lt;&gt;0,Y$3&lt;&gt;0),VLOOKUP(AVERAGE(V10,Y10),Table1[],2,TRUE),IF(AND(V$3&lt;&gt;0,Y$3=0),W10,Z10))))</f>
        <v/>
      </c>
      <c r="AB10" s="105"/>
      <c r="AC10" s="107" t="str">
        <f t="shared" si="4"/>
        <v/>
      </c>
      <c r="AD10" s="155" t="s">
        <v>18</v>
      </c>
    </row>
    <row r="11" spans="1:35" x14ac:dyDescent="0.25">
      <c r="A11" s="156"/>
      <c r="B11" s="157"/>
      <c r="C11" s="157"/>
      <c r="D11" s="157"/>
      <c r="E11" s="157"/>
      <c r="F11" s="157"/>
      <c r="G11" s="157"/>
      <c r="H11" s="157"/>
      <c r="I11" s="157"/>
      <c r="J11" s="158"/>
      <c r="K11" s="159"/>
      <c r="L11" s="157"/>
      <c r="M11" s="157"/>
      <c r="N11" s="157"/>
      <c r="O11" s="157"/>
      <c r="P11" s="157"/>
      <c r="Q11" s="157"/>
      <c r="R11" s="157"/>
      <c r="S11" s="157"/>
      <c r="T11" s="160"/>
      <c r="U11" s="117" t="str">
        <f t="shared" si="0"/>
        <v/>
      </c>
      <c r="V11" s="100" t="str">
        <f t="shared" si="1"/>
        <v/>
      </c>
      <c r="W11" s="99" t="str">
        <f>IF(U11="","",VLOOKUP(V11,Table1[],2,TRUE))</f>
        <v/>
      </c>
      <c r="X11" s="101" t="str">
        <f t="shared" si="2"/>
        <v/>
      </c>
      <c r="Y11" s="102" t="str">
        <f t="shared" si="3"/>
        <v/>
      </c>
      <c r="Z11" s="103" t="str">
        <f>IF(X11="","",VLOOKUP(Y11,Table1[],2,TRUE))</f>
        <v/>
      </c>
      <c r="AA11" s="104" t="str">
        <f>IF(AND(V11="",Y11=""),"",IF(OR(V11="-",Y11="-"),"-",IF(AND(V$3&lt;&gt;0,Y$3&lt;&gt;0),VLOOKUP(AVERAGE(V11,Y11),Table1[],2,TRUE),IF(AND(V$3&lt;&gt;0,Y$3=0),W11,Z11))))</f>
        <v/>
      </c>
      <c r="AB11" s="105"/>
      <c r="AC11" s="107" t="str">
        <f t="shared" si="4"/>
        <v/>
      </c>
      <c r="AD11" s="155" t="s">
        <v>18</v>
      </c>
    </row>
    <row r="12" spans="1:35" x14ac:dyDescent="0.25">
      <c r="A12" s="156"/>
      <c r="B12" s="157"/>
      <c r="C12" s="157"/>
      <c r="D12" s="157"/>
      <c r="E12" s="157"/>
      <c r="F12" s="157"/>
      <c r="G12" s="157"/>
      <c r="H12" s="157"/>
      <c r="I12" s="157"/>
      <c r="J12" s="158"/>
      <c r="K12" s="159"/>
      <c r="L12" s="157"/>
      <c r="M12" s="157"/>
      <c r="N12" s="157"/>
      <c r="O12" s="157"/>
      <c r="P12" s="157"/>
      <c r="Q12" s="157"/>
      <c r="R12" s="157"/>
      <c r="S12" s="157"/>
      <c r="T12" s="160"/>
      <c r="U12" s="117" t="str">
        <f t="shared" si="0"/>
        <v/>
      </c>
      <c r="V12" s="100" t="str">
        <f t="shared" si="1"/>
        <v/>
      </c>
      <c r="W12" s="99" t="str">
        <f>IF(U12="","",VLOOKUP(V12,Table1[],2,TRUE))</f>
        <v/>
      </c>
      <c r="X12" s="101" t="str">
        <f t="shared" si="2"/>
        <v/>
      </c>
      <c r="Y12" s="102" t="str">
        <f t="shared" si="3"/>
        <v/>
      </c>
      <c r="Z12" s="103" t="str">
        <f>IF(X12="","",VLOOKUP(Y12,Table1[],2,TRUE))</f>
        <v/>
      </c>
      <c r="AA12" s="104" t="str">
        <f>IF(AND(V12="",Y12=""),"",IF(OR(V12="-",Y12="-"),"-",IF(AND(V$3&lt;&gt;0,Y$3&lt;&gt;0),VLOOKUP(AVERAGE(V12,Y12),Table1[],2,TRUE),IF(AND(V$3&lt;&gt;0,Y$3=0),W12,Z12))))</f>
        <v/>
      </c>
      <c r="AB12" s="105"/>
      <c r="AC12" s="107" t="str">
        <f t="shared" si="4"/>
        <v/>
      </c>
      <c r="AD12" s="155" t="s">
        <v>18</v>
      </c>
    </row>
    <row r="13" spans="1:35" x14ac:dyDescent="0.25">
      <c r="A13" s="156"/>
      <c r="B13" s="157"/>
      <c r="C13" s="157"/>
      <c r="D13" s="157"/>
      <c r="E13" s="157"/>
      <c r="F13" s="157"/>
      <c r="G13" s="157"/>
      <c r="H13" s="157"/>
      <c r="I13" s="157"/>
      <c r="J13" s="158"/>
      <c r="K13" s="159"/>
      <c r="L13" s="157"/>
      <c r="M13" s="157"/>
      <c r="N13" s="157"/>
      <c r="O13" s="157"/>
      <c r="P13" s="157"/>
      <c r="Q13" s="157"/>
      <c r="R13" s="157"/>
      <c r="S13" s="157"/>
      <c r="T13" s="160"/>
      <c r="U13" s="117" t="str">
        <f t="shared" si="0"/>
        <v/>
      </c>
      <c r="V13" s="100" t="str">
        <f t="shared" si="1"/>
        <v/>
      </c>
      <c r="W13" s="99" t="str">
        <f>IF(U13="","",VLOOKUP(V13,Table1[],2,TRUE))</f>
        <v/>
      </c>
      <c r="X13" s="101" t="str">
        <f t="shared" si="2"/>
        <v/>
      </c>
      <c r="Y13" s="102" t="str">
        <f t="shared" si="3"/>
        <v/>
      </c>
      <c r="Z13" s="103" t="str">
        <f>IF(X13="","",VLOOKUP(Y13,Table1[],2,TRUE))</f>
        <v/>
      </c>
      <c r="AA13" s="104" t="str">
        <f>IF(AND(V13="",Y13=""),"",IF(OR(V13="-",Y13="-"),"-",IF(AND(V$3&lt;&gt;0,Y$3&lt;&gt;0),VLOOKUP(AVERAGE(V13,Y13),Table1[],2,TRUE),IF(AND(V$3&lt;&gt;0,Y$3=0),W13,Z13))))</f>
        <v/>
      </c>
      <c r="AB13" s="105"/>
      <c r="AC13" s="107" t="str">
        <f t="shared" si="4"/>
        <v/>
      </c>
      <c r="AD13" s="155" t="s">
        <v>18</v>
      </c>
    </row>
    <row r="14" spans="1:35" x14ac:dyDescent="0.25">
      <c r="A14" s="156"/>
      <c r="B14" s="157"/>
      <c r="C14" s="157"/>
      <c r="D14" s="157"/>
      <c r="E14" s="157"/>
      <c r="F14" s="157"/>
      <c r="G14" s="157"/>
      <c r="H14" s="157"/>
      <c r="I14" s="157"/>
      <c r="J14" s="158"/>
      <c r="K14" s="159"/>
      <c r="L14" s="157"/>
      <c r="M14" s="157"/>
      <c r="N14" s="157"/>
      <c r="O14" s="157"/>
      <c r="P14" s="157"/>
      <c r="Q14" s="157"/>
      <c r="R14" s="157"/>
      <c r="S14" s="157"/>
      <c r="T14" s="160"/>
      <c r="U14" s="117" t="str">
        <f t="shared" si="0"/>
        <v/>
      </c>
      <c r="V14" s="100" t="str">
        <f t="shared" si="1"/>
        <v/>
      </c>
      <c r="W14" s="99" t="str">
        <f>IF(U14="","",VLOOKUP(V14,Table1[],2,TRUE))</f>
        <v/>
      </c>
      <c r="X14" s="101" t="str">
        <f t="shared" si="2"/>
        <v/>
      </c>
      <c r="Y14" s="102" t="str">
        <f t="shared" si="3"/>
        <v/>
      </c>
      <c r="Z14" s="103" t="str">
        <f>IF(X14="","",VLOOKUP(Y14,Table1[],2,TRUE))</f>
        <v/>
      </c>
      <c r="AA14" s="104" t="str">
        <f>IF(AND(V14="",Y14=""),"",IF(OR(V14="-",Y14="-"),"-",IF(AND(V$3&lt;&gt;0,Y$3&lt;&gt;0),VLOOKUP(AVERAGE(V14,Y14),Table1[],2,TRUE),IF(AND(V$3&lt;&gt;0,Y$3=0),W14,Z14))))</f>
        <v/>
      </c>
      <c r="AB14" s="105"/>
      <c r="AC14" s="107" t="str">
        <f t="shared" si="4"/>
        <v/>
      </c>
      <c r="AD14" s="155" t="s">
        <v>18</v>
      </c>
    </row>
    <row r="15" spans="1:35" x14ac:dyDescent="0.25">
      <c r="A15" s="156"/>
      <c r="B15" s="157"/>
      <c r="C15" s="157"/>
      <c r="D15" s="157"/>
      <c r="E15" s="157"/>
      <c r="F15" s="157"/>
      <c r="G15" s="157"/>
      <c r="H15" s="157"/>
      <c r="I15" s="157"/>
      <c r="J15" s="158"/>
      <c r="K15" s="159"/>
      <c r="L15" s="157"/>
      <c r="M15" s="157"/>
      <c r="N15" s="157"/>
      <c r="O15" s="157"/>
      <c r="P15" s="157"/>
      <c r="Q15" s="157"/>
      <c r="R15" s="157"/>
      <c r="S15" s="157"/>
      <c r="T15" s="160"/>
      <c r="U15" s="117" t="str">
        <f t="shared" si="0"/>
        <v/>
      </c>
      <c r="V15" s="100" t="str">
        <f t="shared" si="1"/>
        <v/>
      </c>
      <c r="W15" s="99" t="str">
        <f>IF(U15="","",VLOOKUP(V15,Table1[],2,TRUE))</f>
        <v/>
      </c>
      <c r="X15" s="101" t="str">
        <f t="shared" si="2"/>
        <v/>
      </c>
      <c r="Y15" s="102" t="str">
        <f t="shared" si="3"/>
        <v/>
      </c>
      <c r="Z15" s="103" t="str">
        <f>IF(X15="","",VLOOKUP(Y15,Table1[],2,TRUE))</f>
        <v/>
      </c>
      <c r="AA15" s="104" t="str">
        <f>IF(AND(V15="",Y15=""),"",IF(OR(V15="-",Y15="-"),"-",IF(AND(V$3&lt;&gt;0,Y$3&lt;&gt;0),VLOOKUP(AVERAGE(V15,Y15),Table1[],2,TRUE),IF(AND(V$3&lt;&gt;0,Y$3=0),W15,Z15))))</f>
        <v/>
      </c>
      <c r="AB15" s="105"/>
      <c r="AC15" s="107" t="str">
        <f t="shared" si="4"/>
        <v/>
      </c>
      <c r="AD15" s="155" t="s">
        <v>18</v>
      </c>
    </row>
    <row r="16" spans="1:35" x14ac:dyDescent="0.25">
      <c r="A16" s="156"/>
      <c r="B16" s="157"/>
      <c r="C16" s="157"/>
      <c r="D16" s="157"/>
      <c r="E16" s="157"/>
      <c r="F16" s="157"/>
      <c r="G16" s="157"/>
      <c r="H16" s="157"/>
      <c r="I16" s="157"/>
      <c r="J16" s="158"/>
      <c r="K16" s="159"/>
      <c r="L16" s="157"/>
      <c r="M16" s="157"/>
      <c r="N16" s="157"/>
      <c r="O16" s="157"/>
      <c r="P16" s="157"/>
      <c r="Q16" s="157"/>
      <c r="R16" s="157"/>
      <c r="S16" s="157"/>
      <c r="T16" s="160"/>
      <c r="U16" s="117" t="str">
        <f t="shared" si="0"/>
        <v/>
      </c>
      <c r="V16" s="100" t="str">
        <f t="shared" si="1"/>
        <v/>
      </c>
      <c r="W16" s="99" t="str">
        <f>IF(U16="","",VLOOKUP(V16,Table1[],2,TRUE))</f>
        <v/>
      </c>
      <c r="X16" s="101" t="str">
        <f t="shared" si="2"/>
        <v/>
      </c>
      <c r="Y16" s="102" t="str">
        <f t="shared" si="3"/>
        <v/>
      </c>
      <c r="Z16" s="103" t="str">
        <f>IF(X16="","",VLOOKUP(Y16,Table1[],2,TRUE))</f>
        <v/>
      </c>
      <c r="AA16" s="104" t="str">
        <f>IF(AND(V16="",Y16=""),"",IF(OR(V16="-",Y16="-"),"-",IF(AND(V$3&lt;&gt;0,Y$3&lt;&gt;0),VLOOKUP(AVERAGE(V16,Y16),Table1[],2,TRUE),IF(AND(V$3&lt;&gt;0,Y$3=0),W16,Z16))))</f>
        <v/>
      </c>
      <c r="AB16" s="105"/>
      <c r="AC16" s="107" t="str">
        <f t="shared" si="4"/>
        <v/>
      </c>
      <c r="AD16" s="155" t="s">
        <v>18</v>
      </c>
    </row>
    <row r="17" spans="1:30" x14ac:dyDescent="0.25">
      <c r="A17" s="156"/>
      <c r="B17" s="157"/>
      <c r="C17" s="157"/>
      <c r="D17" s="157"/>
      <c r="E17" s="157"/>
      <c r="F17" s="157"/>
      <c r="G17" s="157"/>
      <c r="H17" s="157"/>
      <c r="I17" s="157"/>
      <c r="J17" s="158"/>
      <c r="K17" s="159"/>
      <c r="L17" s="157"/>
      <c r="M17" s="157"/>
      <c r="N17" s="157"/>
      <c r="O17" s="157"/>
      <c r="P17" s="157"/>
      <c r="Q17" s="157"/>
      <c r="R17" s="157"/>
      <c r="S17" s="157"/>
      <c r="T17" s="160"/>
      <c r="U17" s="117" t="str">
        <f t="shared" si="0"/>
        <v/>
      </c>
      <c r="V17" s="100" t="str">
        <f t="shared" si="1"/>
        <v/>
      </c>
      <c r="W17" s="99" t="str">
        <f>IF(U17="","",VLOOKUP(V17,Table1[],2,TRUE))</f>
        <v/>
      </c>
      <c r="X17" s="101" t="str">
        <f t="shared" si="2"/>
        <v/>
      </c>
      <c r="Y17" s="102" t="str">
        <f t="shared" si="3"/>
        <v/>
      </c>
      <c r="Z17" s="103" t="str">
        <f>IF(X17="","",VLOOKUP(Y17,Table1[],2,TRUE))</f>
        <v/>
      </c>
      <c r="AA17" s="104" t="str">
        <f>IF(AND(V17="",Y17=""),"",IF(OR(V17="-",Y17="-"),"-",IF(AND(V$3&lt;&gt;0,Y$3&lt;&gt;0),VLOOKUP(AVERAGE(V17,Y17),Table1[],2,TRUE),IF(AND(V$3&lt;&gt;0,Y$3=0),W17,Z17))))</f>
        <v/>
      </c>
      <c r="AB17" s="105"/>
      <c r="AC17" s="107" t="str">
        <f t="shared" si="4"/>
        <v/>
      </c>
      <c r="AD17" s="155" t="s">
        <v>18</v>
      </c>
    </row>
    <row r="18" spans="1:30" x14ac:dyDescent="0.25">
      <c r="A18" s="156"/>
      <c r="B18" s="157"/>
      <c r="C18" s="157"/>
      <c r="D18" s="157"/>
      <c r="E18" s="157"/>
      <c r="F18" s="157"/>
      <c r="G18" s="157"/>
      <c r="H18" s="157"/>
      <c r="I18" s="157"/>
      <c r="J18" s="158"/>
      <c r="K18" s="159"/>
      <c r="L18" s="157"/>
      <c r="M18" s="157"/>
      <c r="N18" s="157"/>
      <c r="O18" s="157"/>
      <c r="P18" s="157"/>
      <c r="Q18" s="157"/>
      <c r="R18" s="157"/>
      <c r="S18" s="157"/>
      <c r="T18" s="160"/>
      <c r="U18" s="117" t="str">
        <f t="shared" si="0"/>
        <v/>
      </c>
      <c r="V18" s="100" t="str">
        <f t="shared" si="1"/>
        <v/>
      </c>
      <c r="W18" s="99" t="str">
        <f>IF(U18="","",VLOOKUP(V18,Table1[],2,TRUE))</f>
        <v/>
      </c>
      <c r="X18" s="101" t="str">
        <f t="shared" si="2"/>
        <v/>
      </c>
      <c r="Y18" s="102" t="str">
        <f t="shared" si="3"/>
        <v/>
      </c>
      <c r="Z18" s="103" t="str">
        <f>IF(X18="","",VLOOKUP(Y18,Table1[],2,TRUE))</f>
        <v/>
      </c>
      <c r="AA18" s="104" t="str">
        <f>IF(AND(V18="",Y18=""),"",IF(OR(V18="-",Y18="-"),"-",IF(AND(V$3&lt;&gt;0,Y$3&lt;&gt;0),VLOOKUP(AVERAGE(V18,Y18),Table1[],2,TRUE),IF(AND(V$3&lt;&gt;0,Y$3=0),W18,Z18))))</f>
        <v/>
      </c>
      <c r="AB18" s="105"/>
      <c r="AC18" s="107" t="str">
        <f t="shared" si="4"/>
        <v/>
      </c>
      <c r="AD18" s="155" t="s">
        <v>18</v>
      </c>
    </row>
    <row r="19" spans="1:30" x14ac:dyDescent="0.25">
      <c r="A19" s="156"/>
      <c r="B19" s="157"/>
      <c r="C19" s="157"/>
      <c r="D19" s="157"/>
      <c r="E19" s="157"/>
      <c r="F19" s="157"/>
      <c r="G19" s="157"/>
      <c r="H19" s="157"/>
      <c r="I19" s="157"/>
      <c r="J19" s="158"/>
      <c r="K19" s="159"/>
      <c r="L19" s="157"/>
      <c r="M19" s="157"/>
      <c r="N19" s="157"/>
      <c r="O19" s="157"/>
      <c r="P19" s="157"/>
      <c r="Q19" s="157"/>
      <c r="R19" s="157"/>
      <c r="S19" s="157"/>
      <c r="T19" s="160"/>
      <c r="U19" s="117" t="str">
        <f t="shared" si="0"/>
        <v/>
      </c>
      <c r="V19" s="100" t="str">
        <f t="shared" si="1"/>
        <v/>
      </c>
      <c r="W19" s="99" t="str">
        <f>IF(U19="","",VLOOKUP(V19,Table1[],2,TRUE))</f>
        <v/>
      </c>
      <c r="X19" s="101" t="str">
        <f t="shared" si="2"/>
        <v/>
      </c>
      <c r="Y19" s="102" t="str">
        <f t="shared" si="3"/>
        <v/>
      </c>
      <c r="Z19" s="103" t="str">
        <f>IF(X19="","",VLOOKUP(Y19,Table1[],2,TRUE))</f>
        <v/>
      </c>
      <c r="AA19" s="104" t="str">
        <f>IF(AND(V19="",Y19=""),"",IF(OR(V19="-",Y19="-"),"-",IF(AND(V$3&lt;&gt;0,Y$3&lt;&gt;0),VLOOKUP(AVERAGE(V19,Y19),Table1[],2,TRUE),IF(AND(V$3&lt;&gt;0,Y$3=0),W19,Z19))))</f>
        <v/>
      </c>
      <c r="AB19" s="105"/>
      <c r="AC19" s="107" t="str">
        <f t="shared" si="4"/>
        <v/>
      </c>
      <c r="AD19" s="155" t="s">
        <v>18</v>
      </c>
    </row>
    <row r="20" spans="1:30" x14ac:dyDescent="0.25">
      <c r="A20" s="156"/>
      <c r="B20" s="157"/>
      <c r="C20" s="157"/>
      <c r="D20" s="157"/>
      <c r="E20" s="157"/>
      <c r="F20" s="157"/>
      <c r="G20" s="157"/>
      <c r="H20" s="157"/>
      <c r="I20" s="157"/>
      <c r="J20" s="158"/>
      <c r="K20" s="159"/>
      <c r="L20" s="157"/>
      <c r="M20" s="157"/>
      <c r="N20" s="157"/>
      <c r="O20" s="157"/>
      <c r="P20" s="157"/>
      <c r="Q20" s="157"/>
      <c r="R20" s="157"/>
      <c r="S20" s="157"/>
      <c r="T20" s="160"/>
      <c r="U20" s="117" t="str">
        <f t="shared" si="0"/>
        <v/>
      </c>
      <c r="V20" s="100" t="str">
        <f t="shared" si="1"/>
        <v/>
      </c>
      <c r="W20" s="99" t="str">
        <f>IF(U20="","",VLOOKUP(V20,Table1[],2,TRUE))</f>
        <v/>
      </c>
      <c r="X20" s="101" t="str">
        <f t="shared" si="2"/>
        <v/>
      </c>
      <c r="Y20" s="102" t="str">
        <f t="shared" si="3"/>
        <v/>
      </c>
      <c r="Z20" s="103" t="str">
        <f>IF(X20="","",VLOOKUP(Y20,Table1[],2,TRUE))</f>
        <v/>
      </c>
      <c r="AA20" s="104" t="str">
        <f>IF(AND(V20="",Y20=""),"",IF(OR(V20="-",Y20="-"),"-",IF(AND(V$3&lt;&gt;0,Y$3&lt;&gt;0),VLOOKUP(AVERAGE(V20,Y20),Table1[],2,TRUE),IF(AND(V$3&lt;&gt;0,Y$3=0),W20,Z20))))</f>
        <v/>
      </c>
      <c r="AB20" s="105"/>
      <c r="AC20" s="107" t="str">
        <f t="shared" si="4"/>
        <v/>
      </c>
      <c r="AD20" s="155" t="s">
        <v>18</v>
      </c>
    </row>
    <row r="21" spans="1:30" x14ac:dyDescent="0.25">
      <c r="A21" s="156"/>
      <c r="B21" s="157"/>
      <c r="C21" s="157"/>
      <c r="D21" s="157"/>
      <c r="E21" s="157"/>
      <c r="F21" s="157"/>
      <c r="G21" s="157"/>
      <c r="H21" s="157"/>
      <c r="I21" s="157"/>
      <c r="J21" s="158"/>
      <c r="K21" s="159"/>
      <c r="L21" s="157"/>
      <c r="M21" s="157"/>
      <c r="N21" s="157"/>
      <c r="O21" s="157"/>
      <c r="P21" s="157"/>
      <c r="Q21" s="157"/>
      <c r="R21" s="157"/>
      <c r="S21" s="157"/>
      <c r="T21" s="160"/>
      <c r="U21" s="117" t="str">
        <f t="shared" si="0"/>
        <v/>
      </c>
      <c r="V21" s="100" t="str">
        <f t="shared" si="1"/>
        <v/>
      </c>
      <c r="W21" s="99" t="str">
        <f>IF(U21="","",VLOOKUP(V21,Table1[],2,TRUE))</f>
        <v/>
      </c>
      <c r="X21" s="101" t="str">
        <f t="shared" si="2"/>
        <v/>
      </c>
      <c r="Y21" s="102" t="str">
        <f t="shared" si="3"/>
        <v/>
      </c>
      <c r="Z21" s="103" t="str">
        <f>IF(X21="","",VLOOKUP(Y21,Table1[],2,TRUE))</f>
        <v/>
      </c>
      <c r="AA21" s="104" t="str">
        <f>IF(AND(V21="",Y21=""),"",IF(OR(V21="-",Y21="-"),"-",IF(AND(V$3&lt;&gt;0,Y$3&lt;&gt;0),VLOOKUP(AVERAGE(V21,Y21),Table1[],2,TRUE),IF(AND(V$3&lt;&gt;0,Y$3=0),W21,Z21))))</f>
        <v/>
      </c>
      <c r="AB21" s="105"/>
      <c r="AC21" s="107" t="str">
        <f t="shared" si="4"/>
        <v/>
      </c>
      <c r="AD21" s="155" t="s">
        <v>18</v>
      </c>
    </row>
    <row r="22" spans="1:30" x14ac:dyDescent="0.25">
      <c r="A22" s="156"/>
      <c r="B22" s="157"/>
      <c r="C22" s="157"/>
      <c r="D22" s="157"/>
      <c r="E22" s="157"/>
      <c r="F22" s="157"/>
      <c r="G22" s="157"/>
      <c r="H22" s="157"/>
      <c r="I22" s="157"/>
      <c r="J22" s="158"/>
      <c r="K22" s="159"/>
      <c r="L22" s="157"/>
      <c r="M22" s="157"/>
      <c r="N22" s="157"/>
      <c r="O22" s="157"/>
      <c r="P22" s="157"/>
      <c r="Q22" s="157"/>
      <c r="R22" s="157"/>
      <c r="S22" s="157"/>
      <c r="T22" s="160"/>
      <c r="U22" s="117" t="str">
        <f t="shared" si="0"/>
        <v/>
      </c>
      <c r="V22" s="100" t="str">
        <f t="shared" si="1"/>
        <v/>
      </c>
      <c r="W22" s="99" t="str">
        <f>IF(U22="","",VLOOKUP(V22,Table1[],2,TRUE))</f>
        <v/>
      </c>
      <c r="X22" s="101" t="str">
        <f t="shared" si="2"/>
        <v/>
      </c>
      <c r="Y22" s="102" t="str">
        <f t="shared" si="3"/>
        <v/>
      </c>
      <c r="Z22" s="103" t="str">
        <f>IF(X22="","",VLOOKUP(Y22,Table1[],2,TRUE))</f>
        <v/>
      </c>
      <c r="AA22" s="104" t="str">
        <f>IF(AND(V22="",Y22=""),"",IF(OR(V22="-",Y22="-"),"-",IF(AND(V$3&lt;&gt;0,Y$3&lt;&gt;0),VLOOKUP(AVERAGE(V22,Y22),Table1[],2,TRUE),IF(AND(V$3&lt;&gt;0,Y$3=0),W22,Z22))))</f>
        <v/>
      </c>
      <c r="AB22" s="105"/>
      <c r="AC22" s="107" t="str">
        <f t="shared" si="4"/>
        <v/>
      </c>
      <c r="AD22" s="155" t="s">
        <v>18</v>
      </c>
    </row>
    <row r="23" spans="1:30" x14ac:dyDescent="0.25">
      <c r="A23" s="156"/>
      <c r="B23" s="157"/>
      <c r="C23" s="157"/>
      <c r="D23" s="157"/>
      <c r="E23" s="157"/>
      <c r="F23" s="157"/>
      <c r="G23" s="157"/>
      <c r="H23" s="157"/>
      <c r="I23" s="157"/>
      <c r="J23" s="158"/>
      <c r="K23" s="159"/>
      <c r="L23" s="157"/>
      <c r="M23" s="157"/>
      <c r="N23" s="157"/>
      <c r="O23" s="157"/>
      <c r="P23" s="157"/>
      <c r="Q23" s="157"/>
      <c r="R23" s="157"/>
      <c r="S23" s="157"/>
      <c r="T23" s="160"/>
      <c r="U23" s="117" t="str">
        <f t="shared" si="0"/>
        <v/>
      </c>
      <c r="V23" s="100" t="str">
        <f t="shared" si="1"/>
        <v/>
      </c>
      <c r="W23" s="99" t="str">
        <f>IF(U23="","",VLOOKUP(V23,Table1[],2,TRUE))</f>
        <v/>
      </c>
      <c r="X23" s="101" t="str">
        <f t="shared" si="2"/>
        <v/>
      </c>
      <c r="Y23" s="102" t="str">
        <f t="shared" si="3"/>
        <v/>
      </c>
      <c r="Z23" s="103" t="str">
        <f>IF(X23="","",VLOOKUP(Y23,Table1[],2,TRUE))</f>
        <v/>
      </c>
      <c r="AA23" s="104" t="str">
        <f>IF(AND(V23="",Y23=""),"",IF(OR(V23="-",Y23="-"),"-",IF(AND(V$3&lt;&gt;0,Y$3&lt;&gt;0),VLOOKUP(AVERAGE(V23,Y23),Table1[],2,TRUE),IF(AND(V$3&lt;&gt;0,Y$3=0),W23,Z23))))</f>
        <v/>
      </c>
      <c r="AB23" s="105"/>
      <c r="AC23" s="107" t="str">
        <f t="shared" si="4"/>
        <v/>
      </c>
      <c r="AD23" s="155" t="s">
        <v>18</v>
      </c>
    </row>
    <row r="24" spans="1:30" x14ac:dyDescent="0.25">
      <c r="A24" s="156"/>
      <c r="B24" s="157"/>
      <c r="C24" s="157"/>
      <c r="D24" s="157"/>
      <c r="E24" s="157"/>
      <c r="F24" s="157"/>
      <c r="G24" s="157"/>
      <c r="H24" s="157"/>
      <c r="I24" s="157"/>
      <c r="J24" s="158"/>
      <c r="K24" s="159"/>
      <c r="L24" s="157"/>
      <c r="M24" s="157"/>
      <c r="N24" s="157"/>
      <c r="O24" s="157"/>
      <c r="P24" s="157"/>
      <c r="Q24" s="157"/>
      <c r="R24" s="157"/>
      <c r="S24" s="157"/>
      <c r="T24" s="160"/>
      <c r="U24" s="117" t="str">
        <f t="shared" si="0"/>
        <v/>
      </c>
      <c r="V24" s="100" t="str">
        <f t="shared" si="1"/>
        <v/>
      </c>
      <c r="W24" s="99" t="str">
        <f>IF(U24="","",VLOOKUP(V24,Table1[],2,TRUE))</f>
        <v/>
      </c>
      <c r="X24" s="101" t="str">
        <f t="shared" si="2"/>
        <v/>
      </c>
      <c r="Y24" s="102" t="str">
        <f t="shared" si="3"/>
        <v/>
      </c>
      <c r="Z24" s="103" t="str">
        <f>IF(X24="","",VLOOKUP(Y24,Table1[],2,TRUE))</f>
        <v/>
      </c>
      <c r="AA24" s="104" t="str">
        <f>IF(AND(V24="",Y24=""),"",IF(OR(V24="-",Y24="-"),"-",IF(AND(V$3&lt;&gt;0,Y$3&lt;&gt;0),VLOOKUP(AVERAGE(V24,Y24),Table1[],2,TRUE),IF(AND(V$3&lt;&gt;0,Y$3=0),W24,Z24))))</f>
        <v/>
      </c>
      <c r="AB24" s="105"/>
      <c r="AC24" s="107" t="str">
        <f t="shared" si="4"/>
        <v/>
      </c>
      <c r="AD24" s="155" t="s">
        <v>18</v>
      </c>
    </row>
    <row r="25" spans="1:30" x14ac:dyDescent="0.25">
      <c r="A25" s="156"/>
      <c r="B25" s="157"/>
      <c r="C25" s="157"/>
      <c r="D25" s="157"/>
      <c r="E25" s="157"/>
      <c r="F25" s="157"/>
      <c r="G25" s="157"/>
      <c r="H25" s="157"/>
      <c r="I25" s="157"/>
      <c r="J25" s="158"/>
      <c r="K25" s="159"/>
      <c r="L25" s="157"/>
      <c r="M25" s="157"/>
      <c r="N25" s="157"/>
      <c r="O25" s="157"/>
      <c r="P25" s="157"/>
      <c r="Q25" s="157"/>
      <c r="R25" s="157"/>
      <c r="S25" s="157"/>
      <c r="T25" s="160"/>
      <c r="U25" s="117" t="str">
        <f t="shared" si="0"/>
        <v/>
      </c>
      <c r="V25" s="100" t="str">
        <f t="shared" si="1"/>
        <v/>
      </c>
      <c r="W25" s="99" t="str">
        <f>IF(U25="","",VLOOKUP(V25,Table1[],2,TRUE))</f>
        <v/>
      </c>
      <c r="X25" s="101" t="str">
        <f t="shared" si="2"/>
        <v/>
      </c>
      <c r="Y25" s="102" t="str">
        <f t="shared" si="3"/>
        <v/>
      </c>
      <c r="Z25" s="103" t="str">
        <f>IF(X25="","",VLOOKUP(Y25,Table1[],2,TRUE))</f>
        <v/>
      </c>
      <c r="AA25" s="104" t="str">
        <f>IF(AND(V25="",Y25=""),"",IF(OR(V25="-",Y25="-"),"-",IF(AND(V$3&lt;&gt;0,Y$3&lt;&gt;0),VLOOKUP(AVERAGE(V25,Y25),Table1[],2,TRUE),IF(AND(V$3&lt;&gt;0,Y$3=0),W25,Z25))))</f>
        <v/>
      </c>
      <c r="AB25" s="105"/>
      <c r="AC25" s="107" t="str">
        <f t="shared" si="4"/>
        <v/>
      </c>
      <c r="AD25" s="155" t="s">
        <v>18</v>
      </c>
    </row>
    <row r="26" spans="1:30" x14ac:dyDescent="0.25">
      <c r="A26" s="156"/>
      <c r="B26" s="157"/>
      <c r="C26" s="157"/>
      <c r="D26" s="157"/>
      <c r="E26" s="157"/>
      <c r="F26" s="157"/>
      <c r="G26" s="157"/>
      <c r="H26" s="157"/>
      <c r="I26" s="157"/>
      <c r="J26" s="158"/>
      <c r="K26" s="159"/>
      <c r="L26" s="157"/>
      <c r="M26" s="157"/>
      <c r="N26" s="157"/>
      <c r="O26" s="157"/>
      <c r="P26" s="157"/>
      <c r="Q26" s="157"/>
      <c r="R26" s="157"/>
      <c r="S26" s="157"/>
      <c r="T26" s="160"/>
      <c r="U26" s="117" t="str">
        <f t="shared" si="0"/>
        <v/>
      </c>
      <c r="V26" s="100" t="str">
        <f t="shared" si="1"/>
        <v/>
      </c>
      <c r="W26" s="99" t="str">
        <f>IF(U26="","",VLOOKUP(V26,Table1[],2,TRUE))</f>
        <v/>
      </c>
      <c r="X26" s="101" t="str">
        <f t="shared" si="2"/>
        <v/>
      </c>
      <c r="Y26" s="102" t="str">
        <f t="shared" si="3"/>
        <v/>
      </c>
      <c r="Z26" s="103" t="str">
        <f>IF(X26="","",VLOOKUP(Y26,Table1[],2,TRUE))</f>
        <v/>
      </c>
      <c r="AA26" s="104" t="str">
        <f>IF(AND(V26="",Y26=""),"",IF(OR(V26="-",Y26="-"),"-",IF(AND(V$3&lt;&gt;0,Y$3&lt;&gt;0),VLOOKUP(AVERAGE(V26,Y26),Table1[],2,TRUE),IF(AND(V$3&lt;&gt;0,Y$3=0),W26,Z26))))</f>
        <v/>
      </c>
      <c r="AB26" s="105"/>
      <c r="AC26" s="107" t="str">
        <f t="shared" si="4"/>
        <v/>
      </c>
      <c r="AD26" s="155" t="s">
        <v>18</v>
      </c>
    </row>
    <row r="27" spans="1:30" x14ac:dyDescent="0.25">
      <c r="A27" s="156"/>
      <c r="B27" s="157"/>
      <c r="C27" s="157"/>
      <c r="D27" s="157"/>
      <c r="E27" s="157"/>
      <c r="F27" s="157"/>
      <c r="G27" s="157"/>
      <c r="H27" s="157"/>
      <c r="I27" s="157"/>
      <c r="J27" s="158"/>
      <c r="K27" s="159"/>
      <c r="L27" s="157"/>
      <c r="M27" s="157"/>
      <c r="N27" s="157"/>
      <c r="O27" s="157"/>
      <c r="P27" s="157"/>
      <c r="Q27" s="157"/>
      <c r="R27" s="157"/>
      <c r="S27" s="157"/>
      <c r="T27" s="160"/>
      <c r="U27" s="117" t="str">
        <f t="shared" si="0"/>
        <v/>
      </c>
      <c r="V27" s="100" t="str">
        <f t="shared" si="1"/>
        <v/>
      </c>
      <c r="W27" s="99" t="str">
        <f>IF(U27="","",VLOOKUP(V27,Table1[],2,TRUE))</f>
        <v/>
      </c>
      <c r="X27" s="101" t="str">
        <f t="shared" si="2"/>
        <v/>
      </c>
      <c r="Y27" s="102" t="str">
        <f t="shared" si="3"/>
        <v/>
      </c>
      <c r="Z27" s="103" t="str">
        <f>IF(X27="","",VLOOKUP(Y27,Table1[],2,TRUE))</f>
        <v/>
      </c>
      <c r="AA27" s="104" t="str">
        <f>IF(AND(V27="",Y27=""),"",IF(OR(V27="-",Y27="-"),"-",IF(AND(V$3&lt;&gt;0,Y$3&lt;&gt;0),VLOOKUP(AVERAGE(V27,Y27),Table1[],2,TRUE),IF(AND(V$3&lt;&gt;0,Y$3=0),W27,Z27))))</f>
        <v/>
      </c>
      <c r="AB27" s="105"/>
      <c r="AC27" s="107" t="str">
        <f t="shared" si="4"/>
        <v/>
      </c>
      <c r="AD27" s="155" t="s">
        <v>18</v>
      </c>
    </row>
    <row r="28" spans="1:30" x14ac:dyDescent="0.25">
      <c r="A28" s="156"/>
      <c r="B28" s="157"/>
      <c r="C28" s="157"/>
      <c r="D28" s="157"/>
      <c r="E28" s="157"/>
      <c r="F28" s="157"/>
      <c r="G28" s="157"/>
      <c r="H28" s="157"/>
      <c r="I28" s="157"/>
      <c r="J28" s="158"/>
      <c r="K28" s="159"/>
      <c r="L28" s="157"/>
      <c r="M28" s="157"/>
      <c r="N28" s="157"/>
      <c r="O28" s="157"/>
      <c r="P28" s="157"/>
      <c r="Q28" s="157"/>
      <c r="R28" s="157"/>
      <c r="S28" s="157"/>
      <c r="T28" s="160"/>
      <c r="U28" s="117" t="str">
        <f t="shared" si="0"/>
        <v/>
      </c>
      <c r="V28" s="100" t="str">
        <f t="shared" si="1"/>
        <v/>
      </c>
      <c r="W28" s="99" t="str">
        <f>IF(U28="","",VLOOKUP(V28,Table1[],2,TRUE))</f>
        <v/>
      </c>
      <c r="X28" s="101" t="str">
        <f t="shared" si="2"/>
        <v/>
      </c>
      <c r="Y28" s="102" t="str">
        <f t="shared" si="3"/>
        <v/>
      </c>
      <c r="Z28" s="103" t="str">
        <f>IF(X28="","",VLOOKUP(Y28,Table1[],2,TRUE))</f>
        <v/>
      </c>
      <c r="AA28" s="104" t="str">
        <f>IF(AND(V28="",Y28=""),"",IF(OR(V28="-",Y28="-"),"-",IF(AND(V$3&lt;&gt;0,Y$3&lt;&gt;0),VLOOKUP(AVERAGE(V28,Y28),Table1[],2,TRUE),IF(AND(V$3&lt;&gt;0,Y$3=0),W28,Z28))))</f>
        <v/>
      </c>
      <c r="AB28" s="105"/>
      <c r="AC28" s="107" t="str">
        <f t="shared" si="4"/>
        <v/>
      </c>
      <c r="AD28" s="155" t="s">
        <v>18</v>
      </c>
    </row>
    <row r="29" spans="1:30" x14ac:dyDescent="0.25">
      <c r="A29" s="156"/>
      <c r="B29" s="157"/>
      <c r="C29" s="157"/>
      <c r="D29" s="157"/>
      <c r="E29" s="157"/>
      <c r="F29" s="157"/>
      <c r="G29" s="157"/>
      <c r="H29" s="157"/>
      <c r="I29" s="157"/>
      <c r="J29" s="158"/>
      <c r="K29" s="159"/>
      <c r="L29" s="157"/>
      <c r="M29" s="157"/>
      <c r="N29" s="157"/>
      <c r="O29" s="157"/>
      <c r="P29" s="157"/>
      <c r="Q29" s="157"/>
      <c r="R29" s="157"/>
      <c r="S29" s="157"/>
      <c r="T29" s="160"/>
      <c r="U29" s="117" t="str">
        <f t="shared" si="0"/>
        <v/>
      </c>
      <c r="V29" s="100" t="str">
        <f t="shared" si="1"/>
        <v/>
      </c>
      <c r="W29" s="99" t="str">
        <f>IF(U29="","",VLOOKUP(V29,Table1[],2,TRUE))</f>
        <v/>
      </c>
      <c r="X29" s="101" t="str">
        <f t="shared" si="2"/>
        <v/>
      </c>
      <c r="Y29" s="102" t="str">
        <f t="shared" si="3"/>
        <v/>
      </c>
      <c r="Z29" s="103" t="str">
        <f>IF(X29="","",VLOOKUP(Y29,Table1[],2,TRUE))</f>
        <v/>
      </c>
      <c r="AA29" s="104" t="str">
        <f>IF(AND(V29="",Y29=""),"",IF(OR(V29="-",Y29="-"),"-",IF(AND(V$3&lt;&gt;0,Y$3&lt;&gt;0),VLOOKUP(AVERAGE(V29,Y29),Table1[],2,TRUE),IF(AND(V$3&lt;&gt;0,Y$3=0),W29,Z29))))</f>
        <v/>
      </c>
      <c r="AB29" s="105"/>
      <c r="AC29" s="107" t="str">
        <f t="shared" si="4"/>
        <v/>
      </c>
      <c r="AD29" s="155" t="s">
        <v>18</v>
      </c>
    </row>
    <row r="30" spans="1:30" x14ac:dyDescent="0.25">
      <c r="A30" s="156"/>
      <c r="B30" s="157"/>
      <c r="C30" s="157"/>
      <c r="D30" s="157"/>
      <c r="E30" s="157"/>
      <c r="F30" s="157"/>
      <c r="G30" s="157"/>
      <c r="H30" s="157"/>
      <c r="I30" s="157"/>
      <c r="J30" s="158"/>
      <c r="K30" s="159"/>
      <c r="L30" s="157"/>
      <c r="M30" s="157"/>
      <c r="N30" s="157"/>
      <c r="O30" s="157"/>
      <c r="P30" s="157"/>
      <c r="Q30" s="157"/>
      <c r="R30" s="157"/>
      <c r="S30" s="157"/>
      <c r="T30" s="160"/>
      <c r="U30" s="117" t="str">
        <f t="shared" si="0"/>
        <v/>
      </c>
      <c r="V30" s="100" t="str">
        <f t="shared" si="1"/>
        <v/>
      </c>
      <c r="W30" s="99" t="str">
        <f>IF(U30="","",VLOOKUP(V30,Table1[],2,TRUE))</f>
        <v/>
      </c>
      <c r="X30" s="101" t="str">
        <f t="shared" si="2"/>
        <v/>
      </c>
      <c r="Y30" s="102" t="str">
        <f t="shared" si="3"/>
        <v/>
      </c>
      <c r="Z30" s="103" t="str">
        <f>IF(X30="","",VLOOKUP(Y30,Table1[],2,TRUE))</f>
        <v/>
      </c>
      <c r="AA30" s="104" t="str">
        <f>IF(AND(V30="",Y30=""),"",IF(OR(V30="-",Y30="-"),"-",IF(AND(V$3&lt;&gt;0,Y$3&lt;&gt;0),VLOOKUP(AVERAGE(V30,Y30),Table1[],2,TRUE),IF(AND(V$3&lt;&gt;0,Y$3=0),W30,Z30))))</f>
        <v/>
      </c>
      <c r="AB30" s="105"/>
      <c r="AC30" s="107" t="str">
        <f t="shared" si="4"/>
        <v/>
      </c>
      <c r="AD30" s="155" t="s">
        <v>18</v>
      </c>
    </row>
    <row r="31" spans="1:30" x14ac:dyDescent="0.25">
      <c r="A31" s="156"/>
      <c r="B31" s="157"/>
      <c r="C31" s="157"/>
      <c r="D31" s="157"/>
      <c r="E31" s="157"/>
      <c r="F31" s="157"/>
      <c r="G31" s="157"/>
      <c r="H31" s="157"/>
      <c r="I31" s="157"/>
      <c r="J31" s="158"/>
      <c r="K31" s="159"/>
      <c r="L31" s="157"/>
      <c r="M31" s="157"/>
      <c r="N31" s="157"/>
      <c r="O31" s="157"/>
      <c r="P31" s="157"/>
      <c r="Q31" s="157"/>
      <c r="R31" s="157"/>
      <c r="S31" s="157"/>
      <c r="T31" s="160"/>
      <c r="U31" s="117" t="str">
        <f t="shared" si="0"/>
        <v/>
      </c>
      <c r="V31" s="100" t="str">
        <f t="shared" si="1"/>
        <v/>
      </c>
      <c r="W31" s="99" t="str">
        <f>IF(U31="","",VLOOKUP(V31,Table1[],2,TRUE))</f>
        <v/>
      </c>
      <c r="X31" s="101" t="str">
        <f t="shared" si="2"/>
        <v/>
      </c>
      <c r="Y31" s="102" t="str">
        <f t="shared" si="3"/>
        <v/>
      </c>
      <c r="Z31" s="103" t="str">
        <f>IF(X31="","",VLOOKUP(Y31,Table1[],2,TRUE))</f>
        <v/>
      </c>
      <c r="AA31" s="104" t="str">
        <f>IF(AND(V31="",Y31=""),"",IF(OR(V31="-",Y31="-"),"-",IF(AND(V$3&lt;&gt;0,Y$3&lt;&gt;0),VLOOKUP(AVERAGE(V31,Y31),Table1[],2,TRUE),IF(AND(V$3&lt;&gt;0,Y$3=0),W31,Z31))))</f>
        <v/>
      </c>
      <c r="AB31" s="105"/>
      <c r="AC31" s="107" t="str">
        <f t="shared" si="4"/>
        <v/>
      </c>
      <c r="AD31" s="155" t="s">
        <v>18</v>
      </c>
    </row>
    <row r="32" spans="1:30" x14ac:dyDescent="0.25">
      <c r="A32" s="156"/>
      <c r="B32" s="157"/>
      <c r="C32" s="157"/>
      <c r="D32" s="157"/>
      <c r="E32" s="157"/>
      <c r="F32" s="157"/>
      <c r="G32" s="157"/>
      <c r="H32" s="157"/>
      <c r="I32" s="157"/>
      <c r="J32" s="158"/>
      <c r="K32" s="159"/>
      <c r="L32" s="157"/>
      <c r="M32" s="157"/>
      <c r="N32" s="157"/>
      <c r="O32" s="157"/>
      <c r="P32" s="157"/>
      <c r="Q32" s="157"/>
      <c r="R32" s="157"/>
      <c r="S32" s="157"/>
      <c r="T32" s="160"/>
      <c r="U32" s="117" t="str">
        <f t="shared" si="0"/>
        <v/>
      </c>
      <c r="V32" s="100" t="str">
        <f t="shared" si="1"/>
        <v/>
      </c>
      <c r="W32" s="99" t="str">
        <f>IF(U32="","",VLOOKUP(V32,Table1[],2,TRUE))</f>
        <v/>
      </c>
      <c r="X32" s="101" t="str">
        <f t="shared" si="2"/>
        <v/>
      </c>
      <c r="Y32" s="102" t="str">
        <f t="shared" si="3"/>
        <v/>
      </c>
      <c r="Z32" s="103" t="str">
        <f>IF(X32="","",VLOOKUP(Y32,Table1[],2,TRUE))</f>
        <v/>
      </c>
      <c r="AA32" s="104" t="str">
        <f>IF(AND(V32="",Y32=""),"",IF(OR(V32="-",Y32="-"),"-",IF(AND(V$3&lt;&gt;0,Y$3&lt;&gt;0),VLOOKUP(AVERAGE(V32,Y32),Table1[],2,TRUE),IF(AND(V$3&lt;&gt;0,Y$3=0),W32,Z32))))</f>
        <v/>
      </c>
      <c r="AB32" s="105"/>
      <c r="AC32" s="107" t="str">
        <f t="shared" si="4"/>
        <v/>
      </c>
      <c r="AD32" s="155" t="s">
        <v>18</v>
      </c>
    </row>
    <row r="33" spans="1:30" x14ac:dyDescent="0.25">
      <c r="A33" s="156"/>
      <c r="B33" s="157"/>
      <c r="C33" s="157"/>
      <c r="D33" s="157"/>
      <c r="E33" s="157"/>
      <c r="F33" s="157"/>
      <c r="G33" s="157"/>
      <c r="H33" s="157"/>
      <c r="I33" s="157"/>
      <c r="J33" s="158"/>
      <c r="K33" s="159"/>
      <c r="L33" s="157"/>
      <c r="M33" s="157"/>
      <c r="N33" s="157"/>
      <c r="O33" s="157"/>
      <c r="P33" s="157"/>
      <c r="Q33" s="157"/>
      <c r="R33" s="157"/>
      <c r="S33" s="157"/>
      <c r="T33" s="160"/>
      <c r="U33" s="117" t="str">
        <f t="shared" si="0"/>
        <v/>
      </c>
      <c r="V33" s="100" t="str">
        <f t="shared" si="1"/>
        <v/>
      </c>
      <c r="W33" s="99" t="str">
        <f>IF(U33="","",VLOOKUP(V33,Table1[],2,TRUE))</f>
        <v/>
      </c>
      <c r="X33" s="101" t="str">
        <f t="shared" si="2"/>
        <v/>
      </c>
      <c r="Y33" s="102" t="str">
        <f t="shared" si="3"/>
        <v/>
      </c>
      <c r="Z33" s="103" t="str">
        <f>IF(X33="","",VLOOKUP(Y33,Table1[],2,TRUE))</f>
        <v/>
      </c>
      <c r="AA33" s="104" t="str">
        <f>IF(AND(V33="",Y33=""),"",IF(OR(V33="-",Y33="-"),"-",IF(AND(V$3&lt;&gt;0,Y$3&lt;&gt;0),VLOOKUP(AVERAGE(V33,Y33),Table1[],2,TRUE),IF(AND(V$3&lt;&gt;0,Y$3=0),W33,Z33))))</f>
        <v/>
      </c>
      <c r="AB33" s="105"/>
      <c r="AC33" s="107" t="str">
        <f t="shared" si="4"/>
        <v/>
      </c>
      <c r="AD33" s="155" t="s">
        <v>18</v>
      </c>
    </row>
    <row r="34" spans="1:30" x14ac:dyDescent="0.25">
      <c r="A34" s="156"/>
      <c r="B34" s="157"/>
      <c r="C34" s="157"/>
      <c r="D34" s="157"/>
      <c r="E34" s="157"/>
      <c r="F34" s="157"/>
      <c r="G34" s="157"/>
      <c r="H34" s="157"/>
      <c r="I34" s="157"/>
      <c r="J34" s="158"/>
      <c r="K34" s="159"/>
      <c r="L34" s="157"/>
      <c r="M34" s="157"/>
      <c r="N34" s="157"/>
      <c r="O34" s="157"/>
      <c r="P34" s="157"/>
      <c r="Q34" s="157"/>
      <c r="R34" s="157"/>
      <c r="S34" s="157"/>
      <c r="T34" s="160"/>
      <c r="U34" s="117" t="str">
        <f t="shared" si="0"/>
        <v/>
      </c>
      <c r="V34" s="100" t="str">
        <f t="shared" si="1"/>
        <v/>
      </c>
      <c r="W34" s="99" t="str">
        <f>IF(U34="","",VLOOKUP(V34,Table1[],2,TRUE))</f>
        <v/>
      </c>
      <c r="X34" s="101" t="str">
        <f t="shared" si="2"/>
        <v/>
      </c>
      <c r="Y34" s="102" t="str">
        <f t="shared" si="3"/>
        <v/>
      </c>
      <c r="Z34" s="103" t="str">
        <f>IF(X34="","",VLOOKUP(Y34,Table1[],2,TRUE))</f>
        <v/>
      </c>
      <c r="AA34" s="104" t="str">
        <f>IF(AND(V34="",Y34=""),"",IF(OR(V34="-",Y34="-"),"-",IF(AND(V$3&lt;&gt;0,Y$3&lt;&gt;0),VLOOKUP(AVERAGE(V34,Y34),Table1[],2,TRUE),IF(AND(V$3&lt;&gt;0,Y$3=0),W34,Z34))))</f>
        <v/>
      </c>
      <c r="AB34" s="105"/>
      <c r="AC34" s="107" t="str">
        <f t="shared" si="4"/>
        <v/>
      </c>
      <c r="AD34" s="155" t="s">
        <v>18</v>
      </c>
    </row>
    <row r="35" spans="1:30" x14ac:dyDescent="0.25">
      <c r="A35" s="156"/>
      <c r="B35" s="157"/>
      <c r="C35" s="157"/>
      <c r="D35" s="157"/>
      <c r="E35" s="157"/>
      <c r="F35" s="157"/>
      <c r="G35" s="157"/>
      <c r="H35" s="157"/>
      <c r="I35" s="157"/>
      <c r="J35" s="158"/>
      <c r="K35" s="159"/>
      <c r="L35" s="157"/>
      <c r="M35" s="157"/>
      <c r="N35" s="157"/>
      <c r="O35" s="157"/>
      <c r="P35" s="157"/>
      <c r="Q35" s="157"/>
      <c r="R35" s="157"/>
      <c r="S35" s="157"/>
      <c r="T35" s="160"/>
      <c r="U35" s="117" t="str">
        <f t="shared" si="0"/>
        <v/>
      </c>
      <c r="V35" s="100" t="str">
        <f t="shared" si="1"/>
        <v/>
      </c>
      <c r="W35" s="99" t="str">
        <f>IF(U35="","",VLOOKUP(V35,Table1[],2,TRUE))</f>
        <v/>
      </c>
      <c r="X35" s="101" t="str">
        <f t="shared" si="2"/>
        <v/>
      </c>
      <c r="Y35" s="102" t="str">
        <f t="shared" si="3"/>
        <v/>
      </c>
      <c r="Z35" s="103" t="str">
        <f>IF(X35="","",VLOOKUP(Y35,Table1[],2,TRUE))</f>
        <v/>
      </c>
      <c r="AA35" s="104" t="str">
        <f>IF(AND(V35="",Y35=""),"",IF(OR(V35="-",Y35="-"),"-",IF(AND(V$3&lt;&gt;0,Y$3&lt;&gt;0),VLOOKUP(AVERAGE(V35,Y35),Table1[],2,TRUE),IF(AND(V$3&lt;&gt;0,Y$3=0),W35,Z35))))</f>
        <v/>
      </c>
      <c r="AB35" s="105"/>
      <c r="AC35" s="107" t="str">
        <f t="shared" si="4"/>
        <v/>
      </c>
      <c r="AD35" s="155" t="s">
        <v>18</v>
      </c>
    </row>
    <row r="36" spans="1:30" x14ac:dyDescent="0.25">
      <c r="A36" s="156"/>
      <c r="B36" s="157"/>
      <c r="C36" s="157"/>
      <c r="D36" s="157"/>
      <c r="E36" s="157"/>
      <c r="F36" s="157"/>
      <c r="G36" s="157"/>
      <c r="H36" s="157"/>
      <c r="I36" s="157"/>
      <c r="J36" s="158"/>
      <c r="K36" s="159"/>
      <c r="L36" s="157"/>
      <c r="M36" s="157"/>
      <c r="N36" s="157"/>
      <c r="O36" s="157"/>
      <c r="P36" s="157"/>
      <c r="Q36" s="157"/>
      <c r="R36" s="157"/>
      <c r="S36" s="157"/>
      <c r="T36" s="160"/>
      <c r="U36" s="117" t="str">
        <f t="shared" si="0"/>
        <v/>
      </c>
      <c r="V36" s="100" t="str">
        <f t="shared" si="1"/>
        <v/>
      </c>
      <c r="W36" s="99" t="str">
        <f>IF(U36="","",VLOOKUP(V36,Table1[],2,TRUE))</f>
        <v/>
      </c>
      <c r="X36" s="101" t="str">
        <f t="shared" si="2"/>
        <v/>
      </c>
      <c r="Y36" s="102" t="str">
        <f t="shared" si="3"/>
        <v/>
      </c>
      <c r="Z36" s="103" t="str">
        <f>IF(X36="","",VLOOKUP(Y36,Table1[],2,TRUE))</f>
        <v/>
      </c>
      <c r="AA36" s="104" t="str">
        <f>IF(AND(V36="",Y36=""),"",IF(OR(V36="-",Y36="-"),"-",IF(AND(V$3&lt;&gt;0,Y$3&lt;&gt;0),VLOOKUP(AVERAGE(V36,Y36),Table1[],2,TRUE),IF(AND(V$3&lt;&gt;0,Y$3=0),W36,Z36))))</f>
        <v/>
      </c>
      <c r="AB36" s="105"/>
      <c r="AC36" s="107" t="str">
        <f t="shared" si="4"/>
        <v/>
      </c>
      <c r="AD36" s="155" t="s">
        <v>18</v>
      </c>
    </row>
    <row r="37" spans="1:30" x14ac:dyDescent="0.25">
      <c r="A37" s="156"/>
      <c r="B37" s="157"/>
      <c r="C37" s="157"/>
      <c r="D37" s="157"/>
      <c r="E37" s="157"/>
      <c r="F37" s="157"/>
      <c r="G37" s="157"/>
      <c r="H37" s="157"/>
      <c r="I37" s="157"/>
      <c r="J37" s="158"/>
      <c r="K37" s="159"/>
      <c r="L37" s="157"/>
      <c r="M37" s="157"/>
      <c r="N37" s="157"/>
      <c r="O37" s="157"/>
      <c r="P37" s="157"/>
      <c r="Q37" s="157"/>
      <c r="R37" s="157"/>
      <c r="S37" s="157"/>
      <c r="T37" s="160"/>
      <c r="U37" s="117" t="str">
        <f t="shared" si="0"/>
        <v/>
      </c>
      <c r="V37" s="100" t="str">
        <f t="shared" si="1"/>
        <v/>
      </c>
      <c r="W37" s="99" t="str">
        <f>IF(U37="","",VLOOKUP(V37,Table1[],2,TRUE))</f>
        <v/>
      </c>
      <c r="X37" s="101" t="str">
        <f t="shared" si="2"/>
        <v/>
      </c>
      <c r="Y37" s="102" t="str">
        <f t="shared" si="3"/>
        <v/>
      </c>
      <c r="Z37" s="103" t="str">
        <f>IF(X37="","",VLOOKUP(Y37,Table1[],2,TRUE))</f>
        <v/>
      </c>
      <c r="AA37" s="104" t="str">
        <f>IF(AND(V37="",Y37=""),"",IF(OR(V37="-",Y37="-"),"-",IF(AND(V$3&lt;&gt;0,Y$3&lt;&gt;0),VLOOKUP(AVERAGE(V37,Y37),Table1[],2,TRUE),IF(AND(V$3&lt;&gt;0,Y$3=0),W37,Z37))))</f>
        <v/>
      </c>
      <c r="AB37" s="105"/>
      <c r="AC37" s="107" t="str">
        <f t="shared" si="4"/>
        <v/>
      </c>
      <c r="AD37" s="155" t="s">
        <v>18</v>
      </c>
    </row>
    <row r="38" spans="1:30" x14ac:dyDescent="0.25">
      <c r="A38" s="156"/>
      <c r="B38" s="157"/>
      <c r="C38" s="157"/>
      <c r="D38" s="157"/>
      <c r="E38" s="157"/>
      <c r="F38" s="157"/>
      <c r="G38" s="157"/>
      <c r="H38" s="157"/>
      <c r="I38" s="157"/>
      <c r="J38" s="158"/>
      <c r="K38" s="159"/>
      <c r="L38" s="157"/>
      <c r="M38" s="157"/>
      <c r="N38" s="157"/>
      <c r="O38" s="157"/>
      <c r="P38" s="157"/>
      <c r="Q38" s="157"/>
      <c r="R38" s="157"/>
      <c r="S38" s="157"/>
      <c r="T38" s="160"/>
      <c r="U38" s="117" t="str">
        <f t="shared" si="0"/>
        <v/>
      </c>
      <c r="V38" s="100" t="str">
        <f t="shared" si="1"/>
        <v/>
      </c>
      <c r="W38" s="99" t="str">
        <f>IF(U38="","",VLOOKUP(V38,Table1[],2,TRUE))</f>
        <v/>
      </c>
      <c r="X38" s="101" t="str">
        <f t="shared" si="2"/>
        <v/>
      </c>
      <c r="Y38" s="102" t="str">
        <f t="shared" si="3"/>
        <v/>
      </c>
      <c r="Z38" s="103" t="str">
        <f>IF(X38="","",VLOOKUP(Y38,Table1[],2,TRUE))</f>
        <v/>
      </c>
      <c r="AA38" s="104" t="str">
        <f>IF(AND(V38="",Y38=""),"",IF(OR(V38="-",Y38="-"),"-",IF(AND(V$3&lt;&gt;0,Y$3&lt;&gt;0),VLOOKUP(AVERAGE(V38,Y38),Table1[],2,TRUE),IF(AND(V$3&lt;&gt;0,Y$3=0),W38,Z38))))</f>
        <v/>
      </c>
      <c r="AB38" s="105"/>
      <c r="AC38" s="107" t="str">
        <f t="shared" si="4"/>
        <v/>
      </c>
      <c r="AD38" s="155" t="s">
        <v>18</v>
      </c>
    </row>
    <row r="39" spans="1:30" x14ac:dyDescent="0.25">
      <c r="A39" s="156"/>
      <c r="B39" s="157"/>
      <c r="C39" s="157"/>
      <c r="D39" s="157"/>
      <c r="E39" s="157"/>
      <c r="F39" s="157"/>
      <c r="G39" s="157"/>
      <c r="H39" s="157"/>
      <c r="I39" s="157"/>
      <c r="J39" s="158"/>
      <c r="K39" s="159"/>
      <c r="L39" s="157"/>
      <c r="M39" s="157"/>
      <c r="N39" s="157"/>
      <c r="O39" s="157"/>
      <c r="P39" s="157"/>
      <c r="Q39" s="157"/>
      <c r="R39" s="157"/>
      <c r="S39" s="157"/>
      <c r="T39" s="160"/>
      <c r="U39" s="117" t="str">
        <f t="shared" si="0"/>
        <v/>
      </c>
      <c r="V39" s="100" t="str">
        <f t="shared" si="1"/>
        <v/>
      </c>
      <c r="W39" s="99" t="str">
        <f>IF(U39="","",VLOOKUP(V39,Table1[],2,TRUE))</f>
        <v/>
      </c>
      <c r="X39" s="101" t="str">
        <f t="shared" si="2"/>
        <v/>
      </c>
      <c r="Y39" s="102" t="str">
        <f t="shared" si="3"/>
        <v/>
      </c>
      <c r="Z39" s="103" t="str">
        <f>IF(X39="","",VLOOKUP(Y39,Table1[],2,TRUE))</f>
        <v/>
      </c>
      <c r="AA39" s="104" t="str">
        <f>IF(AND(V39="",Y39=""),"",IF(OR(V39="-",Y39="-"),"-",IF(AND(V$3&lt;&gt;0,Y$3&lt;&gt;0),VLOOKUP(AVERAGE(V39,Y39),Table1[],2,TRUE),IF(AND(V$3&lt;&gt;0,Y$3=0),W39,Z39))))</f>
        <v/>
      </c>
      <c r="AB39" s="105"/>
      <c r="AC39" s="107" t="str">
        <f t="shared" si="4"/>
        <v/>
      </c>
      <c r="AD39" s="155" t="s">
        <v>18</v>
      </c>
    </row>
    <row r="40" spans="1:30" ht="15.75" thickBot="1" x14ac:dyDescent="0.3">
      <c r="A40" s="161"/>
      <c r="B40" s="162"/>
      <c r="C40" s="162"/>
      <c r="D40" s="162"/>
      <c r="E40" s="162"/>
      <c r="F40" s="162"/>
      <c r="G40" s="162"/>
      <c r="H40" s="162"/>
      <c r="I40" s="162"/>
      <c r="J40" s="163"/>
      <c r="K40" s="164"/>
      <c r="L40" s="162"/>
      <c r="M40" s="162"/>
      <c r="N40" s="162"/>
      <c r="O40" s="162"/>
      <c r="P40" s="162"/>
      <c r="Q40" s="162"/>
      <c r="R40" s="162"/>
      <c r="S40" s="162"/>
      <c r="T40" s="165"/>
      <c r="U40" s="108" t="str">
        <f t="shared" si="0"/>
        <v/>
      </c>
      <c r="V40" s="108" t="str">
        <f t="shared" si="1"/>
        <v/>
      </c>
      <c r="W40" s="109" t="str">
        <f>IF(U40="","",VLOOKUP(V40,Table1[],2,TRUE))</f>
        <v/>
      </c>
      <c r="X40" s="110" t="str">
        <f t="shared" si="2"/>
        <v/>
      </c>
      <c r="Y40" s="110" t="str">
        <f t="shared" si="3"/>
        <v/>
      </c>
      <c r="Z40" s="110" t="str">
        <f>IF(X40="","",VLOOKUP(Y40,Table1[],2,TRUE))</f>
        <v/>
      </c>
      <c r="AA40" s="111" t="str">
        <f>IF(AND(V40="",Y40=""),"",IF(OR(V40="-",Y40="-"),"-",IF(AND(V$3&lt;&gt;0,Y$3&lt;&gt;0),VLOOKUP(AVERAGE(V40,Y40),Table1[],2,TRUE),IF(AND(V$3&lt;&gt;0,Y$3=0),W40,Z40))))</f>
        <v/>
      </c>
      <c r="AB40" s="112"/>
      <c r="AC40" s="113" t="str">
        <f t="shared" si="4"/>
        <v/>
      </c>
      <c r="AD40" s="166" t="s">
        <v>18</v>
      </c>
    </row>
  </sheetData>
  <mergeCells count="16">
    <mergeCell ref="K2:T2"/>
    <mergeCell ref="A2:J2"/>
    <mergeCell ref="U2:AC2"/>
    <mergeCell ref="B1:AD1"/>
    <mergeCell ref="A4:B4"/>
    <mergeCell ref="C4:D4"/>
    <mergeCell ref="E4:F4"/>
    <mergeCell ref="G4:H4"/>
    <mergeCell ref="I4:J4"/>
    <mergeCell ref="K4:L4"/>
    <mergeCell ref="M4:N4"/>
    <mergeCell ref="O4:P4"/>
    <mergeCell ref="Q4:R4"/>
    <mergeCell ref="S4:T4"/>
    <mergeCell ref="V3:W3"/>
    <mergeCell ref="Y3:Z3"/>
  </mergeCells>
  <conditionalFormatting sqref="W5:W40 Z5:Z40 AA5:AC40">
    <cfRule type="expression" dxfId="24" priority="17">
      <formula>OR(ISNUMBER(SEARCH("D",W5)),ISNUMBER(SEARCH("E",W5)))</formula>
    </cfRule>
  </conditionalFormatting>
  <conditionalFormatting sqref="A5:T40">
    <cfRule type="expression" dxfId="23" priority="1">
      <formula>NOT(ISBLANK(A5))</formula>
    </cfRule>
  </conditionalFormatting>
  <conditionalFormatting sqref="A5:A40 C5:C40 E5:E40 G5:G40 I5:I40 K5:K40 M5:M40 O5:O40 Q5:Q40 S5:S40">
    <cfRule type="expression" dxfId="22" priority="19">
      <formula>NOT($A5="ZZZZZ")</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B772A52-9F2A-4EAD-9868-173A40AB2317}">
          <x14:formula1>
            <xm:f>GradeScheme!$B$2:$B$18</xm:f>
          </x14:formula1>
          <xm:sqref>AB5:AB40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R741"/>
  <sheetViews>
    <sheetView zoomScaleNormal="100" workbookViewId="0">
      <selection activeCell="E43" sqref="E43"/>
    </sheetView>
  </sheetViews>
  <sheetFormatPr defaultRowHeight="15" x14ac:dyDescent="0.25"/>
  <cols>
    <col min="1" max="1" width="17" style="9" bestFit="1" customWidth="1"/>
    <col min="2" max="2" width="4.7109375" style="9" customWidth="1"/>
    <col min="3" max="3" width="17" style="9" bestFit="1" customWidth="1"/>
    <col min="4" max="4" width="4.7109375" style="9" customWidth="1"/>
    <col min="5" max="5" width="17" style="9" bestFit="1" customWidth="1"/>
    <col min="6" max="6" width="4.7109375" style="19" customWidth="1"/>
    <col min="7" max="7" width="17" style="19" bestFit="1" customWidth="1"/>
    <col min="8" max="8" width="4.7109375" style="19" customWidth="1"/>
    <col min="9" max="9" width="17" style="19" bestFit="1" customWidth="1"/>
    <col min="10" max="10" width="4.7109375" style="19" customWidth="1"/>
    <col min="11" max="11" width="17" style="9" hidden="1" customWidth="1"/>
    <col min="12" max="12" width="4.7109375" style="19" hidden="1" customWidth="1"/>
    <col min="13" max="13" width="13.28515625" style="9" bestFit="1" customWidth="1"/>
    <col min="14" max="14" width="5.5703125" style="19" customWidth="1"/>
    <col min="15" max="15" width="6.140625" style="9" customWidth="1"/>
    <col min="16" max="16" width="12.85546875" style="9" bestFit="1" customWidth="1"/>
    <col min="17" max="17" width="5.5703125" style="19" bestFit="1" customWidth="1"/>
    <col min="18" max="18" width="6.28515625" style="9" bestFit="1" customWidth="1"/>
    <col min="19" max="19" width="11" style="9" bestFit="1" customWidth="1"/>
    <col min="20" max="20" width="10.42578125" style="39" bestFit="1" customWidth="1"/>
    <col min="21" max="21" width="13.42578125" style="33" bestFit="1" customWidth="1"/>
    <col min="22" max="22" width="3.42578125" style="33" customWidth="1"/>
    <col min="23" max="23" width="18.85546875" style="33" bestFit="1" customWidth="1"/>
    <col min="24" max="24" width="3.140625" style="33" bestFit="1" customWidth="1"/>
    <col min="25" max="25" width="17" style="33" hidden="1" customWidth="1"/>
    <col min="26" max="26" width="9.140625" style="33" hidden="1" customWidth="1"/>
    <col min="27" max="27" width="17" style="33" hidden="1" customWidth="1"/>
    <col min="28" max="28" width="9.140625" style="33" hidden="1" customWidth="1"/>
    <col min="29" max="29" width="17" style="33" hidden="1" customWidth="1"/>
    <col min="30" max="30" width="9.140625" style="33" hidden="1" customWidth="1"/>
    <col min="31" max="31" width="17" style="33" hidden="1" customWidth="1"/>
    <col min="32" max="32" width="9.140625" style="33" hidden="1" customWidth="1"/>
    <col min="33" max="33" width="17" style="33" hidden="1" customWidth="1"/>
    <col min="34" max="34" width="9.140625" style="33" hidden="1" customWidth="1"/>
    <col min="35" max="35" width="18.85546875" style="33" customWidth="1"/>
    <col min="36" max="36" width="5.7109375" style="33" customWidth="1"/>
    <col min="37" max="37" width="6.42578125" style="33" hidden="1" customWidth="1"/>
    <col min="38" max="38" width="13.42578125" style="33" hidden="1" customWidth="1"/>
    <col min="39" max="39" width="2.7109375" style="33" hidden="1" customWidth="1"/>
    <col min="40" max="40" width="6.42578125" style="33" hidden="1" customWidth="1"/>
    <col min="41" max="41" width="11" style="33" hidden="1" customWidth="1"/>
    <col min="42" max="42" width="10.42578125" style="33" hidden="1" customWidth="1"/>
    <col min="43" max="43" width="13.42578125" style="33" bestFit="1" customWidth="1"/>
    <col min="44" max="44" width="2.7109375" style="33" customWidth="1"/>
    <col min="45" max="16384" width="9.140625" style="33"/>
  </cols>
  <sheetData>
    <row r="1" spans="1:44" x14ac:dyDescent="0.25">
      <c r="A1" s="20" t="s">
        <v>31</v>
      </c>
      <c r="B1" s="225" t="s">
        <v>54</v>
      </c>
      <c r="C1" s="226"/>
      <c r="D1" s="226"/>
      <c r="E1" s="226"/>
      <c r="F1" s="226"/>
      <c r="G1" s="226"/>
      <c r="H1" s="226"/>
      <c r="I1" s="226"/>
      <c r="J1" s="226"/>
      <c r="K1" s="226"/>
      <c r="L1" s="226"/>
      <c r="M1" s="226"/>
      <c r="N1" s="226"/>
      <c r="O1" s="226"/>
      <c r="P1" s="226"/>
      <c r="Q1" s="226"/>
      <c r="R1" s="226"/>
      <c r="S1" s="226"/>
      <c r="T1" s="226"/>
      <c r="U1" s="226"/>
      <c r="V1" s="227"/>
      <c r="W1" s="20" t="s">
        <v>31</v>
      </c>
      <c r="X1" s="225" t="s">
        <v>57</v>
      </c>
      <c r="Y1" s="226"/>
      <c r="Z1" s="226"/>
      <c r="AA1" s="226"/>
      <c r="AB1" s="226"/>
      <c r="AC1" s="226"/>
      <c r="AD1" s="226"/>
      <c r="AE1" s="226"/>
      <c r="AF1" s="226"/>
      <c r="AG1" s="226"/>
      <c r="AH1" s="226"/>
      <c r="AI1" s="226"/>
      <c r="AJ1" s="226"/>
      <c r="AK1" s="226"/>
      <c r="AL1" s="226"/>
      <c r="AM1" s="226"/>
      <c r="AN1" s="226"/>
      <c r="AO1" s="226"/>
      <c r="AP1" s="226"/>
      <c r="AQ1" s="226"/>
      <c r="AR1" s="227"/>
    </row>
    <row r="2" spans="1:44" x14ac:dyDescent="0.25">
      <c r="A2" s="228" t="s">
        <v>32</v>
      </c>
      <c r="B2" s="229"/>
      <c r="C2" s="229"/>
      <c r="D2" s="229"/>
      <c r="E2" s="229"/>
      <c r="F2" s="230"/>
      <c r="G2" s="231" t="s">
        <v>34</v>
      </c>
      <c r="H2" s="229"/>
      <c r="I2" s="229"/>
      <c r="J2" s="229"/>
      <c r="K2" s="229"/>
      <c r="L2" s="230"/>
      <c r="M2" s="231" t="s">
        <v>35</v>
      </c>
      <c r="N2" s="229"/>
      <c r="O2" s="229"/>
      <c r="P2" s="229"/>
      <c r="Q2" s="229"/>
      <c r="R2" s="229"/>
      <c r="S2" s="229"/>
      <c r="T2" s="229"/>
      <c r="U2" s="229"/>
      <c r="V2" s="90"/>
      <c r="W2" s="228" t="s">
        <v>58</v>
      </c>
      <c r="X2" s="229"/>
      <c r="Y2" s="229"/>
      <c r="Z2" s="229"/>
      <c r="AA2" s="229"/>
      <c r="AB2" s="230"/>
      <c r="AC2" s="231" t="s">
        <v>34</v>
      </c>
      <c r="AD2" s="229"/>
      <c r="AE2" s="229"/>
      <c r="AF2" s="229"/>
      <c r="AG2" s="229"/>
      <c r="AH2" s="230"/>
      <c r="AI2" s="231" t="s">
        <v>35</v>
      </c>
      <c r="AJ2" s="229"/>
      <c r="AK2" s="229"/>
      <c r="AL2" s="229"/>
      <c r="AM2" s="229"/>
      <c r="AN2" s="229"/>
      <c r="AO2" s="229"/>
      <c r="AP2" s="229"/>
      <c r="AQ2" s="229"/>
      <c r="AR2" s="39"/>
    </row>
    <row r="3" spans="1:44" ht="15" customHeight="1" x14ac:dyDescent="0.25">
      <c r="A3" s="17" t="str">
        <f>_xlfn.CONCAT("Max ",A4," Mark:")</f>
        <v>Max SU Mark:</v>
      </c>
      <c r="B3" s="21">
        <v>12</v>
      </c>
      <c r="C3" s="17" t="str">
        <f>_xlfn.CONCAT("Max ",C4," Mark:")</f>
        <v>Max SHE Mark:</v>
      </c>
      <c r="D3" s="21">
        <v>8</v>
      </c>
      <c r="E3" s="17" t="str">
        <f>_xlfn.CONCAT("Max ",E4," Mark:")</f>
        <v>Max [Mark] Mark:</v>
      </c>
      <c r="F3" s="21"/>
      <c r="G3" s="17" t="str">
        <f>_xlfn.CONCAT("Max ",G4," Mark:")</f>
        <v>Max PADI Mark:</v>
      </c>
      <c r="H3" s="21">
        <v>6</v>
      </c>
      <c r="I3" s="17" t="str">
        <f>_xlfn.CONCAT("Max ",I4," Mark:")</f>
        <v>Max SD Mark:</v>
      </c>
      <c r="J3" s="22">
        <v>8</v>
      </c>
      <c r="K3" s="17" t="str">
        <f>_xlfn.CONCAT("Max ",K4," Mark:")</f>
        <v>Max [Mark] Mark:</v>
      </c>
      <c r="L3" s="22"/>
      <c r="M3" s="23" t="str">
        <f>_xlfn.CONCAT("Max ",A2," Mark:")</f>
        <v>Max UD Mark:</v>
      </c>
      <c r="N3" s="232">
        <f>B3+D3+F3</f>
        <v>20</v>
      </c>
      <c r="O3" s="233"/>
      <c r="P3" s="43" t="str">
        <f>_xlfn.CONCAT("Max ",G2," Mark:")</f>
        <v>Max SD Mark:</v>
      </c>
      <c r="Q3" s="234">
        <f>H3+J3+L3</f>
        <v>14</v>
      </c>
      <c r="R3" s="235"/>
      <c r="S3" s="236" t="s">
        <v>55</v>
      </c>
      <c r="T3" s="236" t="s">
        <v>56</v>
      </c>
      <c r="U3" s="236" t="str">
        <f>_xlfn.CONCAT(M2," Grade")</f>
        <v>Overall Grade</v>
      </c>
      <c r="V3" s="90"/>
      <c r="W3" s="17" t="str">
        <f>_xlfn.CONCAT("Max ",W4," Mark:")</f>
        <v>Max Spelling Mark:</v>
      </c>
      <c r="X3" s="21">
        <v>12</v>
      </c>
      <c r="Y3" s="17" t="str">
        <f>_xlfn.CONCAT("Max ",Y4," Mark:")</f>
        <v>Max [Mark] Mark:</v>
      </c>
      <c r="Z3" s="21"/>
      <c r="AA3" s="17" t="str">
        <f>_xlfn.CONCAT("Max ",AA4," Mark:")</f>
        <v>Max [Mark] Mark:</v>
      </c>
      <c r="AB3" s="21"/>
      <c r="AC3" s="17" t="str">
        <f>_xlfn.CONCAT("Max ",AC4," Mark:")</f>
        <v>Max [Mark] Mark:</v>
      </c>
      <c r="AD3" s="21"/>
      <c r="AE3" s="17" t="str">
        <f>_xlfn.CONCAT("Max ",AE4," Mark:")</f>
        <v>Max [Mark] Mark:</v>
      </c>
      <c r="AF3" s="22"/>
      <c r="AG3" s="17" t="str">
        <f>_xlfn.CONCAT("Max ",AG4," Mark:")</f>
        <v>Max [Mark] Mark:</v>
      </c>
      <c r="AH3" s="22"/>
      <c r="AI3" s="23" t="str">
        <f>_xlfn.CONCAT("Max ",W2," Mark:")</f>
        <v>Max Spelling Mark:</v>
      </c>
      <c r="AJ3" s="232">
        <f>X3+Z3+AB3</f>
        <v>12</v>
      </c>
      <c r="AK3" s="233"/>
      <c r="AL3" s="43" t="str">
        <f>_xlfn.CONCAT("Max ",AC2," Mark:")</f>
        <v>Max SD Mark:</v>
      </c>
      <c r="AM3" s="234">
        <f>AD3+AF3+AH3</f>
        <v>0</v>
      </c>
      <c r="AN3" s="235"/>
      <c r="AO3" s="236" t="s">
        <v>55</v>
      </c>
      <c r="AP3" s="236" t="s">
        <v>56</v>
      </c>
      <c r="AQ3" s="236" t="str">
        <f>_xlfn.CONCAT(AI2," Grade")</f>
        <v>Overall Grade</v>
      </c>
      <c r="AR3" s="39"/>
    </row>
    <row r="4" spans="1:44" ht="15" customHeight="1" x14ac:dyDescent="0.25">
      <c r="A4" s="238" t="s">
        <v>41</v>
      </c>
      <c r="B4" s="239"/>
      <c r="C4" s="238" t="s">
        <v>42</v>
      </c>
      <c r="D4" s="239"/>
      <c r="E4" s="238" t="s">
        <v>40</v>
      </c>
      <c r="F4" s="239"/>
      <c r="G4" s="238" t="s">
        <v>43</v>
      </c>
      <c r="H4" s="239"/>
      <c r="I4" s="238" t="s">
        <v>34</v>
      </c>
      <c r="J4" s="239"/>
      <c r="K4" s="238" t="s">
        <v>40</v>
      </c>
      <c r="L4" s="239"/>
      <c r="M4" s="46" t="str">
        <f>_xlfn.CONCAT(M2," ",A2)</f>
        <v>Overall UD</v>
      </c>
      <c r="N4" s="47" t="s">
        <v>33</v>
      </c>
      <c r="O4" s="48" t="s">
        <v>1</v>
      </c>
      <c r="P4" s="49" t="str">
        <f>_xlfn.CONCAT(M2," ",G2)</f>
        <v>Overall SD</v>
      </c>
      <c r="Q4" s="50" t="s">
        <v>33</v>
      </c>
      <c r="R4" s="51" t="s">
        <v>1</v>
      </c>
      <c r="S4" s="237"/>
      <c r="T4" s="237"/>
      <c r="U4" s="237"/>
      <c r="V4" s="90"/>
      <c r="W4" s="238" t="s">
        <v>58</v>
      </c>
      <c r="X4" s="239"/>
      <c r="Y4" s="238" t="s">
        <v>40</v>
      </c>
      <c r="Z4" s="239"/>
      <c r="AA4" s="238" t="s">
        <v>40</v>
      </c>
      <c r="AB4" s="239"/>
      <c r="AC4" s="238" t="s">
        <v>40</v>
      </c>
      <c r="AD4" s="239"/>
      <c r="AE4" s="238" t="s">
        <v>40</v>
      </c>
      <c r="AF4" s="239"/>
      <c r="AG4" s="238" t="s">
        <v>40</v>
      </c>
      <c r="AH4" s="239"/>
      <c r="AI4" s="46" t="str">
        <f>_xlfn.CONCAT(AI2," ",W2)</f>
        <v>Overall Spelling</v>
      </c>
      <c r="AJ4" s="47" t="s">
        <v>33</v>
      </c>
      <c r="AK4" s="48" t="s">
        <v>1</v>
      </c>
      <c r="AL4" s="49" t="str">
        <f>_xlfn.CONCAT(AI2," ",AC2)</f>
        <v>Overall SD</v>
      </c>
      <c r="AM4" s="50" t="s">
        <v>33</v>
      </c>
      <c r="AN4" s="51" t="s">
        <v>1</v>
      </c>
      <c r="AO4" s="237"/>
      <c r="AP4" s="237"/>
      <c r="AQ4" s="237"/>
      <c r="AR4" s="39"/>
    </row>
    <row r="5" spans="1:44" ht="15" customHeight="1" x14ac:dyDescent="0.25">
      <c r="A5" s="28">
        <v>9</v>
      </c>
      <c r="B5" s="29"/>
      <c r="C5" s="29">
        <v>7.5</v>
      </c>
      <c r="D5" s="29"/>
      <c r="E5" s="52"/>
      <c r="F5" s="29"/>
      <c r="G5" s="29">
        <v>2.5</v>
      </c>
      <c r="H5" s="29"/>
      <c r="I5" s="29">
        <v>5</v>
      </c>
      <c r="J5" s="29"/>
      <c r="K5" s="29"/>
      <c r="L5" s="29"/>
      <c r="M5" s="30">
        <f>IF(OR(A5="-",C5="-",E5="-"),"-",IF(AND(ISBLANK(C5),ISBLANK(A5),ISBLANK(E5)),"",A5+C5+E5))</f>
        <v>16.5</v>
      </c>
      <c r="N5" s="31">
        <f>IF(M5="","",IF(M5="-","-",M5/N$3))</f>
        <v>0.82499999999999996</v>
      </c>
      <c r="O5" s="30" t="str">
        <f>IF(N5="","",VLOOKUP(N5,Table1[],2,TRUE))</f>
        <v>A-</v>
      </c>
      <c r="P5" s="40">
        <f>IF(OR(G5="-",I5="-",K5="-"),"-",IF(AND(ISBLANK(I5),ISBLANK(G5),ISBLANK(K5)),"",G5+I5+K5))</f>
        <v>7.5</v>
      </c>
      <c r="Q5" s="41">
        <f>IF(P5="","",IF(P5="-", "-",P5/Q$3))</f>
        <v>0.5357142857142857</v>
      </c>
      <c r="R5" s="42" t="str">
        <f>IF(Q5="","",VLOOKUP(Q5,Table1[],2,TRUE))</f>
        <v>C</v>
      </c>
      <c r="S5" s="27" t="str">
        <f>IF(AND(N5="",Q5=""),"",IF(OR(N5="-",Q5="-"),"-",IF(AND(N$3&lt;&gt;0,Q$3&lt;&gt;0),VLOOKUP(AVERAGE(N5,Q5),Table1[],2,TRUE),IF(AND(N$3&lt;&gt;0,Q$3=0),O5,R5))))</f>
        <v>B-</v>
      </c>
      <c r="T5" s="87" t="s">
        <v>15</v>
      </c>
      <c r="U5" s="83" t="str">
        <f>IF(ISBLANK(T5),S5,T5)</f>
        <v>A-</v>
      </c>
      <c r="V5" s="91"/>
      <c r="W5" s="28">
        <v>5</v>
      </c>
      <c r="X5" s="29"/>
      <c r="Y5" s="29"/>
      <c r="Z5" s="29"/>
      <c r="AA5" s="29"/>
      <c r="AB5" s="29"/>
      <c r="AC5" s="29"/>
      <c r="AD5" s="29"/>
      <c r="AE5" s="29"/>
      <c r="AF5" s="29"/>
      <c r="AG5" s="29"/>
      <c r="AH5" s="29"/>
      <c r="AI5" s="30">
        <f>IF(OR(W5="-",Y5="-",AA5="-"),"-",IF(AND(ISBLANK(Y5),ISBLANK(W5),ISBLANK(AA5)),"",W5+Y5+AA5))</f>
        <v>5</v>
      </c>
      <c r="AJ5" s="31">
        <f>IF(AI5="","",IF(AI5="-","-",AI5/AJ$3))</f>
        <v>0.41666666666666669</v>
      </c>
      <c r="AK5" s="30" t="str">
        <f>IF(AJ5="","",VLOOKUP(AJ5,Table1[],2,TRUE))</f>
        <v>D+</v>
      </c>
      <c r="AL5" s="40" t="str">
        <f>IF(OR(AC5="-",AE5="-",AG5="-"),"-",IF(AND(ISBLANK(AE5),ISBLANK(AC5),ISBLANK(AG5)),"",AC5+AE5+AG5))</f>
        <v/>
      </c>
      <c r="AM5" s="41" t="str">
        <f>IF(AL5="","",IF(AL5="-", "-",AL5/AM$3))</f>
        <v/>
      </c>
      <c r="AN5" s="42" t="str">
        <f>IF(AM5="","",VLOOKUP(AM5,Table1[],2,TRUE))</f>
        <v/>
      </c>
      <c r="AO5" s="27" t="str">
        <f>IF(AND(AJ5="",AM5=""),"",IF(OR(AJ5="-",AM5="-"),"-",IF(AND(AJ$3&lt;&gt;0,AM$3&lt;&gt;0),VLOOKUP(AVERAGE(AJ5,AM5),Table1[],2,TRUE),IF(AND(AJ$3&lt;&gt;0,AM$3=0),AK5,AN5))))</f>
        <v>D+</v>
      </c>
      <c r="AP5" s="87"/>
      <c r="AQ5" s="83" t="str">
        <f>IF(ISBLANK(AP5),AO5,AP5)</f>
        <v>D+</v>
      </c>
      <c r="AR5" s="85"/>
    </row>
    <row r="6" spans="1:44" ht="15" customHeight="1" x14ac:dyDescent="0.25">
      <c r="A6" s="28">
        <v>4</v>
      </c>
      <c r="B6" s="29"/>
      <c r="C6" s="29">
        <v>4</v>
      </c>
      <c r="D6" s="29"/>
      <c r="E6" s="52"/>
      <c r="F6" s="29"/>
      <c r="G6" s="29">
        <v>3</v>
      </c>
      <c r="H6" s="29"/>
      <c r="I6" s="29">
        <v>3</v>
      </c>
      <c r="J6" s="29"/>
      <c r="K6" s="29"/>
      <c r="L6" s="29"/>
      <c r="M6" s="30">
        <f>IF(OR(A6="-",C6="-",E6="-"),"-",IF(AND(ISBLANK(C6),ISBLANK(A6),ISBLANK(E6)),"",A6+C6+E6))</f>
        <v>8</v>
      </c>
      <c r="N6" s="31">
        <f t="shared" ref="N6:N40" si="0">IF(OR(N$3="",M6=""),"",IF(M6="-","-",M6/N$3))</f>
        <v>0.4</v>
      </c>
      <c r="O6" s="30" t="str">
        <f>IF(M6="","",VLOOKUP(N6,Table1[],2,TRUE))</f>
        <v>D+</v>
      </c>
      <c r="P6" s="40">
        <f t="shared" ref="P6:P40" si="1">IF(OR(G6="-",I6="-",K6="-"),"-",IF(AND(ISBLANK(I6),ISBLANK(G6),ISBLANK(K6)),"",G6+I6+K6))</f>
        <v>6</v>
      </c>
      <c r="Q6" s="41">
        <f t="shared" ref="Q6:Q40" si="2">IF(OR(Q$3="",P6=""),"",IF(P6="-", "-",P6/Q$3))</f>
        <v>0.42857142857142855</v>
      </c>
      <c r="R6" s="42" t="str">
        <f>IF(P6="","",VLOOKUP(Q6,Table1[],2,TRUE))</f>
        <v>D+</v>
      </c>
      <c r="S6" s="27" t="str">
        <f>IF(AND(N6="",Q6=""),"",IF(OR(N6="-",Q6="-"),"-",IF(AND(N$3&lt;&gt;0,Q$3&lt;&gt;0),VLOOKUP(AVERAGE(N6,Q6),Table1[],2,TRUE),IF(AND(N$3&lt;&gt;0,Q$3=0),O6,R6))))</f>
        <v>D+</v>
      </c>
      <c r="T6" s="27"/>
      <c r="U6" s="84" t="str">
        <f t="shared" ref="U6:U40" si="3">IF(ISBLANK(T6),S6,T6)</f>
        <v>D+</v>
      </c>
      <c r="V6" s="91"/>
      <c r="W6" s="28">
        <v>6</v>
      </c>
      <c r="X6" s="29"/>
      <c r="Y6" s="29"/>
      <c r="Z6" s="29"/>
      <c r="AA6" s="29"/>
      <c r="AB6" s="29"/>
      <c r="AC6" s="29"/>
      <c r="AD6" s="29"/>
      <c r="AE6" s="29"/>
      <c r="AF6" s="29"/>
      <c r="AG6" s="29"/>
      <c r="AH6" s="29"/>
      <c r="AI6" s="30">
        <f>IF(OR(W6="-",Y6="-",AA6="-"),"-",IF(AND(ISBLANK(Y6),ISBLANK(W6),ISBLANK(AA6)),"",W6+Y6+AA6))</f>
        <v>6</v>
      </c>
      <c r="AJ6" s="31">
        <f t="shared" ref="AJ6:AJ40" si="4">IF(OR(AJ$3="",AI6=""),"",IF(AI6="-","-",AI6/AJ$3))</f>
        <v>0.5</v>
      </c>
      <c r="AK6" s="30" t="str">
        <f>IF(AI6="","",VLOOKUP(AJ6,Table1[],2,TRUE))</f>
        <v>C-</v>
      </c>
      <c r="AL6" s="40" t="str">
        <f t="shared" ref="AL6:AL40" si="5">IF(OR(AC6="-",AE6="-",AG6="-"),"-",IF(AND(ISBLANK(AE6),ISBLANK(AC6),ISBLANK(AG6)),"",AC6+AE6+AG6))</f>
        <v/>
      </c>
      <c r="AM6" s="41" t="str">
        <f t="shared" ref="AM6:AM40" si="6">IF(OR(AM$3="",AL6=""),"",IF(AL6="-", "-",AL6/AM$3))</f>
        <v/>
      </c>
      <c r="AN6" s="42" t="str">
        <f>IF(AL6="","",VLOOKUP(AM6,Table1[],2,TRUE))</f>
        <v/>
      </c>
      <c r="AO6" s="27" t="str">
        <f>IF(AND(AJ6="",AM6=""),"",IF(OR(AJ6="-",AM6="-"),"-",IF(AND(AJ$3&lt;&gt;0,AM$3&lt;&gt;0),VLOOKUP(AVERAGE(AJ6,AM6),Table1[],2,TRUE),IF(AND(AJ$3&lt;&gt;0,AM$3=0),AK6,AN6))))</f>
        <v>C-</v>
      </c>
      <c r="AP6" s="27"/>
      <c r="AQ6" s="84" t="str">
        <f t="shared" ref="AQ6:AQ40" si="7">IF(ISBLANK(AP6),AO6,AP6)</f>
        <v>C-</v>
      </c>
      <c r="AR6" s="85"/>
    </row>
    <row r="7" spans="1:44" ht="15" customHeight="1" x14ac:dyDescent="0.25">
      <c r="A7" s="28">
        <v>10</v>
      </c>
      <c r="B7" s="29"/>
      <c r="C7" s="29">
        <v>7</v>
      </c>
      <c r="D7" s="29"/>
      <c r="E7" s="52"/>
      <c r="F7" s="29"/>
      <c r="G7" s="29">
        <v>5.5</v>
      </c>
      <c r="H7" s="29"/>
      <c r="I7" s="29">
        <v>5.5</v>
      </c>
      <c r="J7" s="29"/>
      <c r="K7" s="29"/>
      <c r="L7" s="29"/>
      <c r="M7" s="30">
        <f t="shared" ref="M7:M40" si="8">IF(OR(A7="-",C7="-",E7="-"),"-",IF(AND(ISBLANK(C7),ISBLANK(A7),ISBLANK(E7)),"",A7+C7+E7))</f>
        <v>17</v>
      </c>
      <c r="N7" s="31">
        <f t="shared" si="0"/>
        <v>0.85</v>
      </c>
      <c r="O7" s="30" t="str">
        <f>IF(M7="","",VLOOKUP(N7,Table1[],2,TRUE))</f>
        <v>A-</v>
      </c>
      <c r="P7" s="40">
        <f t="shared" si="1"/>
        <v>11</v>
      </c>
      <c r="Q7" s="41">
        <f t="shared" si="2"/>
        <v>0.7857142857142857</v>
      </c>
      <c r="R7" s="42" t="str">
        <f>IF(P7="","",VLOOKUP(Q7,Table1[],2,TRUE))</f>
        <v>B+</v>
      </c>
      <c r="S7" s="27" t="str">
        <f>IF(AND(N7="",Q7=""),"",IF(OR(N7="-",Q7="-"),"-",IF(AND(N$3&lt;&gt;0,Q$3&lt;&gt;0),VLOOKUP(AVERAGE(N7,Q7),Table1[],2,TRUE),IF(AND(N$3&lt;&gt;0,Q$3=0),O7,R7))))</f>
        <v>A-</v>
      </c>
      <c r="T7" s="27"/>
      <c r="U7" s="84" t="str">
        <f t="shared" si="3"/>
        <v>A-</v>
      </c>
      <c r="V7" s="91"/>
      <c r="W7" s="28">
        <v>10</v>
      </c>
      <c r="X7" s="29"/>
      <c r="Y7" s="29"/>
      <c r="Z7" s="29"/>
      <c r="AA7" s="29"/>
      <c r="AB7" s="29"/>
      <c r="AC7" s="29"/>
      <c r="AD7" s="29"/>
      <c r="AE7" s="29"/>
      <c r="AF7" s="29"/>
      <c r="AG7" s="29"/>
      <c r="AH7" s="29"/>
      <c r="AI7" s="30">
        <f t="shared" ref="AI7:AI40" si="9">IF(OR(W7="-",Y7="-",AA7="-"),"-",IF(AND(ISBLANK(Y7),ISBLANK(W7),ISBLANK(AA7)),"",W7+Y7+AA7))</f>
        <v>10</v>
      </c>
      <c r="AJ7" s="31">
        <f t="shared" si="4"/>
        <v>0.83333333333333337</v>
      </c>
      <c r="AK7" s="30" t="str">
        <f>IF(AI7="","",VLOOKUP(AJ7,Table1[],2,TRUE))</f>
        <v>A-</v>
      </c>
      <c r="AL7" s="40" t="str">
        <f t="shared" si="5"/>
        <v/>
      </c>
      <c r="AM7" s="41" t="str">
        <f t="shared" si="6"/>
        <v/>
      </c>
      <c r="AN7" s="42" t="str">
        <f>IF(AL7="","",VLOOKUP(AM7,Table1[],2,TRUE))</f>
        <v/>
      </c>
      <c r="AO7" s="27" t="str">
        <f>IF(AND(AJ7="",AM7=""),"",IF(OR(AJ7="-",AM7="-"),"-",IF(AND(AJ$3&lt;&gt;0,AM$3&lt;&gt;0),VLOOKUP(AVERAGE(AJ7,AM7),Table1[],2,TRUE),IF(AND(AJ$3&lt;&gt;0,AM$3=0),AK7,AN7))))</f>
        <v>A-</v>
      </c>
      <c r="AP7" s="27"/>
      <c r="AQ7" s="84" t="str">
        <f t="shared" si="7"/>
        <v>A-</v>
      </c>
      <c r="AR7" s="85"/>
    </row>
    <row r="8" spans="1:44" ht="15" customHeight="1" x14ac:dyDescent="0.25">
      <c r="A8" s="28">
        <v>7.5</v>
      </c>
      <c r="B8" s="29"/>
      <c r="C8" s="29">
        <v>6</v>
      </c>
      <c r="D8" s="29"/>
      <c r="E8" s="52"/>
      <c r="F8" s="29"/>
      <c r="G8" s="52"/>
      <c r="H8" s="29"/>
      <c r="I8" s="52"/>
      <c r="J8" s="29"/>
      <c r="K8" s="29"/>
      <c r="L8" s="29"/>
      <c r="M8" s="30">
        <f t="shared" si="8"/>
        <v>13.5</v>
      </c>
      <c r="N8" s="31">
        <f t="shared" si="0"/>
        <v>0.67500000000000004</v>
      </c>
      <c r="O8" s="30" t="str">
        <f>IF(M8="","",VLOOKUP(N8,Table1[],2,TRUE))</f>
        <v>B-</v>
      </c>
      <c r="P8" s="40" t="str">
        <f t="shared" si="1"/>
        <v/>
      </c>
      <c r="Q8" s="41" t="str">
        <f t="shared" si="2"/>
        <v/>
      </c>
      <c r="R8" s="42" t="str">
        <f>IF(P8="","",VLOOKUP(Q8,Table1[],2,TRUE))</f>
        <v/>
      </c>
      <c r="S8" s="27" t="str">
        <f>IF(AND(N8="",Q8=""),"",IF(OR(N8="-",Q8="-"),"-",IF(AND(N$3&lt;&gt;0,Q$3&lt;&gt;0),VLOOKUP(AVERAGE(N8,Q8),Table1[],2,TRUE),IF(AND(N$3&lt;&gt;0,Q$3=0),O8,R8))))</f>
        <v>B-</v>
      </c>
      <c r="T8" s="27"/>
      <c r="U8" s="84" t="str">
        <f t="shared" si="3"/>
        <v>B-</v>
      </c>
      <c r="V8" s="91"/>
      <c r="W8" s="28">
        <v>8</v>
      </c>
      <c r="X8" s="29"/>
      <c r="Y8" s="29"/>
      <c r="Z8" s="29"/>
      <c r="AA8" s="29"/>
      <c r="AB8" s="29"/>
      <c r="AC8" s="29"/>
      <c r="AD8" s="29"/>
      <c r="AE8" s="29"/>
      <c r="AF8" s="29"/>
      <c r="AG8" s="29"/>
      <c r="AH8" s="29"/>
      <c r="AI8" s="30">
        <f t="shared" si="9"/>
        <v>8</v>
      </c>
      <c r="AJ8" s="31">
        <f t="shared" si="4"/>
        <v>0.66666666666666663</v>
      </c>
      <c r="AK8" s="30" t="str">
        <f>IF(AI8="","",VLOOKUP(AJ8,Table1[],2,TRUE))</f>
        <v>B-</v>
      </c>
      <c r="AL8" s="40" t="str">
        <f t="shared" si="5"/>
        <v/>
      </c>
      <c r="AM8" s="41" t="str">
        <f t="shared" si="6"/>
        <v/>
      </c>
      <c r="AN8" s="42" t="str">
        <f>IF(AL8="","",VLOOKUP(AM8,Table1[],2,TRUE))</f>
        <v/>
      </c>
      <c r="AO8" s="27" t="str">
        <f>IF(AND(AJ8="",AM8=""),"",IF(OR(AJ8="-",AM8="-"),"-",IF(AND(AJ$3&lt;&gt;0,AM$3&lt;&gt;0),VLOOKUP(AVERAGE(AJ8,AM8),Table1[],2,TRUE),IF(AND(AJ$3&lt;&gt;0,AM$3=0),AK8,AN8))))</f>
        <v>B-</v>
      </c>
      <c r="AP8" s="27"/>
      <c r="AQ8" s="84" t="str">
        <f t="shared" si="7"/>
        <v>B-</v>
      </c>
      <c r="AR8" s="85"/>
    </row>
    <row r="9" spans="1:44" ht="15" customHeight="1" x14ac:dyDescent="0.25">
      <c r="A9" s="28" t="s">
        <v>18</v>
      </c>
      <c r="B9" s="29"/>
      <c r="C9" s="29" t="s">
        <v>18</v>
      </c>
      <c r="D9" s="29"/>
      <c r="E9" s="52"/>
      <c r="F9" s="29"/>
      <c r="G9" s="29" t="s">
        <v>18</v>
      </c>
      <c r="H9" s="29"/>
      <c r="I9" s="29" t="s">
        <v>18</v>
      </c>
      <c r="J9" s="29"/>
      <c r="K9" s="29"/>
      <c r="L9" s="29"/>
      <c r="M9" s="30" t="str">
        <f t="shared" si="8"/>
        <v>-</v>
      </c>
      <c r="N9" s="31" t="str">
        <f t="shared" si="0"/>
        <v>-</v>
      </c>
      <c r="O9" s="30" t="str">
        <f>IF(M9="","",VLOOKUP(N9,Table1[],2,TRUE))</f>
        <v>-</v>
      </c>
      <c r="P9" s="40" t="str">
        <f t="shared" si="1"/>
        <v>-</v>
      </c>
      <c r="Q9" s="41" t="str">
        <f t="shared" si="2"/>
        <v>-</v>
      </c>
      <c r="R9" s="42" t="str">
        <f>IF(P9="","",VLOOKUP(Q9,Table1[],2,TRUE))</f>
        <v>-</v>
      </c>
      <c r="S9" s="27" t="str">
        <f>IF(AND(N9="",Q9=""),"",IF(OR(N9="-",Q9="-"),"-",IF(AND(N$3&lt;&gt;0,Q$3&lt;&gt;0),VLOOKUP(AVERAGE(N9,Q9),Table1[],2,TRUE),IF(AND(N$3&lt;&gt;0,Q$3=0),O9,R9))))</f>
        <v>-</v>
      </c>
      <c r="T9" s="27"/>
      <c r="U9" s="84" t="str">
        <f t="shared" si="3"/>
        <v>-</v>
      </c>
      <c r="V9" s="91"/>
      <c r="W9" s="52"/>
      <c r="X9" s="29"/>
      <c r="Y9" s="29"/>
      <c r="Z9" s="29"/>
      <c r="AA9" s="29"/>
      <c r="AB9" s="29"/>
      <c r="AC9" s="29"/>
      <c r="AD9" s="29"/>
      <c r="AE9" s="29"/>
      <c r="AF9" s="29"/>
      <c r="AG9" s="29"/>
      <c r="AH9" s="29"/>
      <c r="AI9" s="30" t="str">
        <f t="shared" si="9"/>
        <v/>
      </c>
      <c r="AJ9" s="31" t="str">
        <f t="shared" si="4"/>
        <v/>
      </c>
      <c r="AK9" s="30" t="str">
        <f>IF(AI9="","",VLOOKUP(AJ9,Table1[],2,TRUE))</f>
        <v/>
      </c>
      <c r="AL9" s="40" t="str">
        <f t="shared" si="5"/>
        <v/>
      </c>
      <c r="AM9" s="41" t="str">
        <f t="shared" si="6"/>
        <v/>
      </c>
      <c r="AN9" s="42" t="str">
        <f>IF(AL9="","",VLOOKUP(AM9,Table1[],2,TRUE))</f>
        <v/>
      </c>
      <c r="AO9" s="27" t="str">
        <f>IF(AND(AJ9="",AM9=""),"",IF(OR(AJ9="-",AM9="-"),"-",IF(AND(AJ$3&lt;&gt;0,AM$3&lt;&gt;0),VLOOKUP(AVERAGE(AJ9,AM9),Table1[],2,TRUE),IF(AND(AJ$3&lt;&gt;0,AM$3=0),AK9,AN9))))</f>
        <v/>
      </c>
      <c r="AP9" s="27"/>
      <c r="AQ9" s="84" t="str">
        <f t="shared" si="7"/>
        <v/>
      </c>
      <c r="AR9" s="85"/>
    </row>
    <row r="10" spans="1:44" ht="15" customHeight="1" x14ac:dyDescent="0.25">
      <c r="A10" s="28" t="s">
        <v>18</v>
      </c>
      <c r="B10" s="29"/>
      <c r="C10" s="29" t="s">
        <v>18</v>
      </c>
      <c r="D10" s="29"/>
      <c r="E10" s="52"/>
      <c r="F10" s="29"/>
      <c r="G10" s="29">
        <v>4.5</v>
      </c>
      <c r="H10" s="29"/>
      <c r="I10" s="29">
        <v>6.5</v>
      </c>
      <c r="J10" s="29"/>
      <c r="K10" s="29"/>
      <c r="L10" s="29"/>
      <c r="M10" s="30" t="str">
        <f t="shared" si="8"/>
        <v>-</v>
      </c>
      <c r="N10" s="31" t="str">
        <f t="shared" si="0"/>
        <v>-</v>
      </c>
      <c r="O10" s="30" t="str">
        <f>IF(M10="","",VLOOKUP(N10,Table1[],2,TRUE))</f>
        <v>-</v>
      </c>
      <c r="P10" s="40">
        <f t="shared" si="1"/>
        <v>11</v>
      </c>
      <c r="Q10" s="41">
        <f t="shared" si="2"/>
        <v>0.7857142857142857</v>
      </c>
      <c r="R10" s="42" t="str">
        <f>IF(P10="","",VLOOKUP(Q10,Table1[],2,TRUE))</f>
        <v>B+</v>
      </c>
      <c r="S10" s="27" t="str">
        <f>IF(AND(N10="",Q10=""),"",IF(OR(N10="-",Q10="-"),"-",IF(AND(N$3&lt;&gt;0,Q$3&lt;&gt;0),VLOOKUP(AVERAGE(N10,Q10),Table1[],2,TRUE),IF(AND(N$3&lt;&gt;0,Q$3=0),O10,R10))))</f>
        <v>-</v>
      </c>
      <c r="T10" s="87" t="s">
        <v>14</v>
      </c>
      <c r="U10" s="84" t="str">
        <f t="shared" si="3"/>
        <v>B+</v>
      </c>
      <c r="V10" s="91"/>
      <c r="W10" s="52"/>
      <c r="X10" s="29"/>
      <c r="Y10" s="29"/>
      <c r="Z10" s="29"/>
      <c r="AA10" s="29"/>
      <c r="AB10" s="29"/>
      <c r="AC10" s="29"/>
      <c r="AD10" s="29"/>
      <c r="AE10" s="29"/>
      <c r="AF10" s="29"/>
      <c r="AG10" s="29"/>
      <c r="AH10" s="29"/>
      <c r="AI10" s="30" t="str">
        <f t="shared" si="9"/>
        <v/>
      </c>
      <c r="AJ10" s="31" t="str">
        <f t="shared" si="4"/>
        <v/>
      </c>
      <c r="AK10" s="30" t="str">
        <f>IF(AI10="","",VLOOKUP(AJ10,Table1[],2,TRUE))</f>
        <v/>
      </c>
      <c r="AL10" s="40" t="str">
        <f t="shared" si="5"/>
        <v/>
      </c>
      <c r="AM10" s="41" t="str">
        <f t="shared" si="6"/>
        <v/>
      </c>
      <c r="AN10" s="42" t="str">
        <f>IF(AL10="","",VLOOKUP(AM10,Table1[],2,TRUE))</f>
        <v/>
      </c>
      <c r="AO10" s="27" t="str">
        <f>IF(AND(AJ10="",AM10=""),"",IF(OR(AJ10="-",AM10="-"),"-",IF(AND(AJ$3&lt;&gt;0,AM$3&lt;&gt;0),VLOOKUP(AVERAGE(AJ10,AM10),Table1[],2,TRUE),IF(AND(AJ$3&lt;&gt;0,AM$3=0),AK10,AN10))))</f>
        <v/>
      </c>
      <c r="AP10" s="27"/>
      <c r="AQ10" s="84" t="str">
        <f t="shared" si="7"/>
        <v/>
      </c>
      <c r="AR10" s="85"/>
    </row>
    <row r="11" spans="1:44" ht="15" customHeight="1" x14ac:dyDescent="0.25">
      <c r="A11" s="28"/>
      <c r="B11" s="29"/>
      <c r="C11" s="29"/>
      <c r="D11" s="29"/>
      <c r="E11" s="29"/>
      <c r="F11" s="29"/>
      <c r="G11" s="29"/>
      <c r="H11" s="29"/>
      <c r="I11" s="29"/>
      <c r="J11" s="29"/>
      <c r="K11" s="29"/>
      <c r="L11" s="29"/>
      <c r="M11" s="30" t="str">
        <f>IF(OR(A11="-",C11="-",E11="-"),"-",IF(AND(ISBLANK(C11),ISBLANK(A11),ISBLANK(E11)),"",A11+C11+E11))</f>
        <v/>
      </c>
      <c r="N11" s="31" t="str">
        <f t="shared" si="0"/>
        <v/>
      </c>
      <c r="O11" s="30" t="str">
        <f>IF(M11="","",VLOOKUP(N11,Table1[],2,TRUE))</f>
        <v/>
      </c>
      <c r="P11" s="40" t="str">
        <f t="shared" si="1"/>
        <v/>
      </c>
      <c r="Q11" s="41" t="str">
        <f t="shared" si="2"/>
        <v/>
      </c>
      <c r="R11" s="42" t="str">
        <f>IF(P11="","",VLOOKUP(Q11,Table1[],2,TRUE))</f>
        <v/>
      </c>
      <c r="S11" s="27" t="str">
        <f>IF(AND(N11="",Q11=""),"",IF(OR(N11="-",Q11="-"),"-",IF(AND(N$3&lt;&gt;0,Q$3&lt;&gt;0),VLOOKUP(AVERAGE(N11,Q11),Table1[],2,TRUE),IF(AND(N$3&lt;&gt;0,Q$3=0),O11,R11))))</f>
        <v/>
      </c>
      <c r="T11" s="27"/>
      <c r="U11" s="84" t="str">
        <f t="shared" si="3"/>
        <v/>
      </c>
      <c r="V11" s="91"/>
      <c r="W11" s="28"/>
      <c r="X11" s="29"/>
      <c r="Y11" s="29"/>
      <c r="Z11" s="29"/>
      <c r="AA11" s="29"/>
      <c r="AB11" s="29"/>
      <c r="AC11" s="29"/>
      <c r="AD11" s="29"/>
      <c r="AE11" s="29"/>
      <c r="AF11" s="29"/>
      <c r="AG11" s="29"/>
      <c r="AH11" s="29"/>
      <c r="AI11" s="30" t="str">
        <f>IF(OR(W11="-",Y11="-",AA11="-"),"-",IF(AND(ISBLANK(Y11),ISBLANK(W11),ISBLANK(AA11)),"",W11+Y11+AA11))</f>
        <v/>
      </c>
      <c r="AJ11" s="31" t="str">
        <f t="shared" si="4"/>
        <v/>
      </c>
      <c r="AK11" s="30" t="str">
        <f>IF(AI11="","",VLOOKUP(AJ11,Table1[],2,TRUE))</f>
        <v/>
      </c>
      <c r="AL11" s="40" t="str">
        <f t="shared" si="5"/>
        <v/>
      </c>
      <c r="AM11" s="41" t="str">
        <f t="shared" si="6"/>
        <v/>
      </c>
      <c r="AN11" s="42" t="str">
        <f>IF(AL11="","",VLOOKUP(AM11,Table1[],2,TRUE))</f>
        <v/>
      </c>
      <c r="AO11" s="27" t="str">
        <f>IF(AND(AJ11="",AM11=""),"",IF(OR(AJ11="-",AM11="-"),"-",IF(AND(AJ$3&lt;&gt;0,AM$3&lt;&gt;0),VLOOKUP(AVERAGE(AJ11,AM11),Table1[],2,TRUE),IF(AND(AJ$3&lt;&gt;0,AM$3=0),AK11,AN11))))</f>
        <v/>
      </c>
      <c r="AP11" s="27"/>
      <c r="AQ11" s="84" t="str">
        <f t="shared" si="7"/>
        <v/>
      </c>
      <c r="AR11" s="85"/>
    </row>
    <row r="12" spans="1:44" ht="15" customHeight="1" x14ac:dyDescent="0.25">
      <c r="A12" s="28"/>
      <c r="B12" s="29"/>
      <c r="C12" s="29"/>
      <c r="D12" s="29"/>
      <c r="E12" s="29"/>
      <c r="F12" s="29"/>
      <c r="G12" s="29"/>
      <c r="H12" s="29"/>
      <c r="I12" s="29"/>
      <c r="J12" s="29"/>
      <c r="K12" s="29"/>
      <c r="L12" s="29"/>
      <c r="M12" s="30" t="str">
        <f>IF(OR(A12="-",C12="-",E12="-"),"-",IF(AND(ISBLANK(C12),ISBLANK(A12),ISBLANK(E12)),"",A12+C12+E12))</f>
        <v/>
      </c>
      <c r="N12" s="31" t="str">
        <f t="shared" si="0"/>
        <v/>
      </c>
      <c r="O12" s="30" t="str">
        <f>IF(M12="","",VLOOKUP(N12,Table1[],2,TRUE))</f>
        <v/>
      </c>
      <c r="P12" s="40" t="str">
        <f t="shared" si="1"/>
        <v/>
      </c>
      <c r="Q12" s="41" t="str">
        <f t="shared" si="2"/>
        <v/>
      </c>
      <c r="R12" s="42" t="str">
        <f>IF(P12="","",VLOOKUP(Q12,Table1[],2,TRUE))</f>
        <v/>
      </c>
      <c r="S12" s="27" t="str">
        <f>IF(AND(N12="",Q12=""),"",IF(OR(N12="-",Q12="-"),"-",IF(AND(N$3&lt;&gt;0,Q$3&lt;&gt;0),VLOOKUP(AVERAGE(N12,Q12),Table1[],2,TRUE),IF(AND(N$3&lt;&gt;0,Q$3=0),O12,R12))))</f>
        <v/>
      </c>
      <c r="T12" s="27"/>
      <c r="U12" s="84" t="str">
        <f t="shared" si="3"/>
        <v/>
      </c>
      <c r="V12" s="91"/>
      <c r="W12" s="28"/>
      <c r="X12" s="29"/>
      <c r="Y12" s="29"/>
      <c r="Z12" s="29"/>
      <c r="AA12" s="29"/>
      <c r="AB12" s="29"/>
      <c r="AC12" s="29"/>
      <c r="AD12" s="29"/>
      <c r="AE12" s="29"/>
      <c r="AF12" s="29"/>
      <c r="AG12" s="29"/>
      <c r="AH12" s="29"/>
      <c r="AI12" s="30" t="str">
        <f>IF(OR(W12="-",Y12="-",AA12="-"),"-",IF(AND(ISBLANK(Y12),ISBLANK(W12),ISBLANK(AA12)),"",W12+Y12+AA12))</f>
        <v/>
      </c>
      <c r="AJ12" s="31" t="str">
        <f t="shared" si="4"/>
        <v/>
      </c>
      <c r="AK12" s="30" t="str">
        <f>IF(AI12="","",VLOOKUP(AJ12,Table1[],2,TRUE))</f>
        <v/>
      </c>
      <c r="AL12" s="40" t="str">
        <f t="shared" si="5"/>
        <v/>
      </c>
      <c r="AM12" s="41" t="str">
        <f t="shared" si="6"/>
        <v/>
      </c>
      <c r="AN12" s="42" t="str">
        <f>IF(AL12="","",VLOOKUP(AM12,Table1[],2,TRUE))</f>
        <v/>
      </c>
      <c r="AO12" s="27" t="str">
        <f>IF(AND(AJ12="",AM12=""),"",IF(OR(AJ12="-",AM12="-"),"-",IF(AND(AJ$3&lt;&gt;0,AM$3&lt;&gt;0),VLOOKUP(AVERAGE(AJ12,AM12),Table1[],2,TRUE),IF(AND(AJ$3&lt;&gt;0,AM$3=0),AK12,AN12))))</f>
        <v/>
      </c>
      <c r="AP12" s="27"/>
      <c r="AQ12" s="84" t="str">
        <f t="shared" si="7"/>
        <v/>
      </c>
      <c r="AR12" s="85"/>
    </row>
    <row r="13" spans="1:44" ht="15" customHeight="1" x14ac:dyDescent="0.25">
      <c r="A13" s="28"/>
      <c r="B13" s="29"/>
      <c r="C13" s="29"/>
      <c r="D13" s="29"/>
      <c r="E13" s="29"/>
      <c r="F13" s="29"/>
      <c r="G13" s="29"/>
      <c r="H13" s="29"/>
      <c r="I13" s="29"/>
      <c r="J13" s="29"/>
      <c r="K13" s="29"/>
      <c r="L13" s="29"/>
      <c r="M13" s="30" t="str">
        <f t="shared" si="8"/>
        <v/>
      </c>
      <c r="N13" s="31" t="str">
        <f t="shared" si="0"/>
        <v/>
      </c>
      <c r="O13" s="30" t="str">
        <f>IF(M13="","",VLOOKUP(N13,Table1[],2,TRUE))</f>
        <v/>
      </c>
      <c r="P13" s="40" t="str">
        <f t="shared" si="1"/>
        <v/>
      </c>
      <c r="Q13" s="41" t="str">
        <f t="shared" si="2"/>
        <v/>
      </c>
      <c r="R13" s="42" t="str">
        <f>IF(P13="","",VLOOKUP(Q13,Table1[],2,TRUE))</f>
        <v/>
      </c>
      <c r="S13" s="27" t="str">
        <f>IF(AND(N13="",Q13=""),"",IF(OR(N13="-",Q13="-"),"-",IF(AND(N$3&lt;&gt;0,Q$3&lt;&gt;0),VLOOKUP(AVERAGE(N13,Q13),Table1[],2,TRUE),IF(AND(N$3&lt;&gt;0,Q$3=0),O13,R13))))</f>
        <v/>
      </c>
      <c r="T13" s="27"/>
      <c r="U13" s="84" t="str">
        <f t="shared" si="3"/>
        <v/>
      </c>
      <c r="V13" s="91"/>
      <c r="W13" s="28"/>
      <c r="X13" s="29"/>
      <c r="Y13" s="29"/>
      <c r="Z13" s="29"/>
      <c r="AA13" s="29"/>
      <c r="AB13" s="29"/>
      <c r="AC13" s="29"/>
      <c r="AD13" s="29"/>
      <c r="AE13" s="29"/>
      <c r="AF13" s="29"/>
      <c r="AG13" s="29"/>
      <c r="AH13" s="29"/>
      <c r="AI13" s="30" t="str">
        <f t="shared" si="9"/>
        <v/>
      </c>
      <c r="AJ13" s="31" t="str">
        <f t="shared" si="4"/>
        <v/>
      </c>
      <c r="AK13" s="30" t="str">
        <f>IF(AI13="","",VLOOKUP(AJ13,Table1[],2,TRUE))</f>
        <v/>
      </c>
      <c r="AL13" s="40" t="str">
        <f t="shared" si="5"/>
        <v/>
      </c>
      <c r="AM13" s="41" t="str">
        <f t="shared" si="6"/>
        <v/>
      </c>
      <c r="AN13" s="42" t="str">
        <f>IF(AL13="","",VLOOKUP(AM13,Table1[],2,TRUE))</f>
        <v/>
      </c>
      <c r="AO13" s="27" t="str">
        <f>IF(AND(AJ13="",AM13=""),"",IF(OR(AJ13="-",AM13="-"),"-",IF(AND(AJ$3&lt;&gt;0,AM$3&lt;&gt;0),VLOOKUP(AVERAGE(AJ13,AM13),Table1[],2,TRUE),IF(AND(AJ$3&lt;&gt;0,AM$3=0),AK13,AN13))))</f>
        <v/>
      </c>
      <c r="AP13" s="27"/>
      <c r="AQ13" s="84" t="str">
        <f t="shared" si="7"/>
        <v/>
      </c>
      <c r="AR13" s="85"/>
    </row>
    <row r="14" spans="1:44" x14ac:dyDescent="0.25">
      <c r="A14" s="28"/>
      <c r="B14" s="29"/>
      <c r="C14" s="29"/>
      <c r="D14" s="29"/>
      <c r="E14" s="29"/>
      <c r="F14" s="29"/>
      <c r="G14" s="29"/>
      <c r="H14" s="29"/>
      <c r="I14" s="29"/>
      <c r="J14" s="29"/>
      <c r="K14" s="29"/>
      <c r="L14" s="29"/>
      <c r="M14" s="30" t="str">
        <f t="shared" si="8"/>
        <v/>
      </c>
      <c r="N14" s="31" t="str">
        <f t="shared" si="0"/>
        <v/>
      </c>
      <c r="O14" s="30" t="str">
        <f>IF(M14="","",VLOOKUP(N14,Table1[],2,TRUE))</f>
        <v/>
      </c>
      <c r="P14" s="40" t="str">
        <f t="shared" si="1"/>
        <v/>
      </c>
      <c r="Q14" s="41" t="str">
        <f t="shared" si="2"/>
        <v/>
      </c>
      <c r="R14" s="42" t="str">
        <f>IF(P14="","",VLOOKUP(Q14,Table1[],2,TRUE))</f>
        <v/>
      </c>
      <c r="S14" s="27" t="str">
        <f>IF(AND(N14="",Q14=""),"",IF(OR(N14="-",Q14="-"),"-",IF(AND(N$3&lt;&gt;0,Q$3&lt;&gt;0),VLOOKUP(AVERAGE(N14,Q14),Table1[],2,TRUE),IF(AND(N$3&lt;&gt;0,Q$3=0),O14,R14))))</f>
        <v/>
      </c>
      <c r="T14" s="27"/>
      <c r="U14" s="84" t="str">
        <f t="shared" si="3"/>
        <v/>
      </c>
      <c r="V14" s="91"/>
      <c r="W14" s="28"/>
      <c r="X14" s="29"/>
      <c r="Y14" s="29"/>
      <c r="Z14" s="29"/>
      <c r="AA14" s="29"/>
      <c r="AB14" s="29"/>
      <c r="AC14" s="29"/>
      <c r="AD14" s="29"/>
      <c r="AE14" s="29"/>
      <c r="AF14" s="29"/>
      <c r="AG14" s="29"/>
      <c r="AH14" s="29"/>
      <c r="AI14" s="30" t="str">
        <f t="shared" si="9"/>
        <v/>
      </c>
      <c r="AJ14" s="31" t="str">
        <f t="shared" si="4"/>
        <v/>
      </c>
      <c r="AK14" s="30" t="str">
        <f>IF(AI14="","",VLOOKUP(AJ14,Table1[],2,TRUE))</f>
        <v/>
      </c>
      <c r="AL14" s="40" t="str">
        <f t="shared" si="5"/>
        <v/>
      </c>
      <c r="AM14" s="41" t="str">
        <f t="shared" si="6"/>
        <v/>
      </c>
      <c r="AN14" s="42" t="str">
        <f>IF(AL14="","",VLOOKUP(AM14,Table1[],2,TRUE))</f>
        <v/>
      </c>
      <c r="AO14" s="27" t="str">
        <f>IF(AND(AJ14="",AM14=""),"",IF(OR(AJ14="-",AM14="-"),"-",IF(AND(AJ$3&lt;&gt;0,AM$3&lt;&gt;0),VLOOKUP(AVERAGE(AJ14,AM14),Table1[],2,TRUE),IF(AND(AJ$3&lt;&gt;0,AM$3=0),AK14,AN14))))</f>
        <v/>
      </c>
      <c r="AP14" s="27"/>
      <c r="AQ14" s="84" t="str">
        <f t="shared" si="7"/>
        <v/>
      </c>
      <c r="AR14" s="85"/>
    </row>
    <row r="15" spans="1:44" x14ac:dyDescent="0.25">
      <c r="A15" s="28"/>
      <c r="B15" s="29"/>
      <c r="C15" s="29"/>
      <c r="D15" s="29"/>
      <c r="E15" s="29"/>
      <c r="F15" s="29"/>
      <c r="G15" s="29"/>
      <c r="H15" s="29"/>
      <c r="I15" s="29"/>
      <c r="J15" s="29"/>
      <c r="K15" s="29"/>
      <c r="L15" s="29"/>
      <c r="M15" s="30" t="str">
        <f t="shared" si="8"/>
        <v/>
      </c>
      <c r="N15" s="31" t="str">
        <f t="shared" si="0"/>
        <v/>
      </c>
      <c r="O15" s="30" t="str">
        <f>IF(M15="","",VLOOKUP(N15,Table1[],2,TRUE))</f>
        <v/>
      </c>
      <c r="P15" s="40" t="str">
        <f t="shared" si="1"/>
        <v/>
      </c>
      <c r="Q15" s="41" t="str">
        <f t="shared" si="2"/>
        <v/>
      </c>
      <c r="R15" s="42" t="str">
        <f>IF(P15="","",VLOOKUP(Q15,Table1[],2,TRUE))</f>
        <v/>
      </c>
      <c r="S15" s="27" t="str">
        <f>IF(AND(N15="",Q15=""),"",IF(OR(N15="-",Q15="-"),"-",IF(AND(N$3&lt;&gt;0,Q$3&lt;&gt;0),VLOOKUP(AVERAGE(N15,Q15),Table1[],2,TRUE),IF(AND(N$3&lt;&gt;0,Q$3=0),O15,R15))))</f>
        <v/>
      </c>
      <c r="T15" s="27"/>
      <c r="U15" s="84" t="str">
        <f t="shared" si="3"/>
        <v/>
      </c>
      <c r="V15" s="91"/>
      <c r="W15" s="28"/>
      <c r="X15" s="29"/>
      <c r="Y15" s="29"/>
      <c r="Z15" s="29"/>
      <c r="AA15" s="29"/>
      <c r="AB15" s="29"/>
      <c r="AC15" s="29"/>
      <c r="AD15" s="29"/>
      <c r="AE15" s="29"/>
      <c r="AF15" s="29"/>
      <c r="AG15" s="29"/>
      <c r="AH15" s="29"/>
      <c r="AI15" s="30" t="str">
        <f t="shared" si="9"/>
        <v/>
      </c>
      <c r="AJ15" s="31" t="str">
        <f t="shared" si="4"/>
        <v/>
      </c>
      <c r="AK15" s="30" t="str">
        <f>IF(AI15="","",VLOOKUP(AJ15,Table1[],2,TRUE))</f>
        <v/>
      </c>
      <c r="AL15" s="40" t="str">
        <f t="shared" si="5"/>
        <v/>
      </c>
      <c r="AM15" s="41" t="str">
        <f t="shared" si="6"/>
        <v/>
      </c>
      <c r="AN15" s="42" t="str">
        <f>IF(AL15="","",VLOOKUP(AM15,Table1[],2,TRUE))</f>
        <v/>
      </c>
      <c r="AO15" s="27" t="str">
        <f>IF(AND(AJ15="",AM15=""),"",IF(OR(AJ15="-",AM15="-"),"-",IF(AND(AJ$3&lt;&gt;0,AM$3&lt;&gt;0),VLOOKUP(AVERAGE(AJ15,AM15),Table1[],2,TRUE),IF(AND(AJ$3&lt;&gt;0,AM$3=0),AK15,AN15))))</f>
        <v/>
      </c>
      <c r="AP15" s="27"/>
      <c r="AQ15" s="84" t="str">
        <f t="shared" si="7"/>
        <v/>
      </c>
      <c r="AR15" s="85"/>
    </row>
    <row r="16" spans="1:44" x14ac:dyDescent="0.25">
      <c r="A16" s="28"/>
      <c r="B16" s="29"/>
      <c r="C16" s="29"/>
      <c r="D16" s="29"/>
      <c r="E16" s="29"/>
      <c r="F16" s="29"/>
      <c r="G16" s="29"/>
      <c r="H16" s="29"/>
      <c r="I16" s="29"/>
      <c r="J16" s="29"/>
      <c r="K16" s="29"/>
      <c r="L16" s="29"/>
      <c r="M16" s="30" t="str">
        <f t="shared" si="8"/>
        <v/>
      </c>
      <c r="N16" s="31" t="str">
        <f t="shared" si="0"/>
        <v/>
      </c>
      <c r="O16" s="30" t="str">
        <f>IF(M16="","",VLOOKUP(N16,Table1[],2,TRUE))</f>
        <v/>
      </c>
      <c r="P16" s="40" t="str">
        <f t="shared" si="1"/>
        <v/>
      </c>
      <c r="Q16" s="41" t="str">
        <f t="shared" si="2"/>
        <v/>
      </c>
      <c r="R16" s="42" t="str">
        <f>IF(P16="","",VLOOKUP(Q16,Table1[],2,TRUE))</f>
        <v/>
      </c>
      <c r="S16" s="27" t="str">
        <f>IF(AND(N16="",Q16=""),"",IF(OR(N16="-",Q16="-"),"-",IF(AND(N$3&lt;&gt;0,Q$3&lt;&gt;0),VLOOKUP(AVERAGE(N16,Q16),Table1[],2,TRUE),IF(AND(N$3&lt;&gt;0,Q$3=0),O16,R16))))</f>
        <v/>
      </c>
      <c r="T16" s="27"/>
      <c r="U16" s="84" t="str">
        <f t="shared" si="3"/>
        <v/>
      </c>
      <c r="V16" s="91"/>
      <c r="W16" s="28"/>
      <c r="X16" s="29"/>
      <c r="Y16" s="29"/>
      <c r="Z16" s="29"/>
      <c r="AA16" s="29"/>
      <c r="AB16" s="29"/>
      <c r="AC16" s="29"/>
      <c r="AD16" s="29"/>
      <c r="AE16" s="29"/>
      <c r="AF16" s="29"/>
      <c r="AG16" s="29"/>
      <c r="AH16" s="29"/>
      <c r="AI16" s="30" t="str">
        <f t="shared" si="9"/>
        <v/>
      </c>
      <c r="AJ16" s="31" t="str">
        <f t="shared" si="4"/>
        <v/>
      </c>
      <c r="AK16" s="30" t="str">
        <f>IF(AI16="","",VLOOKUP(AJ16,Table1[],2,TRUE))</f>
        <v/>
      </c>
      <c r="AL16" s="40" t="str">
        <f t="shared" si="5"/>
        <v/>
      </c>
      <c r="AM16" s="41" t="str">
        <f t="shared" si="6"/>
        <v/>
      </c>
      <c r="AN16" s="42" t="str">
        <f>IF(AL16="","",VLOOKUP(AM16,Table1[],2,TRUE))</f>
        <v/>
      </c>
      <c r="AO16" s="27" t="str">
        <f>IF(AND(AJ16="",AM16=""),"",IF(OR(AJ16="-",AM16="-"),"-",IF(AND(AJ$3&lt;&gt;0,AM$3&lt;&gt;0),VLOOKUP(AVERAGE(AJ16,AM16),Table1[],2,TRUE),IF(AND(AJ$3&lt;&gt;0,AM$3=0),AK16,AN16))))</f>
        <v/>
      </c>
      <c r="AP16" s="27"/>
      <c r="AQ16" s="84" t="str">
        <f t="shared" si="7"/>
        <v/>
      </c>
      <c r="AR16" s="85"/>
    </row>
    <row r="17" spans="1:44" x14ac:dyDescent="0.25">
      <c r="A17" s="28"/>
      <c r="B17" s="29"/>
      <c r="C17" s="29"/>
      <c r="D17" s="29"/>
      <c r="E17" s="29"/>
      <c r="F17" s="29"/>
      <c r="G17" s="29"/>
      <c r="H17" s="29"/>
      <c r="I17" s="29"/>
      <c r="J17" s="29"/>
      <c r="K17" s="29"/>
      <c r="L17" s="29"/>
      <c r="M17" s="30" t="str">
        <f t="shared" si="8"/>
        <v/>
      </c>
      <c r="N17" s="31" t="str">
        <f t="shared" si="0"/>
        <v/>
      </c>
      <c r="O17" s="30" t="str">
        <f>IF(M17="","",VLOOKUP(N17,Table1[],2,TRUE))</f>
        <v/>
      </c>
      <c r="P17" s="40" t="str">
        <f t="shared" si="1"/>
        <v/>
      </c>
      <c r="Q17" s="41" t="str">
        <f t="shared" si="2"/>
        <v/>
      </c>
      <c r="R17" s="42" t="str">
        <f>IF(P17="","",VLOOKUP(Q17,Table1[],2,TRUE))</f>
        <v/>
      </c>
      <c r="S17" s="27" t="str">
        <f>IF(AND(N17="",Q17=""),"",IF(OR(N17="-",Q17="-"),"-",IF(AND(N$3&lt;&gt;0,Q$3&lt;&gt;0),VLOOKUP(AVERAGE(N17,Q17),Table1[],2,TRUE),IF(AND(N$3&lt;&gt;0,Q$3=0),O17,R17))))</f>
        <v/>
      </c>
      <c r="T17" s="27"/>
      <c r="U17" s="84" t="str">
        <f t="shared" si="3"/>
        <v/>
      </c>
      <c r="V17" s="91"/>
      <c r="W17" s="28"/>
      <c r="X17" s="29"/>
      <c r="Y17" s="29"/>
      <c r="Z17" s="29"/>
      <c r="AA17" s="29"/>
      <c r="AB17" s="29"/>
      <c r="AC17" s="29"/>
      <c r="AD17" s="29"/>
      <c r="AE17" s="29"/>
      <c r="AF17" s="29"/>
      <c r="AG17" s="29"/>
      <c r="AH17" s="29"/>
      <c r="AI17" s="30" t="str">
        <f t="shared" si="9"/>
        <v/>
      </c>
      <c r="AJ17" s="31" t="str">
        <f t="shared" si="4"/>
        <v/>
      </c>
      <c r="AK17" s="30" t="str">
        <f>IF(AI17="","",VLOOKUP(AJ17,Table1[],2,TRUE))</f>
        <v/>
      </c>
      <c r="AL17" s="40" t="str">
        <f t="shared" si="5"/>
        <v/>
      </c>
      <c r="AM17" s="41" t="str">
        <f t="shared" si="6"/>
        <v/>
      </c>
      <c r="AN17" s="42" t="str">
        <f>IF(AL17="","",VLOOKUP(AM17,Table1[],2,TRUE))</f>
        <v/>
      </c>
      <c r="AO17" s="27" t="str">
        <f>IF(AND(AJ17="",AM17=""),"",IF(OR(AJ17="-",AM17="-"),"-",IF(AND(AJ$3&lt;&gt;0,AM$3&lt;&gt;0),VLOOKUP(AVERAGE(AJ17,AM17),Table1[],2,TRUE),IF(AND(AJ$3&lt;&gt;0,AM$3=0),AK17,AN17))))</f>
        <v/>
      </c>
      <c r="AP17" s="27"/>
      <c r="AQ17" s="84" t="str">
        <f t="shared" si="7"/>
        <v/>
      </c>
      <c r="AR17" s="85"/>
    </row>
    <row r="18" spans="1:44" x14ac:dyDescent="0.25">
      <c r="A18" s="28"/>
      <c r="B18" s="29"/>
      <c r="C18" s="29"/>
      <c r="D18" s="29"/>
      <c r="E18" s="29"/>
      <c r="F18" s="29"/>
      <c r="G18" s="29"/>
      <c r="H18" s="29"/>
      <c r="I18" s="29"/>
      <c r="J18" s="29"/>
      <c r="K18" s="29"/>
      <c r="L18" s="29"/>
      <c r="M18" s="30" t="str">
        <f>IF(OR(A18="-",C18="-",E18="-"),"-",IF(AND(ISBLANK(C18),ISBLANK(A18),ISBLANK(E18)),"",A18+C18+E18))</f>
        <v/>
      </c>
      <c r="N18" s="31" t="str">
        <f t="shared" si="0"/>
        <v/>
      </c>
      <c r="O18" s="30" t="str">
        <f>IF(M18="","",VLOOKUP(N18,Table1[],2,TRUE))</f>
        <v/>
      </c>
      <c r="P18" s="40" t="str">
        <f t="shared" si="1"/>
        <v/>
      </c>
      <c r="Q18" s="41" t="str">
        <f t="shared" si="2"/>
        <v/>
      </c>
      <c r="R18" s="42" t="str">
        <f>IF(P18="","",VLOOKUP(Q18,Table1[],2,TRUE))</f>
        <v/>
      </c>
      <c r="S18" s="27" t="str">
        <f>IF(AND(N18="",Q18=""),"",IF(OR(N18="-",Q18="-"),"-",IF(AND(N$3&lt;&gt;0,Q$3&lt;&gt;0),VLOOKUP(AVERAGE(N18,Q18),Table1[],2,TRUE),IF(AND(N$3&lt;&gt;0,Q$3=0),O18,R18))))</f>
        <v/>
      </c>
      <c r="T18" s="27"/>
      <c r="U18" s="84" t="str">
        <f t="shared" si="3"/>
        <v/>
      </c>
      <c r="V18" s="91"/>
      <c r="W18" s="28"/>
      <c r="X18" s="29"/>
      <c r="Y18" s="29"/>
      <c r="Z18" s="29"/>
      <c r="AA18" s="29"/>
      <c r="AB18" s="29"/>
      <c r="AC18" s="29"/>
      <c r="AD18" s="29"/>
      <c r="AE18" s="29"/>
      <c r="AF18" s="29"/>
      <c r="AG18" s="29"/>
      <c r="AH18" s="29"/>
      <c r="AI18" s="30" t="str">
        <f>IF(OR(W18="-",Y18="-",AA18="-"),"-",IF(AND(ISBLANK(Y18),ISBLANK(W18),ISBLANK(AA18)),"",W18+Y18+AA18))</f>
        <v/>
      </c>
      <c r="AJ18" s="31" t="str">
        <f t="shared" si="4"/>
        <v/>
      </c>
      <c r="AK18" s="30" t="str">
        <f>IF(AI18="","",VLOOKUP(AJ18,Table1[],2,TRUE))</f>
        <v/>
      </c>
      <c r="AL18" s="40" t="str">
        <f t="shared" si="5"/>
        <v/>
      </c>
      <c r="AM18" s="41" t="str">
        <f t="shared" si="6"/>
        <v/>
      </c>
      <c r="AN18" s="42" t="str">
        <f>IF(AL18="","",VLOOKUP(AM18,Table1[],2,TRUE))</f>
        <v/>
      </c>
      <c r="AO18" s="27" t="str">
        <f>IF(AND(AJ18="",AM18=""),"",IF(OR(AJ18="-",AM18="-"),"-",IF(AND(AJ$3&lt;&gt;0,AM$3&lt;&gt;0),VLOOKUP(AVERAGE(AJ18,AM18),Table1[],2,TRUE),IF(AND(AJ$3&lt;&gt;0,AM$3=0),AK18,AN18))))</f>
        <v/>
      </c>
      <c r="AP18" s="27"/>
      <c r="AQ18" s="84" t="str">
        <f t="shared" si="7"/>
        <v/>
      </c>
      <c r="AR18" s="85"/>
    </row>
    <row r="19" spans="1:44" x14ac:dyDescent="0.25">
      <c r="A19" s="28"/>
      <c r="B19" s="29"/>
      <c r="C19" s="29"/>
      <c r="D19" s="29"/>
      <c r="E19" s="29"/>
      <c r="F19" s="29"/>
      <c r="G19" s="29"/>
      <c r="H19" s="29"/>
      <c r="I19" s="29"/>
      <c r="J19" s="29"/>
      <c r="K19" s="29"/>
      <c r="L19" s="29"/>
      <c r="M19" s="30" t="str">
        <f t="shared" si="8"/>
        <v/>
      </c>
      <c r="N19" s="31" t="str">
        <f t="shared" si="0"/>
        <v/>
      </c>
      <c r="O19" s="30" t="str">
        <f>IF(M19="","",VLOOKUP(N19,Table1[],2,TRUE))</f>
        <v/>
      </c>
      <c r="P19" s="40" t="str">
        <f t="shared" si="1"/>
        <v/>
      </c>
      <c r="Q19" s="41" t="str">
        <f t="shared" si="2"/>
        <v/>
      </c>
      <c r="R19" s="42" t="str">
        <f>IF(P19="","",VLOOKUP(Q19,Table1[],2,TRUE))</f>
        <v/>
      </c>
      <c r="S19" s="27" t="str">
        <f>IF(AND(N19="",Q19=""),"",IF(OR(N19="-",Q19="-"),"-",IF(AND(N$3&lt;&gt;0,Q$3&lt;&gt;0),VLOOKUP(AVERAGE(N19,Q19),Table1[],2,TRUE),IF(AND(N$3&lt;&gt;0,Q$3=0),O19,R19))))</f>
        <v/>
      </c>
      <c r="T19" s="27"/>
      <c r="U19" s="84" t="str">
        <f t="shared" si="3"/>
        <v/>
      </c>
      <c r="V19" s="91"/>
      <c r="W19" s="28"/>
      <c r="X19" s="29"/>
      <c r="Y19" s="29"/>
      <c r="Z19" s="29"/>
      <c r="AA19" s="29"/>
      <c r="AB19" s="29"/>
      <c r="AC19" s="29"/>
      <c r="AD19" s="29"/>
      <c r="AE19" s="29"/>
      <c r="AF19" s="29"/>
      <c r="AG19" s="29"/>
      <c r="AH19" s="29"/>
      <c r="AI19" s="30" t="str">
        <f t="shared" si="9"/>
        <v/>
      </c>
      <c r="AJ19" s="31" t="str">
        <f t="shared" si="4"/>
        <v/>
      </c>
      <c r="AK19" s="30" t="str">
        <f>IF(AI19="","",VLOOKUP(AJ19,Table1[],2,TRUE))</f>
        <v/>
      </c>
      <c r="AL19" s="40" t="str">
        <f t="shared" si="5"/>
        <v/>
      </c>
      <c r="AM19" s="41" t="str">
        <f t="shared" si="6"/>
        <v/>
      </c>
      <c r="AN19" s="42" t="str">
        <f>IF(AL19="","",VLOOKUP(AM19,Table1[],2,TRUE))</f>
        <v/>
      </c>
      <c r="AO19" s="27" t="str">
        <f>IF(AND(AJ19="",AM19=""),"",IF(OR(AJ19="-",AM19="-"),"-",IF(AND(AJ$3&lt;&gt;0,AM$3&lt;&gt;0),VLOOKUP(AVERAGE(AJ19,AM19),Table1[],2,TRUE),IF(AND(AJ$3&lt;&gt;0,AM$3=0),AK19,AN19))))</f>
        <v/>
      </c>
      <c r="AP19" s="27"/>
      <c r="AQ19" s="84" t="str">
        <f t="shared" si="7"/>
        <v/>
      </c>
      <c r="AR19" s="85"/>
    </row>
    <row r="20" spans="1:44" x14ac:dyDescent="0.25">
      <c r="A20" s="28"/>
      <c r="B20" s="29"/>
      <c r="C20" s="29"/>
      <c r="D20" s="29"/>
      <c r="E20" s="29"/>
      <c r="F20" s="29"/>
      <c r="G20" s="29"/>
      <c r="H20" s="29"/>
      <c r="I20" s="29"/>
      <c r="J20" s="29"/>
      <c r="K20" s="29"/>
      <c r="L20" s="29"/>
      <c r="M20" s="30" t="str">
        <f t="shared" si="8"/>
        <v/>
      </c>
      <c r="N20" s="31" t="str">
        <f t="shared" si="0"/>
        <v/>
      </c>
      <c r="O20" s="30" t="str">
        <f>IF(M20="","",VLOOKUP(N20,Table1[],2,TRUE))</f>
        <v/>
      </c>
      <c r="P20" s="40" t="str">
        <f t="shared" si="1"/>
        <v/>
      </c>
      <c r="Q20" s="41" t="str">
        <f t="shared" si="2"/>
        <v/>
      </c>
      <c r="R20" s="42" t="str">
        <f>IF(P20="","",VLOOKUP(Q20,Table1[],2,TRUE))</f>
        <v/>
      </c>
      <c r="S20" s="27" t="str">
        <f>IF(AND(N20="",Q20=""),"",IF(OR(N20="-",Q20="-"),"-",IF(AND(N$3&lt;&gt;0,Q$3&lt;&gt;0),VLOOKUP(AVERAGE(N20,Q20),Table1[],2,TRUE),IF(AND(N$3&lt;&gt;0,Q$3=0),O20,R20))))</f>
        <v/>
      </c>
      <c r="T20" s="27"/>
      <c r="U20" s="84" t="str">
        <f t="shared" si="3"/>
        <v/>
      </c>
      <c r="V20" s="91"/>
      <c r="W20" s="28"/>
      <c r="X20" s="29"/>
      <c r="Y20" s="29"/>
      <c r="Z20" s="29"/>
      <c r="AA20" s="29"/>
      <c r="AB20" s="29"/>
      <c r="AC20" s="29"/>
      <c r="AD20" s="29"/>
      <c r="AE20" s="29"/>
      <c r="AF20" s="29"/>
      <c r="AG20" s="29"/>
      <c r="AH20" s="29"/>
      <c r="AI20" s="30" t="str">
        <f t="shared" si="9"/>
        <v/>
      </c>
      <c r="AJ20" s="31" t="str">
        <f t="shared" si="4"/>
        <v/>
      </c>
      <c r="AK20" s="30" t="str">
        <f>IF(AI20="","",VLOOKUP(AJ20,Table1[],2,TRUE))</f>
        <v/>
      </c>
      <c r="AL20" s="40" t="str">
        <f t="shared" si="5"/>
        <v/>
      </c>
      <c r="AM20" s="41" t="str">
        <f t="shared" si="6"/>
        <v/>
      </c>
      <c r="AN20" s="42" t="str">
        <f>IF(AL20="","",VLOOKUP(AM20,Table1[],2,TRUE))</f>
        <v/>
      </c>
      <c r="AO20" s="27" t="str">
        <f>IF(AND(AJ20="",AM20=""),"",IF(OR(AJ20="-",AM20="-"),"-",IF(AND(AJ$3&lt;&gt;0,AM$3&lt;&gt;0),VLOOKUP(AVERAGE(AJ20,AM20),Table1[],2,TRUE),IF(AND(AJ$3&lt;&gt;0,AM$3=0),AK20,AN20))))</f>
        <v/>
      </c>
      <c r="AP20" s="27"/>
      <c r="AQ20" s="84" t="str">
        <f t="shared" si="7"/>
        <v/>
      </c>
      <c r="AR20" s="85"/>
    </row>
    <row r="21" spans="1:44" x14ac:dyDescent="0.25">
      <c r="A21" s="28"/>
      <c r="B21" s="29"/>
      <c r="C21" s="29"/>
      <c r="D21" s="29"/>
      <c r="E21" s="29"/>
      <c r="F21" s="29"/>
      <c r="G21" s="29"/>
      <c r="H21" s="29"/>
      <c r="I21" s="29"/>
      <c r="J21" s="29"/>
      <c r="K21" s="29"/>
      <c r="L21" s="29"/>
      <c r="M21" s="30" t="str">
        <f t="shared" si="8"/>
        <v/>
      </c>
      <c r="N21" s="31" t="str">
        <f t="shared" si="0"/>
        <v/>
      </c>
      <c r="O21" s="30" t="str">
        <f>IF(M21="","",VLOOKUP(N21,Table1[],2,TRUE))</f>
        <v/>
      </c>
      <c r="P21" s="40" t="str">
        <f t="shared" si="1"/>
        <v/>
      </c>
      <c r="Q21" s="41" t="str">
        <f t="shared" si="2"/>
        <v/>
      </c>
      <c r="R21" s="42" t="str">
        <f>IF(P21="","",VLOOKUP(Q21,Table1[],2,TRUE))</f>
        <v/>
      </c>
      <c r="S21" s="27" t="str">
        <f>IF(AND(N21="",Q21=""),"",IF(OR(N21="-",Q21="-"),"-",IF(AND(N$3&lt;&gt;0,Q$3&lt;&gt;0),VLOOKUP(AVERAGE(N21,Q21),Table1[],2,TRUE),IF(AND(N$3&lt;&gt;0,Q$3=0),O21,R21))))</f>
        <v/>
      </c>
      <c r="T21" s="27"/>
      <c r="U21" s="84" t="str">
        <f t="shared" si="3"/>
        <v/>
      </c>
      <c r="V21" s="91"/>
      <c r="W21" s="28"/>
      <c r="X21" s="29"/>
      <c r="Y21" s="29"/>
      <c r="Z21" s="29"/>
      <c r="AA21" s="29"/>
      <c r="AB21" s="29"/>
      <c r="AC21" s="29"/>
      <c r="AD21" s="29"/>
      <c r="AE21" s="29"/>
      <c r="AF21" s="29"/>
      <c r="AG21" s="29"/>
      <c r="AH21" s="29"/>
      <c r="AI21" s="30" t="str">
        <f t="shared" si="9"/>
        <v/>
      </c>
      <c r="AJ21" s="31" t="str">
        <f t="shared" si="4"/>
        <v/>
      </c>
      <c r="AK21" s="30" t="str">
        <f>IF(AI21="","",VLOOKUP(AJ21,Table1[],2,TRUE))</f>
        <v/>
      </c>
      <c r="AL21" s="40" t="str">
        <f t="shared" si="5"/>
        <v/>
      </c>
      <c r="AM21" s="41" t="str">
        <f t="shared" si="6"/>
        <v/>
      </c>
      <c r="AN21" s="42" t="str">
        <f>IF(AL21="","",VLOOKUP(AM21,Table1[],2,TRUE))</f>
        <v/>
      </c>
      <c r="AO21" s="27" t="str">
        <f>IF(AND(AJ21="",AM21=""),"",IF(OR(AJ21="-",AM21="-"),"-",IF(AND(AJ$3&lt;&gt;0,AM$3&lt;&gt;0),VLOOKUP(AVERAGE(AJ21,AM21),Table1[],2,TRUE),IF(AND(AJ$3&lt;&gt;0,AM$3=0),AK21,AN21))))</f>
        <v/>
      </c>
      <c r="AP21" s="27"/>
      <c r="AQ21" s="84" t="str">
        <f t="shared" si="7"/>
        <v/>
      </c>
      <c r="AR21" s="85"/>
    </row>
    <row r="22" spans="1:44" x14ac:dyDescent="0.25">
      <c r="A22" s="28"/>
      <c r="B22" s="29"/>
      <c r="C22" s="29"/>
      <c r="D22" s="29"/>
      <c r="E22" s="29"/>
      <c r="F22" s="29"/>
      <c r="G22" s="29"/>
      <c r="H22" s="29"/>
      <c r="I22" s="29"/>
      <c r="J22" s="29"/>
      <c r="K22" s="29"/>
      <c r="L22" s="29"/>
      <c r="M22" s="30" t="str">
        <f t="shared" si="8"/>
        <v/>
      </c>
      <c r="N22" s="31" t="str">
        <f t="shared" si="0"/>
        <v/>
      </c>
      <c r="O22" s="30" t="str">
        <f>IF(M22="","",VLOOKUP(N22,Table1[],2,TRUE))</f>
        <v/>
      </c>
      <c r="P22" s="40" t="str">
        <f>IF(OR(G22="-",I22="-",K22="-"),"-",IF(AND(ISBLANK(I22),ISBLANK(G22),ISBLANK(K22)),"",G22+I22+K22))</f>
        <v/>
      </c>
      <c r="Q22" s="41" t="str">
        <f t="shared" si="2"/>
        <v/>
      </c>
      <c r="R22" s="42" t="str">
        <f>IF(P22="","",VLOOKUP(Q22,Table1[],2,TRUE))</f>
        <v/>
      </c>
      <c r="S22" s="27" t="str">
        <f>IF(AND(N22="",Q22=""),"",IF(OR(N22="-",Q22="-"),"-",IF(AND(N$3&lt;&gt;0,Q$3&lt;&gt;0),VLOOKUP(AVERAGE(N22,Q22),Table1[],2,TRUE),IF(AND(N$3&lt;&gt;0,Q$3=0),O22,R22))))</f>
        <v/>
      </c>
      <c r="T22" s="27"/>
      <c r="U22" s="84" t="str">
        <f t="shared" si="3"/>
        <v/>
      </c>
      <c r="V22" s="91"/>
      <c r="W22" s="28"/>
      <c r="X22" s="29"/>
      <c r="Y22" s="29"/>
      <c r="Z22" s="29"/>
      <c r="AA22" s="29"/>
      <c r="AB22" s="29"/>
      <c r="AC22" s="29"/>
      <c r="AD22" s="29"/>
      <c r="AE22" s="29"/>
      <c r="AF22" s="29"/>
      <c r="AG22" s="29"/>
      <c r="AH22" s="29"/>
      <c r="AI22" s="30" t="str">
        <f t="shared" si="9"/>
        <v/>
      </c>
      <c r="AJ22" s="31" t="str">
        <f t="shared" si="4"/>
        <v/>
      </c>
      <c r="AK22" s="30" t="str">
        <f>IF(AI22="","",VLOOKUP(AJ22,Table1[],2,TRUE))</f>
        <v/>
      </c>
      <c r="AL22" s="40" t="str">
        <f>IF(OR(AC22="-",AE22="-",AG22="-"),"-",IF(AND(ISBLANK(AE22),ISBLANK(AC22),ISBLANK(AG22)),"",AC22+AE22+AG22))</f>
        <v/>
      </c>
      <c r="AM22" s="41" t="str">
        <f t="shared" si="6"/>
        <v/>
      </c>
      <c r="AN22" s="42" t="str">
        <f>IF(AL22="","",VLOOKUP(AM22,Table1[],2,TRUE))</f>
        <v/>
      </c>
      <c r="AO22" s="27" t="str">
        <f>IF(AND(AJ22="",AM22=""),"",IF(OR(AJ22="-",AM22="-"),"-",IF(AND(AJ$3&lt;&gt;0,AM$3&lt;&gt;0),VLOOKUP(AVERAGE(AJ22,AM22),Table1[],2,TRUE),IF(AND(AJ$3&lt;&gt;0,AM$3=0),AK22,AN22))))</f>
        <v/>
      </c>
      <c r="AP22" s="27"/>
      <c r="AQ22" s="84" t="str">
        <f t="shared" si="7"/>
        <v/>
      </c>
      <c r="AR22" s="85"/>
    </row>
    <row r="23" spans="1:44" x14ac:dyDescent="0.25">
      <c r="A23" s="28"/>
      <c r="B23" s="29"/>
      <c r="C23" s="29"/>
      <c r="D23" s="29"/>
      <c r="E23" s="29"/>
      <c r="F23" s="29"/>
      <c r="G23" s="29"/>
      <c r="H23" s="29"/>
      <c r="I23" s="29"/>
      <c r="J23" s="29"/>
      <c r="K23" s="29"/>
      <c r="L23" s="29"/>
      <c r="M23" s="30" t="str">
        <f t="shared" si="8"/>
        <v/>
      </c>
      <c r="N23" s="31" t="str">
        <f t="shared" si="0"/>
        <v/>
      </c>
      <c r="O23" s="30" t="str">
        <f>IF(M23="","",VLOOKUP(N23,Table1[],2,TRUE))</f>
        <v/>
      </c>
      <c r="P23" s="40" t="str">
        <f t="shared" si="1"/>
        <v/>
      </c>
      <c r="Q23" s="41" t="str">
        <f t="shared" si="2"/>
        <v/>
      </c>
      <c r="R23" s="42" t="str">
        <f>IF(P23="","",VLOOKUP(Q23,Table1[],2,TRUE))</f>
        <v/>
      </c>
      <c r="S23" s="27" t="str">
        <f>IF(AND(N23="",Q23=""),"",IF(OR(N23="-",Q23="-"),"-",IF(AND(N$3&lt;&gt;0,Q$3&lt;&gt;0),VLOOKUP(AVERAGE(N23,Q23),Table1[],2,TRUE),IF(AND(N$3&lt;&gt;0,Q$3=0),O23,R23))))</f>
        <v/>
      </c>
      <c r="T23" s="27"/>
      <c r="U23" s="84" t="str">
        <f t="shared" si="3"/>
        <v/>
      </c>
      <c r="V23" s="91"/>
      <c r="W23" s="28"/>
      <c r="X23" s="29"/>
      <c r="Y23" s="29"/>
      <c r="Z23" s="29"/>
      <c r="AA23" s="29"/>
      <c r="AB23" s="29"/>
      <c r="AC23" s="29"/>
      <c r="AD23" s="29"/>
      <c r="AE23" s="29"/>
      <c r="AF23" s="29"/>
      <c r="AG23" s="29"/>
      <c r="AH23" s="29"/>
      <c r="AI23" s="30" t="str">
        <f t="shared" si="9"/>
        <v/>
      </c>
      <c r="AJ23" s="31" t="str">
        <f t="shared" si="4"/>
        <v/>
      </c>
      <c r="AK23" s="30" t="str">
        <f>IF(AI23="","",VLOOKUP(AJ23,Table1[],2,TRUE))</f>
        <v/>
      </c>
      <c r="AL23" s="40" t="str">
        <f t="shared" si="5"/>
        <v/>
      </c>
      <c r="AM23" s="41" t="str">
        <f t="shared" si="6"/>
        <v/>
      </c>
      <c r="AN23" s="42" t="str">
        <f>IF(AL23="","",VLOOKUP(AM23,Table1[],2,TRUE))</f>
        <v/>
      </c>
      <c r="AO23" s="27" t="str">
        <f>IF(AND(AJ23="",AM23=""),"",IF(OR(AJ23="-",AM23="-"),"-",IF(AND(AJ$3&lt;&gt;0,AM$3&lt;&gt;0),VLOOKUP(AVERAGE(AJ23,AM23),Table1[],2,TRUE),IF(AND(AJ$3&lt;&gt;0,AM$3=0),AK23,AN23))))</f>
        <v/>
      </c>
      <c r="AP23" s="27"/>
      <c r="AQ23" s="84" t="str">
        <f t="shared" si="7"/>
        <v/>
      </c>
      <c r="AR23" s="85"/>
    </row>
    <row r="24" spans="1:44" x14ac:dyDescent="0.25">
      <c r="A24" s="28"/>
      <c r="B24" s="29"/>
      <c r="C24" s="29"/>
      <c r="D24" s="29"/>
      <c r="E24" s="29"/>
      <c r="F24" s="29"/>
      <c r="G24" s="29"/>
      <c r="H24" s="29"/>
      <c r="I24" s="29"/>
      <c r="J24" s="29"/>
      <c r="K24" s="29"/>
      <c r="L24" s="29"/>
      <c r="M24" s="30" t="str">
        <f t="shared" si="8"/>
        <v/>
      </c>
      <c r="N24" s="31" t="str">
        <f t="shared" si="0"/>
        <v/>
      </c>
      <c r="O24" s="30" t="str">
        <f>IF(M24="","",VLOOKUP(N24,Table1[],2,TRUE))</f>
        <v/>
      </c>
      <c r="P24" s="40" t="str">
        <f t="shared" si="1"/>
        <v/>
      </c>
      <c r="Q24" s="41" t="str">
        <f t="shared" si="2"/>
        <v/>
      </c>
      <c r="R24" s="42" t="str">
        <f>IF(P24="","",VLOOKUP(Q24,Table1[],2,TRUE))</f>
        <v/>
      </c>
      <c r="S24" s="27" t="str">
        <f>IF(AND(N24="",Q24=""),"",IF(OR(N24="-",Q24="-"),"-",IF(AND(N$3&lt;&gt;0,Q$3&lt;&gt;0),VLOOKUP(AVERAGE(N24,Q24),Table1[],2,TRUE),IF(AND(N$3&lt;&gt;0,Q$3=0),O24,R24))))</f>
        <v/>
      </c>
      <c r="T24" s="27"/>
      <c r="U24" s="84" t="str">
        <f t="shared" si="3"/>
        <v/>
      </c>
      <c r="V24" s="91"/>
      <c r="W24" s="28"/>
      <c r="X24" s="29"/>
      <c r="Y24" s="29"/>
      <c r="Z24" s="29"/>
      <c r="AA24" s="29"/>
      <c r="AB24" s="29"/>
      <c r="AC24" s="29"/>
      <c r="AD24" s="29"/>
      <c r="AE24" s="29"/>
      <c r="AF24" s="29"/>
      <c r="AG24" s="29"/>
      <c r="AH24" s="29"/>
      <c r="AI24" s="30" t="str">
        <f t="shared" si="9"/>
        <v/>
      </c>
      <c r="AJ24" s="31" t="str">
        <f t="shared" si="4"/>
        <v/>
      </c>
      <c r="AK24" s="30" t="str">
        <f>IF(AI24="","",VLOOKUP(AJ24,Table1[],2,TRUE))</f>
        <v/>
      </c>
      <c r="AL24" s="40" t="str">
        <f t="shared" si="5"/>
        <v/>
      </c>
      <c r="AM24" s="41" t="str">
        <f t="shared" si="6"/>
        <v/>
      </c>
      <c r="AN24" s="42" t="str">
        <f>IF(AL24="","",VLOOKUP(AM24,Table1[],2,TRUE))</f>
        <v/>
      </c>
      <c r="AO24" s="27" t="str">
        <f>IF(AND(AJ24="",AM24=""),"",IF(OR(AJ24="-",AM24="-"),"-",IF(AND(AJ$3&lt;&gt;0,AM$3&lt;&gt;0),VLOOKUP(AVERAGE(AJ24,AM24),Table1[],2,TRUE),IF(AND(AJ$3&lt;&gt;0,AM$3=0),AK24,AN24))))</f>
        <v/>
      </c>
      <c r="AP24" s="27"/>
      <c r="AQ24" s="84" t="str">
        <f t="shared" si="7"/>
        <v/>
      </c>
      <c r="AR24" s="85"/>
    </row>
    <row r="25" spans="1:44" x14ac:dyDescent="0.25">
      <c r="A25" s="28"/>
      <c r="B25" s="29"/>
      <c r="C25" s="29"/>
      <c r="D25" s="29"/>
      <c r="E25" s="29"/>
      <c r="F25" s="29"/>
      <c r="G25" s="29"/>
      <c r="H25" s="29"/>
      <c r="I25" s="29"/>
      <c r="J25" s="29"/>
      <c r="K25" s="29"/>
      <c r="L25" s="29"/>
      <c r="M25" s="30" t="str">
        <f t="shared" si="8"/>
        <v/>
      </c>
      <c r="N25" s="31" t="str">
        <f t="shared" si="0"/>
        <v/>
      </c>
      <c r="O25" s="30" t="str">
        <f>IF(M25="","",VLOOKUP(N25,Table1[],2,TRUE))</f>
        <v/>
      </c>
      <c r="P25" s="40" t="str">
        <f t="shared" si="1"/>
        <v/>
      </c>
      <c r="Q25" s="41" t="str">
        <f t="shared" si="2"/>
        <v/>
      </c>
      <c r="R25" s="42" t="str">
        <f>IF(P25="","",VLOOKUP(Q25,Table1[],2,TRUE))</f>
        <v/>
      </c>
      <c r="S25" s="27" t="str">
        <f>IF(AND(N25="",Q25=""),"",IF(OR(N25="-",Q25="-"),"-",IF(AND(N$3&lt;&gt;0,Q$3&lt;&gt;0),VLOOKUP(AVERAGE(N25,Q25),Table1[],2,TRUE),IF(AND(N$3&lt;&gt;0,Q$3=0),O25,R25))))</f>
        <v/>
      </c>
      <c r="T25" s="27"/>
      <c r="U25" s="84" t="str">
        <f t="shared" si="3"/>
        <v/>
      </c>
      <c r="V25" s="91"/>
      <c r="W25" s="28"/>
      <c r="X25" s="29"/>
      <c r="Y25" s="29"/>
      <c r="Z25" s="29"/>
      <c r="AA25" s="29"/>
      <c r="AB25" s="29"/>
      <c r="AC25" s="29"/>
      <c r="AD25" s="29"/>
      <c r="AE25" s="29"/>
      <c r="AF25" s="29"/>
      <c r="AG25" s="29"/>
      <c r="AH25" s="29"/>
      <c r="AI25" s="30" t="str">
        <f t="shared" si="9"/>
        <v/>
      </c>
      <c r="AJ25" s="31" t="str">
        <f t="shared" si="4"/>
        <v/>
      </c>
      <c r="AK25" s="30" t="str">
        <f>IF(AI25="","",VLOOKUP(AJ25,Table1[],2,TRUE))</f>
        <v/>
      </c>
      <c r="AL25" s="40" t="str">
        <f t="shared" si="5"/>
        <v/>
      </c>
      <c r="AM25" s="41" t="str">
        <f t="shared" si="6"/>
        <v/>
      </c>
      <c r="AN25" s="42" t="str">
        <f>IF(AL25="","",VLOOKUP(AM25,Table1[],2,TRUE))</f>
        <v/>
      </c>
      <c r="AO25" s="27" t="str">
        <f>IF(AND(AJ25="",AM25=""),"",IF(OR(AJ25="-",AM25="-"),"-",IF(AND(AJ$3&lt;&gt;0,AM$3&lt;&gt;0),VLOOKUP(AVERAGE(AJ25,AM25),Table1[],2,TRUE),IF(AND(AJ$3&lt;&gt;0,AM$3=0),AK25,AN25))))</f>
        <v/>
      </c>
      <c r="AP25" s="27"/>
      <c r="AQ25" s="84" t="str">
        <f t="shared" si="7"/>
        <v/>
      </c>
      <c r="AR25" s="85"/>
    </row>
    <row r="26" spans="1:44" x14ac:dyDescent="0.25">
      <c r="A26" s="28"/>
      <c r="B26" s="29"/>
      <c r="C26" s="29"/>
      <c r="D26" s="29"/>
      <c r="E26" s="29"/>
      <c r="F26" s="29"/>
      <c r="G26" s="29"/>
      <c r="H26" s="29"/>
      <c r="I26" s="29"/>
      <c r="J26" s="29"/>
      <c r="K26" s="29"/>
      <c r="L26" s="29"/>
      <c r="M26" s="30" t="str">
        <f t="shared" si="8"/>
        <v/>
      </c>
      <c r="N26" s="31" t="str">
        <f t="shared" si="0"/>
        <v/>
      </c>
      <c r="O26" s="30" t="str">
        <f>IF(M26="","",VLOOKUP(N26,Table1[],2,TRUE))</f>
        <v/>
      </c>
      <c r="P26" s="40" t="str">
        <f t="shared" si="1"/>
        <v/>
      </c>
      <c r="Q26" s="41" t="str">
        <f t="shared" si="2"/>
        <v/>
      </c>
      <c r="R26" s="42" t="str">
        <f>IF(P26="","",VLOOKUP(Q26,Table1[],2,TRUE))</f>
        <v/>
      </c>
      <c r="S26" s="27" t="str">
        <f>IF(AND(N26="",Q26=""),"",IF(OR(N26="-",Q26="-"),"-",IF(AND(N$3&lt;&gt;0,Q$3&lt;&gt;0),VLOOKUP(AVERAGE(N26,Q26),Table1[],2,TRUE),IF(AND(N$3&lt;&gt;0,Q$3=0),O26,R26))))</f>
        <v/>
      </c>
      <c r="T26" s="27"/>
      <c r="U26" s="84" t="str">
        <f t="shared" si="3"/>
        <v/>
      </c>
      <c r="V26" s="91"/>
      <c r="W26" s="28"/>
      <c r="X26" s="29"/>
      <c r="Y26" s="29"/>
      <c r="Z26" s="29"/>
      <c r="AA26" s="29"/>
      <c r="AB26" s="29"/>
      <c r="AC26" s="29"/>
      <c r="AD26" s="29"/>
      <c r="AE26" s="29"/>
      <c r="AF26" s="29"/>
      <c r="AG26" s="29"/>
      <c r="AH26" s="29"/>
      <c r="AI26" s="30" t="str">
        <f t="shared" si="9"/>
        <v/>
      </c>
      <c r="AJ26" s="31" t="str">
        <f t="shared" si="4"/>
        <v/>
      </c>
      <c r="AK26" s="30" t="str">
        <f>IF(AI26="","",VLOOKUP(AJ26,Table1[],2,TRUE))</f>
        <v/>
      </c>
      <c r="AL26" s="40" t="str">
        <f t="shared" si="5"/>
        <v/>
      </c>
      <c r="AM26" s="41" t="str">
        <f t="shared" si="6"/>
        <v/>
      </c>
      <c r="AN26" s="42" t="str">
        <f>IF(AL26="","",VLOOKUP(AM26,Table1[],2,TRUE))</f>
        <v/>
      </c>
      <c r="AO26" s="27" t="str">
        <f>IF(AND(AJ26="",AM26=""),"",IF(OR(AJ26="-",AM26="-"),"-",IF(AND(AJ$3&lt;&gt;0,AM$3&lt;&gt;0),VLOOKUP(AVERAGE(AJ26,AM26),Table1[],2,TRUE),IF(AND(AJ$3&lt;&gt;0,AM$3=0),AK26,AN26))))</f>
        <v/>
      </c>
      <c r="AP26" s="27"/>
      <c r="AQ26" s="84" t="str">
        <f t="shared" si="7"/>
        <v/>
      </c>
      <c r="AR26" s="85"/>
    </row>
    <row r="27" spans="1:44" x14ac:dyDescent="0.25">
      <c r="A27" s="28"/>
      <c r="B27" s="29"/>
      <c r="C27" s="29"/>
      <c r="D27" s="29"/>
      <c r="E27" s="29"/>
      <c r="F27" s="29"/>
      <c r="G27" s="29"/>
      <c r="H27" s="29"/>
      <c r="I27" s="29"/>
      <c r="J27" s="29"/>
      <c r="K27" s="29"/>
      <c r="L27" s="29"/>
      <c r="M27" s="30" t="str">
        <f t="shared" si="8"/>
        <v/>
      </c>
      <c r="N27" s="31" t="str">
        <f t="shared" si="0"/>
        <v/>
      </c>
      <c r="O27" s="30" t="str">
        <f>IF(M27="","",VLOOKUP(N27,Table1[],2,TRUE))</f>
        <v/>
      </c>
      <c r="P27" s="40" t="str">
        <f t="shared" si="1"/>
        <v/>
      </c>
      <c r="Q27" s="41" t="str">
        <f t="shared" si="2"/>
        <v/>
      </c>
      <c r="R27" s="42" t="str">
        <f>IF(P27="","",VLOOKUP(Q27,Table1[],2,TRUE))</f>
        <v/>
      </c>
      <c r="S27" s="27" t="str">
        <f>IF(AND(N27="",Q27=""),"",IF(OR(N27="-",Q27="-"),"-",IF(AND(N$3&lt;&gt;0,Q$3&lt;&gt;0),VLOOKUP(AVERAGE(N27,Q27),Table1[],2,TRUE),IF(AND(N$3&lt;&gt;0,Q$3=0),O27,R27))))</f>
        <v/>
      </c>
      <c r="T27" s="27"/>
      <c r="U27" s="84" t="str">
        <f t="shared" si="3"/>
        <v/>
      </c>
      <c r="V27" s="91"/>
      <c r="W27" s="28"/>
      <c r="X27" s="29"/>
      <c r="Y27" s="29"/>
      <c r="Z27" s="29"/>
      <c r="AA27" s="29"/>
      <c r="AB27" s="29"/>
      <c r="AC27" s="29"/>
      <c r="AD27" s="29"/>
      <c r="AE27" s="29"/>
      <c r="AF27" s="29"/>
      <c r="AG27" s="29"/>
      <c r="AH27" s="29"/>
      <c r="AI27" s="30" t="str">
        <f t="shared" si="9"/>
        <v/>
      </c>
      <c r="AJ27" s="31" t="str">
        <f t="shared" si="4"/>
        <v/>
      </c>
      <c r="AK27" s="30" t="str">
        <f>IF(AI27="","",VLOOKUP(AJ27,Table1[],2,TRUE))</f>
        <v/>
      </c>
      <c r="AL27" s="40" t="str">
        <f t="shared" si="5"/>
        <v/>
      </c>
      <c r="AM27" s="41" t="str">
        <f t="shared" si="6"/>
        <v/>
      </c>
      <c r="AN27" s="42" t="str">
        <f>IF(AL27="","",VLOOKUP(AM27,Table1[],2,TRUE))</f>
        <v/>
      </c>
      <c r="AO27" s="27" t="str">
        <f>IF(AND(AJ27="",AM27=""),"",IF(OR(AJ27="-",AM27="-"),"-",IF(AND(AJ$3&lt;&gt;0,AM$3&lt;&gt;0),VLOOKUP(AVERAGE(AJ27,AM27),Table1[],2,TRUE),IF(AND(AJ$3&lt;&gt;0,AM$3=0),AK27,AN27))))</f>
        <v/>
      </c>
      <c r="AP27" s="27"/>
      <c r="AQ27" s="84" t="str">
        <f t="shared" si="7"/>
        <v/>
      </c>
      <c r="AR27" s="85"/>
    </row>
    <row r="28" spans="1:44" x14ac:dyDescent="0.25">
      <c r="A28" s="28"/>
      <c r="B28" s="29"/>
      <c r="C28" s="29"/>
      <c r="D28" s="29"/>
      <c r="E28" s="29"/>
      <c r="F28" s="29"/>
      <c r="G28" s="29"/>
      <c r="H28" s="29"/>
      <c r="I28" s="29"/>
      <c r="J28" s="29"/>
      <c r="K28" s="29"/>
      <c r="L28" s="29"/>
      <c r="M28" s="30" t="str">
        <f t="shared" si="8"/>
        <v/>
      </c>
      <c r="N28" s="31" t="str">
        <f t="shared" si="0"/>
        <v/>
      </c>
      <c r="O28" s="30" t="str">
        <f>IF(M28="","",VLOOKUP(N28,Table1[],2,TRUE))</f>
        <v/>
      </c>
      <c r="P28" s="40" t="str">
        <f t="shared" si="1"/>
        <v/>
      </c>
      <c r="Q28" s="41" t="str">
        <f t="shared" si="2"/>
        <v/>
      </c>
      <c r="R28" s="42" t="str">
        <f>IF(P28="","",VLOOKUP(Q28,Table1[],2,TRUE))</f>
        <v/>
      </c>
      <c r="S28" s="27" t="str">
        <f>IF(AND(N28="",Q28=""),"",IF(OR(N28="-",Q28="-"),"-",IF(AND(N$3&lt;&gt;0,Q$3&lt;&gt;0),VLOOKUP(AVERAGE(N28,Q28),Table1[],2,TRUE),IF(AND(N$3&lt;&gt;0,Q$3=0),O28,R28))))</f>
        <v/>
      </c>
      <c r="T28" s="27"/>
      <c r="U28" s="84" t="str">
        <f t="shared" si="3"/>
        <v/>
      </c>
      <c r="V28" s="91"/>
      <c r="W28" s="28"/>
      <c r="X28" s="29"/>
      <c r="Y28" s="29"/>
      <c r="Z28" s="29"/>
      <c r="AA28" s="29"/>
      <c r="AB28" s="29"/>
      <c r="AC28" s="29"/>
      <c r="AD28" s="29"/>
      <c r="AE28" s="29"/>
      <c r="AF28" s="29"/>
      <c r="AG28" s="29"/>
      <c r="AH28" s="29"/>
      <c r="AI28" s="30" t="str">
        <f t="shared" si="9"/>
        <v/>
      </c>
      <c r="AJ28" s="31" t="str">
        <f t="shared" si="4"/>
        <v/>
      </c>
      <c r="AK28" s="30" t="str">
        <f>IF(AI28="","",VLOOKUP(AJ28,Table1[],2,TRUE))</f>
        <v/>
      </c>
      <c r="AL28" s="40" t="str">
        <f t="shared" si="5"/>
        <v/>
      </c>
      <c r="AM28" s="41" t="str">
        <f t="shared" si="6"/>
        <v/>
      </c>
      <c r="AN28" s="42" t="str">
        <f>IF(AL28="","",VLOOKUP(AM28,Table1[],2,TRUE))</f>
        <v/>
      </c>
      <c r="AO28" s="27" t="str">
        <f>IF(AND(AJ28="",AM28=""),"",IF(OR(AJ28="-",AM28="-"),"-",IF(AND(AJ$3&lt;&gt;0,AM$3&lt;&gt;0),VLOOKUP(AVERAGE(AJ28,AM28),Table1[],2,TRUE),IF(AND(AJ$3&lt;&gt;0,AM$3=0),AK28,AN28))))</f>
        <v/>
      </c>
      <c r="AP28" s="27"/>
      <c r="AQ28" s="84" t="str">
        <f t="shared" si="7"/>
        <v/>
      </c>
      <c r="AR28" s="85"/>
    </row>
    <row r="29" spans="1:44" x14ac:dyDescent="0.25">
      <c r="A29" s="35"/>
      <c r="B29" s="36"/>
      <c r="C29" s="36"/>
      <c r="D29" s="36"/>
      <c r="E29" s="36"/>
      <c r="F29" s="36"/>
      <c r="G29" s="36"/>
      <c r="H29" s="36"/>
      <c r="I29" s="36"/>
      <c r="J29" s="36"/>
      <c r="K29" s="36"/>
      <c r="L29" s="36"/>
      <c r="M29" s="30" t="str">
        <f t="shared" si="8"/>
        <v/>
      </c>
      <c r="N29" s="31" t="str">
        <f t="shared" si="0"/>
        <v/>
      </c>
      <c r="O29" s="30" t="str">
        <f>IF(M29="","",VLOOKUP(N29,Table1[],2,TRUE))</f>
        <v/>
      </c>
      <c r="P29" s="40" t="str">
        <f t="shared" si="1"/>
        <v/>
      </c>
      <c r="Q29" s="41" t="str">
        <f t="shared" si="2"/>
        <v/>
      </c>
      <c r="R29" s="42" t="str">
        <f>IF(P29="","",VLOOKUP(Q29,Table1[],2,TRUE))</f>
        <v/>
      </c>
      <c r="S29" s="27" t="str">
        <f>IF(AND(N29="",Q29=""),"",IF(OR(N29="-",Q29="-"),"-",IF(AND(N$3&lt;&gt;0,Q$3&lt;&gt;0),VLOOKUP(AVERAGE(N29,Q29),Table1[],2,TRUE),IF(AND(N$3&lt;&gt;0,Q$3=0),O29,R29))))</f>
        <v/>
      </c>
      <c r="T29" s="27"/>
      <c r="U29" s="84" t="str">
        <f t="shared" si="3"/>
        <v/>
      </c>
      <c r="V29" s="91"/>
      <c r="W29" s="35"/>
      <c r="X29" s="36"/>
      <c r="Y29" s="36"/>
      <c r="Z29" s="36"/>
      <c r="AA29" s="36"/>
      <c r="AB29" s="36"/>
      <c r="AC29" s="36"/>
      <c r="AD29" s="36"/>
      <c r="AE29" s="36"/>
      <c r="AF29" s="36"/>
      <c r="AG29" s="36"/>
      <c r="AH29" s="36"/>
      <c r="AI29" s="30" t="str">
        <f t="shared" si="9"/>
        <v/>
      </c>
      <c r="AJ29" s="31" t="str">
        <f t="shared" si="4"/>
        <v/>
      </c>
      <c r="AK29" s="30" t="str">
        <f>IF(AI29="","",VLOOKUP(AJ29,Table1[],2,TRUE))</f>
        <v/>
      </c>
      <c r="AL29" s="40" t="str">
        <f t="shared" si="5"/>
        <v/>
      </c>
      <c r="AM29" s="41" t="str">
        <f t="shared" si="6"/>
        <v/>
      </c>
      <c r="AN29" s="42" t="str">
        <f>IF(AL29="","",VLOOKUP(AM29,Table1[],2,TRUE))</f>
        <v/>
      </c>
      <c r="AO29" s="27" t="str">
        <f>IF(AND(AJ29="",AM29=""),"",IF(OR(AJ29="-",AM29="-"),"-",IF(AND(AJ$3&lt;&gt;0,AM$3&lt;&gt;0),VLOOKUP(AVERAGE(AJ29,AM29),Table1[],2,TRUE),IF(AND(AJ$3&lt;&gt;0,AM$3=0),AK29,AN29))))</f>
        <v/>
      </c>
      <c r="AP29" s="27"/>
      <c r="AQ29" s="84" t="str">
        <f t="shared" si="7"/>
        <v/>
      </c>
      <c r="AR29" s="85"/>
    </row>
    <row r="30" spans="1:44" x14ac:dyDescent="0.25">
      <c r="A30" s="35"/>
      <c r="B30" s="36"/>
      <c r="C30" s="36"/>
      <c r="D30" s="36"/>
      <c r="E30" s="36"/>
      <c r="F30" s="36"/>
      <c r="G30" s="36"/>
      <c r="H30" s="36"/>
      <c r="I30" s="36"/>
      <c r="J30" s="36"/>
      <c r="K30" s="36"/>
      <c r="L30" s="36"/>
      <c r="M30" s="30" t="str">
        <f t="shared" si="8"/>
        <v/>
      </c>
      <c r="N30" s="31" t="str">
        <f t="shared" si="0"/>
        <v/>
      </c>
      <c r="O30" s="30" t="str">
        <f>IF(M30="","",VLOOKUP(N30,Table1[],2,TRUE))</f>
        <v/>
      </c>
      <c r="P30" s="40" t="str">
        <f t="shared" si="1"/>
        <v/>
      </c>
      <c r="Q30" s="41" t="str">
        <f t="shared" si="2"/>
        <v/>
      </c>
      <c r="R30" s="42" t="str">
        <f>IF(P30="","",VLOOKUP(Q30,Table1[],2,TRUE))</f>
        <v/>
      </c>
      <c r="S30" s="27" t="str">
        <f>IF(AND(N30="",Q30=""),"",IF(OR(N30="-",Q30="-"),"-",IF(AND(N$3&lt;&gt;0,Q$3&lt;&gt;0),VLOOKUP(AVERAGE(N30,Q30),Table1[],2,TRUE),IF(AND(N$3&lt;&gt;0,Q$3=0),O30,R30))))</f>
        <v/>
      </c>
      <c r="T30" s="27"/>
      <c r="U30" s="84" t="str">
        <f t="shared" si="3"/>
        <v/>
      </c>
      <c r="V30" s="91"/>
      <c r="W30" s="35"/>
      <c r="X30" s="36"/>
      <c r="Y30" s="36"/>
      <c r="Z30" s="36"/>
      <c r="AA30" s="36"/>
      <c r="AB30" s="36"/>
      <c r="AC30" s="36"/>
      <c r="AD30" s="36"/>
      <c r="AE30" s="36"/>
      <c r="AF30" s="36"/>
      <c r="AG30" s="36"/>
      <c r="AH30" s="36"/>
      <c r="AI30" s="30" t="str">
        <f t="shared" si="9"/>
        <v/>
      </c>
      <c r="AJ30" s="31" t="str">
        <f t="shared" si="4"/>
        <v/>
      </c>
      <c r="AK30" s="30" t="str">
        <f>IF(AI30="","",VLOOKUP(AJ30,Table1[],2,TRUE))</f>
        <v/>
      </c>
      <c r="AL30" s="40" t="str">
        <f t="shared" si="5"/>
        <v/>
      </c>
      <c r="AM30" s="41" t="str">
        <f t="shared" si="6"/>
        <v/>
      </c>
      <c r="AN30" s="42" t="str">
        <f>IF(AL30="","",VLOOKUP(AM30,Table1[],2,TRUE))</f>
        <v/>
      </c>
      <c r="AO30" s="27" t="str">
        <f>IF(AND(AJ30="",AM30=""),"",IF(OR(AJ30="-",AM30="-"),"-",IF(AND(AJ$3&lt;&gt;0,AM$3&lt;&gt;0),VLOOKUP(AVERAGE(AJ30,AM30),Table1[],2,TRUE),IF(AND(AJ$3&lt;&gt;0,AM$3=0),AK30,AN30))))</f>
        <v/>
      </c>
      <c r="AP30" s="27"/>
      <c r="AQ30" s="84" t="str">
        <f t="shared" si="7"/>
        <v/>
      </c>
      <c r="AR30" s="85"/>
    </row>
    <row r="31" spans="1:44" x14ac:dyDescent="0.25">
      <c r="A31" s="35"/>
      <c r="B31" s="36"/>
      <c r="C31" s="36"/>
      <c r="D31" s="36"/>
      <c r="E31" s="36"/>
      <c r="F31" s="36"/>
      <c r="G31" s="36"/>
      <c r="H31" s="36"/>
      <c r="I31" s="36"/>
      <c r="J31" s="36"/>
      <c r="K31" s="36"/>
      <c r="L31" s="36"/>
      <c r="M31" s="30" t="str">
        <f t="shared" si="8"/>
        <v/>
      </c>
      <c r="N31" s="31" t="str">
        <f t="shared" si="0"/>
        <v/>
      </c>
      <c r="O31" s="30" t="str">
        <f>IF(M31="","",VLOOKUP(N31,Table1[],2,TRUE))</f>
        <v/>
      </c>
      <c r="P31" s="40" t="str">
        <f t="shared" si="1"/>
        <v/>
      </c>
      <c r="Q31" s="41" t="str">
        <f t="shared" si="2"/>
        <v/>
      </c>
      <c r="R31" s="42" t="str">
        <f>IF(P31="","",VLOOKUP(Q31,Table1[],2,TRUE))</f>
        <v/>
      </c>
      <c r="S31" s="27" t="str">
        <f>IF(AND(N31="",Q31=""),"",IF(OR(N31="-",Q31="-"),"-",IF(AND(N$3&lt;&gt;0,Q$3&lt;&gt;0),VLOOKUP(AVERAGE(N31,Q31),Table1[],2,TRUE),IF(AND(N$3&lt;&gt;0,Q$3=0),O31,R31))))</f>
        <v/>
      </c>
      <c r="T31" s="27"/>
      <c r="U31" s="84" t="str">
        <f t="shared" si="3"/>
        <v/>
      </c>
      <c r="V31" s="91"/>
      <c r="W31" s="35"/>
      <c r="X31" s="36"/>
      <c r="Y31" s="36"/>
      <c r="Z31" s="36"/>
      <c r="AA31" s="36"/>
      <c r="AB31" s="36"/>
      <c r="AC31" s="36"/>
      <c r="AD31" s="36"/>
      <c r="AE31" s="36"/>
      <c r="AF31" s="36"/>
      <c r="AG31" s="36"/>
      <c r="AH31" s="36"/>
      <c r="AI31" s="30" t="str">
        <f t="shared" si="9"/>
        <v/>
      </c>
      <c r="AJ31" s="31" t="str">
        <f t="shared" si="4"/>
        <v/>
      </c>
      <c r="AK31" s="30" t="str">
        <f>IF(AI31="","",VLOOKUP(AJ31,Table1[],2,TRUE))</f>
        <v/>
      </c>
      <c r="AL31" s="40" t="str">
        <f t="shared" si="5"/>
        <v/>
      </c>
      <c r="AM31" s="41" t="str">
        <f t="shared" si="6"/>
        <v/>
      </c>
      <c r="AN31" s="42" t="str">
        <f>IF(AL31="","",VLOOKUP(AM31,Table1[],2,TRUE))</f>
        <v/>
      </c>
      <c r="AO31" s="27" t="str">
        <f>IF(AND(AJ31="",AM31=""),"",IF(OR(AJ31="-",AM31="-"),"-",IF(AND(AJ$3&lt;&gt;0,AM$3&lt;&gt;0),VLOOKUP(AVERAGE(AJ31,AM31),Table1[],2,TRUE),IF(AND(AJ$3&lt;&gt;0,AM$3=0),AK31,AN31))))</f>
        <v/>
      </c>
      <c r="AP31" s="27"/>
      <c r="AQ31" s="84" t="str">
        <f t="shared" si="7"/>
        <v/>
      </c>
      <c r="AR31" s="85"/>
    </row>
    <row r="32" spans="1:44" x14ac:dyDescent="0.25">
      <c r="A32" s="35"/>
      <c r="B32" s="36"/>
      <c r="C32" s="36"/>
      <c r="D32" s="36"/>
      <c r="E32" s="36"/>
      <c r="F32" s="36"/>
      <c r="G32" s="36"/>
      <c r="H32" s="36"/>
      <c r="I32" s="36"/>
      <c r="J32" s="36"/>
      <c r="K32" s="36"/>
      <c r="L32" s="36"/>
      <c r="M32" s="30" t="str">
        <f t="shared" si="8"/>
        <v/>
      </c>
      <c r="N32" s="31" t="str">
        <f t="shared" si="0"/>
        <v/>
      </c>
      <c r="O32" s="30" t="str">
        <f>IF(M32="","",VLOOKUP(N32,Table1[],2,TRUE))</f>
        <v/>
      </c>
      <c r="P32" s="40" t="str">
        <f t="shared" si="1"/>
        <v/>
      </c>
      <c r="Q32" s="41" t="str">
        <f t="shared" si="2"/>
        <v/>
      </c>
      <c r="R32" s="42" t="str">
        <f>IF(P32="","",VLOOKUP(Q32,Table1[],2,TRUE))</f>
        <v/>
      </c>
      <c r="S32" s="27" t="str">
        <f>IF(AND(N32="",Q32=""),"",IF(OR(N32="-",Q32="-"),"-",IF(AND(N$3&lt;&gt;0,Q$3&lt;&gt;0),VLOOKUP(AVERAGE(N32,Q32),Table1[],2,TRUE),IF(AND(N$3&lt;&gt;0,Q$3=0),O32,R32))))</f>
        <v/>
      </c>
      <c r="T32" s="27"/>
      <c r="U32" s="84" t="str">
        <f t="shared" si="3"/>
        <v/>
      </c>
      <c r="V32" s="91"/>
      <c r="W32" s="35"/>
      <c r="X32" s="36"/>
      <c r="Y32" s="36"/>
      <c r="Z32" s="36"/>
      <c r="AA32" s="36"/>
      <c r="AB32" s="36"/>
      <c r="AC32" s="36"/>
      <c r="AD32" s="36"/>
      <c r="AE32" s="36"/>
      <c r="AF32" s="36"/>
      <c r="AG32" s="36"/>
      <c r="AH32" s="36"/>
      <c r="AI32" s="30" t="str">
        <f t="shared" si="9"/>
        <v/>
      </c>
      <c r="AJ32" s="31" t="str">
        <f t="shared" si="4"/>
        <v/>
      </c>
      <c r="AK32" s="30" t="str">
        <f>IF(AI32="","",VLOOKUP(AJ32,Table1[],2,TRUE))</f>
        <v/>
      </c>
      <c r="AL32" s="40" t="str">
        <f t="shared" si="5"/>
        <v/>
      </c>
      <c r="AM32" s="41" t="str">
        <f t="shared" si="6"/>
        <v/>
      </c>
      <c r="AN32" s="42" t="str">
        <f>IF(AL32="","",VLOOKUP(AM32,Table1[],2,TRUE))</f>
        <v/>
      </c>
      <c r="AO32" s="27" t="str">
        <f>IF(AND(AJ32="",AM32=""),"",IF(OR(AJ32="-",AM32="-"),"-",IF(AND(AJ$3&lt;&gt;0,AM$3&lt;&gt;0),VLOOKUP(AVERAGE(AJ32,AM32),Table1[],2,TRUE),IF(AND(AJ$3&lt;&gt;0,AM$3=0),AK32,AN32))))</f>
        <v/>
      </c>
      <c r="AP32" s="27"/>
      <c r="AQ32" s="84" t="str">
        <f t="shared" si="7"/>
        <v/>
      </c>
      <c r="AR32" s="85"/>
    </row>
    <row r="33" spans="1:44" x14ac:dyDescent="0.25">
      <c r="A33" s="35"/>
      <c r="B33" s="36"/>
      <c r="C33" s="36"/>
      <c r="D33" s="36"/>
      <c r="E33" s="36"/>
      <c r="F33" s="36"/>
      <c r="G33" s="36"/>
      <c r="H33" s="36"/>
      <c r="I33" s="36"/>
      <c r="J33" s="36"/>
      <c r="K33" s="36"/>
      <c r="L33" s="36"/>
      <c r="M33" s="30" t="str">
        <f t="shared" si="8"/>
        <v/>
      </c>
      <c r="N33" s="31" t="str">
        <f t="shared" si="0"/>
        <v/>
      </c>
      <c r="O33" s="30" t="str">
        <f>IF(M33="","",VLOOKUP(N33,Table1[],2,TRUE))</f>
        <v/>
      </c>
      <c r="P33" s="40" t="str">
        <f t="shared" si="1"/>
        <v/>
      </c>
      <c r="Q33" s="41" t="str">
        <f t="shared" si="2"/>
        <v/>
      </c>
      <c r="R33" s="42" t="str">
        <f>IF(P33="","",VLOOKUP(Q33,Table1[],2,TRUE))</f>
        <v/>
      </c>
      <c r="S33" s="27" t="str">
        <f>IF(AND(N33="",Q33=""),"",IF(OR(N33="-",Q33="-"),"-",IF(AND(N$3&lt;&gt;0,Q$3&lt;&gt;0),VLOOKUP(AVERAGE(N33,Q33),Table1[],2,TRUE),IF(AND(N$3&lt;&gt;0,Q$3=0),O33,R33))))</f>
        <v/>
      </c>
      <c r="T33" s="27"/>
      <c r="U33" s="84" t="str">
        <f t="shared" si="3"/>
        <v/>
      </c>
      <c r="V33" s="91"/>
      <c r="W33" s="35"/>
      <c r="X33" s="36"/>
      <c r="Y33" s="36"/>
      <c r="Z33" s="36"/>
      <c r="AA33" s="36"/>
      <c r="AB33" s="36"/>
      <c r="AC33" s="36"/>
      <c r="AD33" s="36"/>
      <c r="AE33" s="36"/>
      <c r="AF33" s="36"/>
      <c r="AG33" s="36"/>
      <c r="AH33" s="36"/>
      <c r="AI33" s="30" t="str">
        <f t="shared" si="9"/>
        <v/>
      </c>
      <c r="AJ33" s="31" t="str">
        <f t="shared" si="4"/>
        <v/>
      </c>
      <c r="AK33" s="30" t="str">
        <f>IF(AI33="","",VLOOKUP(AJ33,Table1[],2,TRUE))</f>
        <v/>
      </c>
      <c r="AL33" s="40" t="str">
        <f t="shared" si="5"/>
        <v/>
      </c>
      <c r="AM33" s="41" t="str">
        <f t="shared" si="6"/>
        <v/>
      </c>
      <c r="AN33" s="42" t="str">
        <f>IF(AL33="","",VLOOKUP(AM33,Table1[],2,TRUE))</f>
        <v/>
      </c>
      <c r="AO33" s="27" t="str">
        <f>IF(AND(AJ33="",AM33=""),"",IF(OR(AJ33="-",AM33="-"),"-",IF(AND(AJ$3&lt;&gt;0,AM$3&lt;&gt;0),VLOOKUP(AVERAGE(AJ33,AM33),Table1[],2,TRUE),IF(AND(AJ$3&lt;&gt;0,AM$3=0),AK33,AN33))))</f>
        <v/>
      </c>
      <c r="AP33" s="27"/>
      <c r="AQ33" s="84" t="str">
        <f t="shared" si="7"/>
        <v/>
      </c>
      <c r="AR33" s="85"/>
    </row>
    <row r="34" spans="1:44" x14ac:dyDescent="0.25">
      <c r="A34" s="35"/>
      <c r="B34" s="36"/>
      <c r="C34" s="36"/>
      <c r="D34" s="36"/>
      <c r="E34" s="36"/>
      <c r="F34" s="36"/>
      <c r="G34" s="36"/>
      <c r="H34" s="36"/>
      <c r="I34" s="36"/>
      <c r="J34" s="36"/>
      <c r="K34" s="36"/>
      <c r="L34" s="36"/>
      <c r="M34" s="30" t="str">
        <f t="shared" si="8"/>
        <v/>
      </c>
      <c r="N34" s="31" t="str">
        <f t="shared" si="0"/>
        <v/>
      </c>
      <c r="O34" s="30" t="str">
        <f>IF(M34="","",VLOOKUP(N34,Table1[],2,TRUE))</f>
        <v/>
      </c>
      <c r="P34" s="40" t="str">
        <f t="shared" si="1"/>
        <v/>
      </c>
      <c r="Q34" s="41" t="str">
        <f t="shared" si="2"/>
        <v/>
      </c>
      <c r="R34" s="42" t="str">
        <f>IF(P34="","",VLOOKUP(Q34,Table1[],2,TRUE))</f>
        <v/>
      </c>
      <c r="S34" s="27" t="str">
        <f>IF(AND(N34="",Q34=""),"",IF(OR(N34="-",Q34="-"),"-",IF(AND(N$3&lt;&gt;0,Q$3&lt;&gt;0),VLOOKUP(AVERAGE(N34,Q34),Table1[],2,TRUE),IF(AND(N$3&lt;&gt;0,Q$3=0),O34,R34))))</f>
        <v/>
      </c>
      <c r="T34" s="27"/>
      <c r="U34" s="84" t="str">
        <f t="shared" si="3"/>
        <v/>
      </c>
      <c r="V34" s="91"/>
      <c r="W34" s="35"/>
      <c r="X34" s="36"/>
      <c r="Y34" s="36"/>
      <c r="Z34" s="36"/>
      <c r="AA34" s="36"/>
      <c r="AB34" s="36"/>
      <c r="AC34" s="36"/>
      <c r="AD34" s="36"/>
      <c r="AE34" s="36"/>
      <c r="AF34" s="36"/>
      <c r="AG34" s="36"/>
      <c r="AH34" s="36"/>
      <c r="AI34" s="30" t="str">
        <f t="shared" si="9"/>
        <v/>
      </c>
      <c r="AJ34" s="31" t="str">
        <f t="shared" si="4"/>
        <v/>
      </c>
      <c r="AK34" s="30" t="str">
        <f>IF(AI34="","",VLOOKUP(AJ34,Table1[],2,TRUE))</f>
        <v/>
      </c>
      <c r="AL34" s="40" t="str">
        <f t="shared" si="5"/>
        <v/>
      </c>
      <c r="AM34" s="41" t="str">
        <f t="shared" si="6"/>
        <v/>
      </c>
      <c r="AN34" s="42" t="str">
        <f>IF(AL34="","",VLOOKUP(AM34,Table1[],2,TRUE))</f>
        <v/>
      </c>
      <c r="AO34" s="27" t="str">
        <f>IF(AND(AJ34="",AM34=""),"",IF(OR(AJ34="-",AM34="-"),"-",IF(AND(AJ$3&lt;&gt;0,AM$3&lt;&gt;0),VLOOKUP(AVERAGE(AJ34,AM34),Table1[],2,TRUE),IF(AND(AJ$3&lt;&gt;0,AM$3=0),AK34,AN34))))</f>
        <v/>
      </c>
      <c r="AP34" s="27"/>
      <c r="AQ34" s="84" t="str">
        <f t="shared" si="7"/>
        <v/>
      </c>
      <c r="AR34" s="85"/>
    </row>
    <row r="35" spans="1:44" x14ac:dyDescent="0.25">
      <c r="A35" s="35"/>
      <c r="B35" s="36"/>
      <c r="C35" s="36"/>
      <c r="D35" s="36"/>
      <c r="E35" s="36"/>
      <c r="F35" s="36"/>
      <c r="G35" s="36"/>
      <c r="H35" s="36"/>
      <c r="I35" s="36"/>
      <c r="J35" s="36"/>
      <c r="K35" s="36"/>
      <c r="L35" s="36"/>
      <c r="M35" s="30" t="str">
        <f t="shared" si="8"/>
        <v/>
      </c>
      <c r="N35" s="31" t="str">
        <f t="shared" si="0"/>
        <v/>
      </c>
      <c r="O35" s="30" t="str">
        <f>IF(M35="","",VLOOKUP(N35,Table1[],2,TRUE))</f>
        <v/>
      </c>
      <c r="P35" s="40" t="str">
        <f t="shared" si="1"/>
        <v/>
      </c>
      <c r="Q35" s="41" t="str">
        <f t="shared" si="2"/>
        <v/>
      </c>
      <c r="R35" s="42" t="str">
        <f>IF(P35="","",VLOOKUP(Q35,Table1[],2,TRUE))</f>
        <v/>
      </c>
      <c r="S35" s="27" t="str">
        <f>IF(AND(N35="",Q35=""),"",IF(OR(N35="-",Q35="-"),"-",IF(AND(N$3&lt;&gt;0,Q$3&lt;&gt;0),VLOOKUP(AVERAGE(N35,Q35),Table1[],2,TRUE),IF(AND(N$3&lt;&gt;0,Q$3=0),O35,R35))))</f>
        <v/>
      </c>
      <c r="T35" s="27"/>
      <c r="U35" s="84" t="str">
        <f t="shared" si="3"/>
        <v/>
      </c>
      <c r="V35" s="91"/>
      <c r="W35" s="35"/>
      <c r="X35" s="36"/>
      <c r="Y35" s="36"/>
      <c r="Z35" s="36"/>
      <c r="AA35" s="36"/>
      <c r="AB35" s="36"/>
      <c r="AC35" s="36"/>
      <c r="AD35" s="36"/>
      <c r="AE35" s="36"/>
      <c r="AF35" s="36"/>
      <c r="AG35" s="36"/>
      <c r="AH35" s="36"/>
      <c r="AI35" s="30" t="str">
        <f t="shared" si="9"/>
        <v/>
      </c>
      <c r="AJ35" s="31" t="str">
        <f t="shared" si="4"/>
        <v/>
      </c>
      <c r="AK35" s="30" t="str">
        <f>IF(AI35="","",VLOOKUP(AJ35,Table1[],2,TRUE))</f>
        <v/>
      </c>
      <c r="AL35" s="40" t="str">
        <f t="shared" si="5"/>
        <v/>
      </c>
      <c r="AM35" s="41" t="str">
        <f t="shared" si="6"/>
        <v/>
      </c>
      <c r="AN35" s="42" t="str">
        <f>IF(AL35="","",VLOOKUP(AM35,Table1[],2,TRUE))</f>
        <v/>
      </c>
      <c r="AO35" s="27" t="str">
        <f>IF(AND(AJ35="",AM35=""),"",IF(OR(AJ35="-",AM35="-"),"-",IF(AND(AJ$3&lt;&gt;0,AM$3&lt;&gt;0),VLOOKUP(AVERAGE(AJ35,AM35),Table1[],2,TRUE),IF(AND(AJ$3&lt;&gt;0,AM$3=0),AK35,AN35))))</f>
        <v/>
      </c>
      <c r="AP35" s="27"/>
      <c r="AQ35" s="84" t="str">
        <f t="shared" si="7"/>
        <v/>
      </c>
      <c r="AR35" s="85"/>
    </row>
    <row r="36" spans="1:44" x14ac:dyDescent="0.25">
      <c r="A36" s="35"/>
      <c r="B36" s="36"/>
      <c r="C36" s="36"/>
      <c r="D36" s="36"/>
      <c r="E36" s="36"/>
      <c r="F36" s="36"/>
      <c r="G36" s="36"/>
      <c r="H36" s="36"/>
      <c r="I36" s="36"/>
      <c r="J36" s="36"/>
      <c r="K36" s="36"/>
      <c r="L36" s="36"/>
      <c r="M36" s="30" t="str">
        <f t="shared" si="8"/>
        <v/>
      </c>
      <c r="N36" s="31" t="str">
        <f t="shared" si="0"/>
        <v/>
      </c>
      <c r="O36" s="30" t="str">
        <f>IF(M36="","",VLOOKUP(N36,Table1[],2,TRUE))</f>
        <v/>
      </c>
      <c r="P36" s="40" t="str">
        <f t="shared" si="1"/>
        <v/>
      </c>
      <c r="Q36" s="41" t="str">
        <f t="shared" si="2"/>
        <v/>
      </c>
      <c r="R36" s="42" t="str">
        <f>IF(P36="","",VLOOKUP(Q36,Table1[],2,TRUE))</f>
        <v/>
      </c>
      <c r="S36" s="27" t="str">
        <f>IF(AND(N36="",Q36=""),"",IF(OR(N36="-",Q36="-"),"-",IF(AND(N$3&lt;&gt;0,Q$3&lt;&gt;0),VLOOKUP(AVERAGE(N36,Q36),Table1[],2,TRUE),IF(AND(N$3&lt;&gt;0,Q$3=0),O36,R36))))</f>
        <v/>
      </c>
      <c r="T36" s="27"/>
      <c r="U36" s="84" t="str">
        <f t="shared" si="3"/>
        <v/>
      </c>
      <c r="V36" s="91"/>
      <c r="W36" s="35"/>
      <c r="X36" s="36"/>
      <c r="Y36" s="36"/>
      <c r="Z36" s="36"/>
      <c r="AA36" s="36"/>
      <c r="AB36" s="36"/>
      <c r="AC36" s="36"/>
      <c r="AD36" s="36"/>
      <c r="AE36" s="36"/>
      <c r="AF36" s="36"/>
      <c r="AG36" s="36"/>
      <c r="AH36" s="36"/>
      <c r="AI36" s="30" t="str">
        <f t="shared" si="9"/>
        <v/>
      </c>
      <c r="AJ36" s="31" t="str">
        <f t="shared" si="4"/>
        <v/>
      </c>
      <c r="AK36" s="30" t="str">
        <f>IF(AI36="","",VLOOKUP(AJ36,Table1[],2,TRUE))</f>
        <v/>
      </c>
      <c r="AL36" s="40" t="str">
        <f t="shared" si="5"/>
        <v/>
      </c>
      <c r="AM36" s="41" t="str">
        <f t="shared" si="6"/>
        <v/>
      </c>
      <c r="AN36" s="42" t="str">
        <f>IF(AL36="","",VLOOKUP(AM36,Table1[],2,TRUE))</f>
        <v/>
      </c>
      <c r="AO36" s="27" t="str">
        <f>IF(AND(AJ36="",AM36=""),"",IF(OR(AJ36="-",AM36="-"),"-",IF(AND(AJ$3&lt;&gt;0,AM$3&lt;&gt;0),VLOOKUP(AVERAGE(AJ36,AM36),Table1[],2,TRUE),IF(AND(AJ$3&lt;&gt;0,AM$3=0),AK36,AN36))))</f>
        <v/>
      </c>
      <c r="AP36" s="27"/>
      <c r="AQ36" s="84" t="str">
        <f t="shared" si="7"/>
        <v/>
      </c>
      <c r="AR36" s="85"/>
    </row>
    <row r="37" spans="1:44" x14ac:dyDescent="0.25">
      <c r="A37" s="35"/>
      <c r="B37" s="36"/>
      <c r="C37" s="36"/>
      <c r="D37" s="36"/>
      <c r="E37" s="36"/>
      <c r="F37" s="36"/>
      <c r="G37" s="36"/>
      <c r="H37" s="36"/>
      <c r="I37" s="36"/>
      <c r="J37" s="36"/>
      <c r="K37" s="36"/>
      <c r="L37" s="36"/>
      <c r="M37" s="30" t="str">
        <f t="shared" si="8"/>
        <v/>
      </c>
      <c r="N37" s="31" t="str">
        <f t="shared" si="0"/>
        <v/>
      </c>
      <c r="O37" s="30" t="str">
        <f>IF(M37="","",VLOOKUP(N37,Table1[],2,TRUE))</f>
        <v/>
      </c>
      <c r="P37" s="40" t="str">
        <f t="shared" si="1"/>
        <v/>
      </c>
      <c r="Q37" s="41" t="str">
        <f t="shared" si="2"/>
        <v/>
      </c>
      <c r="R37" s="42" t="str">
        <f>IF(P37="","",VLOOKUP(Q37,Table1[],2,TRUE))</f>
        <v/>
      </c>
      <c r="S37" s="27" t="str">
        <f>IF(AND(N37="",Q37=""),"",IF(OR(N37="-",Q37="-"),"-",IF(AND(N$3&lt;&gt;0,Q$3&lt;&gt;0),VLOOKUP(AVERAGE(N37,Q37),Table1[],2,TRUE),IF(AND(N$3&lt;&gt;0,Q$3=0),O37,R37))))</f>
        <v/>
      </c>
      <c r="T37" s="27"/>
      <c r="U37" s="84" t="str">
        <f t="shared" si="3"/>
        <v/>
      </c>
      <c r="V37" s="91"/>
      <c r="W37" s="35"/>
      <c r="X37" s="36"/>
      <c r="Y37" s="36"/>
      <c r="Z37" s="36"/>
      <c r="AA37" s="36"/>
      <c r="AB37" s="36"/>
      <c r="AC37" s="36"/>
      <c r="AD37" s="36"/>
      <c r="AE37" s="36"/>
      <c r="AF37" s="36"/>
      <c r="AG37" s="36"/>
      <c r="AH37" s="36"/>
      <c r="AI37" s="30" t="str">
        <f t="shared" si="9"/>
        <v/>
      </c>
      <c r="AJ37" s="31" t="str">
        <f t="shared" si="4"/>
        <v/>
      </c>
      <c r="AK37" s="30" t="str">
        <f>IF(AI37="","",VLOOKUP(AJ37,Table1[],2,TRUE))</f>
        <v/>
      </c>
      <c r="AL37" s="40" t="str">
        <f t="shared" si="5"/>
        <v/>
      </c>
      <c r="AM37" s="41" t="str">
        <f t="shared" si="6"/>
        <v/>
      </c>
      <c r="AN37" s="42" t="str">
        <f>IF(AL37="","",VLOOKUP(AM37,Table1[],2,TRUE))</f>
        <v/>
      </c>
      <c r="AO37" s="27" t="str">
        <f>IF(AND(AJ37="",AM37=""),"",IF(OR(AJ37="-",AM37="-"),"-",IF(AND(AJ$3&lt;&gt;0,AM$3&lt;&gt;0),VLOOKUP(AVERAGE(AJ37,AM37),Table1[],2,TRUE),IF(AND(AJ$3&lt;&gt;0,AM$3=0),AK37,AN37))))</f>
        <v/>
      </c>
      <c r="AP37" s="27"/>
      <c r="AQ37" s="84" t="str">
        <f t="shared" si="7"/>
        <v/>
      </c>
      <c r="AR37" s="85"/>
    </row>
    <row r="38" spans="1:44" x14ac:dyDescent="0.25">
      <c r="A38" s="35"/>
      <c r="B38" s="36"/>
      <c r="C38" s="36"/>
      <c r="D38" s="36"/>
      <c r="E38" s="36"/>
      <c r="F38" s="36"/>
      <c r="G38" s="36"/>
      <c r="H38" s="36"/>
      <c r="I38" s="36"/>
      <c r="J38" s="36"/>
      <c r="K38" s="36"/>
      <c r="L38" s="36"/>
      <c r="M38" s="30" t="str">
        <f t="shared" si="8"/>
        <v/>
      </c>
      <c r="N38" s="31" t="str">
        <f t="shared" si="0"/>
        <v/>
      </c>
      <c r="O38" s="30" t="str">
        <f>IF(M38="","",VLOOKUP(N38,Table1[],2,TRUE))</f>
        <v/>
      </c>
      <c r="P38" s="40" t="str">
        <f t="shared" si="1"/>
        <v/>
      </c>
      <c r="Q38" s="41" t="str">
        <f t="shared" si="2"/>
        <v/>
      </c>
      <c r="R38" s="42" t="str">
        <f>IF(P38="","",VLOOKUP(Q38,Table1[],2,TRUE))</f>
        <v/>
      </c>
      <c r="S38" s="27" t="str">
        <f>IF(AND(N38="",Q38=""),"",IF(OR(N38="-",Q38="-"),"-",IF(AND(N$3&lt;&gt;0,Q$3&lt;&gt;0),VLOOKUP(AVERAGE(N38,Q38),Table1[],2,TRUE),IF(AND(N$3&lt;&gt;0,Q$3=0),O38,R38))))</f>
        <v/>
      </c>
      <c r="T38" s="27"/>
      <c r="U38" s="84" t="str">
        <f t="shared" si="3"/>
        <v/>
      </c>
      <c r="V38" s="91"/>
      <c r="W38" s="35"/>
      <c r="X38" s="36"/>
      <c r="Y38" s="36"/>
      <c r="Z38" s="36"/>
      <c r="AA38" s="36"/>
      <c r="AB38" s="36"/>
      <c r="AC38" s="36"/>
      <c r="AD38" s="36"/>
      <c r="AE38" s="36"/>
      <c r="AF38" s="36"/>
      <c r="AG38" s="36"/>
      <c r="AH38" s="36"/>
      <c r="AI38" s="30" t="str">
        <f t="shared" si="9"/>
        <v/>
      </c>
      <c r="AJ38" s="31" t="str">
        <f t="shared" si="4"/>
        <v/>
      </c>
      <c r="AK38" s="30" t="str">
        <f>IF(AI38="","",VLOOKUP(AJ38,Table1[],2,TRUE))</f>
        <v/>
      </c>
      <c r="AL38" s="40" t="str">
        <f t="shared" si="5"/>
        <v/>
      </c>
      <c r="AM38" s="41" t="str">
        <f t="shared" si="6"/>
        <v/>
      </c>
      <c r="AN38" s="42" t="str">
        <f>IF(AL38="","",VLOOKUP(AM38,Table1[],2,TRUE))</f>
        <v/>
      </c>
      <c r="AO38" s="27" t="str">
        <f>IF(AND(AJ38="",AM38=""),"",IF(OR(AJ38="-",AM38="-"),"-",IF(AND(AJ$3&lt;&gt;0,AM$3&lt;&gt;0),VLOOKUP(AVERAGE(AJ38,AM38),Table1[],2,TRUE),IF(AND(AJ$3&lt;&gt;0,AM$3=0),AK38,AN38))))</f>
        <v/>
      </c>
      <c r="AP38" s="27"/>
      <c r="AQ38" s="84" t="str">
        <f t="shared" si="7"/>
        <v/>
      </c>
      <c r="AR38" s="85"/>
    </row>
    <row r="39" spans="1:44" x14ac:dyDescent="0.25">
      <c r="A39" s="35"/>
      <c r="B39" s="36"/>
      <c r="C39" s="36"/>
      <c r="D39" s="36"/>
      <c r="E39" s="36"/>
      <c r="F39" s="36"/>
      <c r="G39" s="36"/>
      <c r="H39" s="36"/>
      <c r="I39" s="36"/>
      <c r="J39" s="36"/>
      <c r="K39" s="36"/>
      <c r="L39" s="36"/>
      <c r="M39" s="30" t="str">
        <f t="shared" si="8"/>
        <v/>
      </c>
      <c r="N39" s="31" t="str">
        <f t="shared" si="0"/>
        <v/>
      </c>
      <c r="O39" s="30" t="str">
        <f>IF(M39="","",VLOOKUP(N39,Table1[],2,TRUE))</f>
        <v/>
      </c>
      <c r="P39" s="40" t="str">
        <f t="shared" si="1"/>
        <v/>
      </c>
      <c r="Q39" s="41" t="str">
        <f t="shared" si="2"/>
        <v/>
      </c>
      <c r="R39" s="42" t="str">
        <f>IF(P39="","",VLOOKUP(Q39,Table1[],2,TRUE))</f>
        <v/>
      </c>
      <c r="S39" s="27" t="str">
        <f>IF(AND(N39="",Q39=""),"",IF(OR(N39="-",Q39="-"),"-",IF(AND(N$3&lt;&gt;0,Q$3&lt;&gt;0),VLOOKUP(AVERAGE(N39,Q39),Table1[],2,TRUE),IF(AND(N$3&lt;&gt;0,Q$3=0),O39,R39))))</f>
        <v/>
      </c>
      <c r="T39" s="27"/>
      <c r="U39" s="84" t="str">
        <f t="shared" si="3"/>
        <v/>
      </c>
      <c r="V39" s="91"/>
      <c r="W39" s="35"/>
      <c r="X39" s="36"/>
      <c r="Y39" s="36"/>
      <c r="Z39" s="36"/>
      <c r="AA39" s="36"/>
      <c r="AB39" s="36"/>
      <c r="AC39" s="36"/>
      <c r="AD39" s="36"/>
      <c r="AE39" s="36"/>
      <c r="AF39" s="36"/>
      <c r="AG39" s="36"/>
      <c r="AH39" s="36"/>
      <c r="AI39" s="30" t="str">
        <f t="shared" si="9"/>
        <v/>
      </c>
      <c r="AJ39" s="31" t="str">
        <f t="shared" si="4"/>
        <v/>
      </c>
      <c r="AK39" s="30" t="str">
        <f>IF(AI39="","",VLOOKUP(AJ39,Table1[],2,TRUE))</f>
        <v/>
      </c>
      <c r="AL39" s="40" t="str">
        <f t="shared" si="5"/>
        <v/>
      </c>
      <c r="AM39" s="41" t="str">
        <f t="shared" si="6"/>
        <v/>
      </c>
      <c r="AN39" s="42" t="str">
        <f>IF(AL39="","",VLOOKUP(AM39,Table1[],2,TRUE))</f>
        <v/>
      </c>
      <c r="AO39" s="27" t="str">
        <f>IF(AND(AJ39="",AM39=""),"",IF(OR(AJ39="-",AM39="-"),"-",IF(AND(AJ$3&lt;&gt;0,AM$3&lt;&gt;0),VLOOKUP(AVERAGE(AJ39,AM39),Table1[],2,TRUE),IF(AND(AJ$3&lt;&gt;0,AM$3=0),AK39,AN39))))</f>
        <v/>
      </c>
      <c r="AP39" s="27"/>
      <c r="AQ39" s="84" t="str">
        <f t="shared" si="7"/>
        <v/>
      </c>
      <c r="AR39" s="85"/>
    </row>
    <row r="40" spans="1:44" ht="15.75" thickBot="1" x14ac:dyDescent="0.3">
      <c r="A40" s="37"/>
      <c r="B40" s="38"/>
      <c r="C40" s="38"/>
      <c r="D40" s="38"/>
      <c r="E40" s="38"/>
      <c r="F40" s="38"/>
      <c r="G40" s="38"/>
      <c r="H40" s="38"/>
      <c r="I40" s="38"/>
      <c r="J40" s="38"/>
      <c r="K40" s="38"/>
      <c r="L40" s="38"/>
      <c r="M40" s="32" t="str">
        <f t="shared" si="8"/>
        <v/>
      </c>
      <c r="N40" s="44" t="str">
        <f t="shared" si="0"/>
        <v/>
      </c>
      <c r="O40" s="32" t="str">
        <f>IF(M40="","",VLOOKUP(N40,Table1[],2,TRUE))</f>
        <v/>
      </c>
      <c r="P40" s="45" t="str">
        <f t="shared" si="1"/>
        <v/>
      </c>
      <c r="Q40" s="24" t="str">
        <f t="shared" si="2"/>
        <v/>
      </c>
      <c r="R40" s="25" t="str">
        <f>IF(P40="","",VLOOKUP(Q40,Table1[],2,TRUE))</f>
        <v/>
      </c>
      <c r="S40" s="82" t="str">
        <f>IF(AND(N40="",Q40=""),"",IF(OR(N40="-",Q40="-"),"-",IF(AND(N$3&lt;&gt;0,Q$3&lt;&gt;0),VLOOKUP(AVERAGE(N40,Q40),Table1[],2,TRUE),IF(AND(N$3&lt;&gt;0,Q$3=0),O40,R40))))</f>
        <v/>
      </c>
      <c r="T40" s="81"/>
      <c r="U40" s="34" t="str">
        <f t="shared" si="3"/>
        <v/>
      </c>
      <c r="V40" s="92"/>
      <c r="W40" s="37"/>
      <c r="X40" s="38"/>
      <c r="Y40" s="38"/>
      <c r="Z40" s="38"/>
      <c r="AA40" s="38"/>
      <c r="AB40" s="38"/>
      <c r="AC40" s="38"/>
      <c r="AD40" s="38"/>
      <c r="AE40" s="38"/>
      <c r="AF40" s="38"/>
      <c r="AG40" s="38"/>
      <c r="AH40" s="38"/>
      <c r="AI40" s="32" t="str">
        <f t="shared" si="9"/>
        <v/>
      </c>
      <c r="AJ40" s="44" t="str">
        <f t="shared" si="4"/>
        <v/>
      </c>
      <c r="AK40" s="32" t="str">
        <f>IF(AI40="","",VLOOKUP(AJ40,Table1[],2,TRUE))</f>
        <v/>
      </c>
      <c r="AL40" s="45" t="str">
        <f t="shared" si="5"/>
        <v/>
      </c>
      <c r="AM40" s="24" t="str">
        <f t="shared" si="6"/>
        <v/>
      </c>
      <c r="AN40" s="25" t="str">
        <f>IF(AL40="","",VLOOKUP(AM40,Table1[],2,TRUE))</f>
        <v/>
      </c>
      <c r="AO40" s="82" t="str">
        <f>IF(AND(AJ40="",AM40=""),"",IF(OR(AJ40="-",AM40="-"),"-",IF(AND(AJ$3&lt;&gt;0,AM$3&lt;&gt;0),VLOOKUP(AVERAGE(AJ40,AM40),Table1[],2,TRUE),IF(AND(AJ$3&lt;&gt;0,AM$3=0),AK40,AN40))))</f>
        <v/>
      </c>
      <c r="AP40" s="81"/>
      <c r="AQ40" s="34" t="str">
        <f t="shared" si="7"/>
        <v/>
      </c>
      <c r="AR40" s="86"/>
    </row>
    <row r="41" spans="1:44" x14ac:dyDescent="0.25">
      <c r="F41" s="9"/>
      <c r="G41" s="9"/>
      <c r="H41" s="9"/>
      <c r="I41" s="9"/>
      <c r="J41" s="9"/>
      <c r="L41" s="9"/>
      <c r="N41" s="9"/>
      <c r="Q41" s="9"/>
      <c r="T41" s="9"/>
      <c r="U41" s="9"/>
      <c r="V41" s="9"/>
    </row>
    <row r="42" spans="1:44" x14ac:dyDescent="0.25">
      <c r="F42" s="9"/>
      <c r="G42" s="9"/>
      <c r="H42" s="9"/>
      <c r="I42" s="9"/>
      <c r="J42" s="9"/>
      <c r="L42" s="9"/>
      <c r="N42" s="9"/>
      <c r="Q42" s="9"/>
      <c r="T42" s="9"/>
      <c r="U42" s="9"/>
      <c r="V42" s="9"/>
    </row>
    <row r="43" spans="1:44" x14ac:dyDescent="0.25">
      <c r="F43" s="9"/>
      <c r="G43" s="9"/>
      <c r="H43" s="9"/>
      <c r="I43" s="9"/>
      <c r="J43" s="9"/>
      <c r="L43" s="9"/>
      <c r="N43" s="9"/>
      <c r="Q43" s="9"/>
      <c r="T43" s="9"/>
      <c r="U43" s="9"/>
      <c r="V43" s="9"/>
    </row>
    <row r="44" spans="1:44" x14ac:dyDescent="0.25">
      <c r="F44" s="9"/>
      <c r="G44" s="9"/>
      <c r="H44" s="9"/>
      <c r="I44" s="9"/>
      <c r="J44" s="9"/>
      <c r="L44" s="9"/>
      <c r="N44" s="9"/>
      <c r="Q44" s="9"/>
      <c r="T44" s="9"/>
      <c r="U44" s="9"/>
      <c r="V44" s="9"/>
    </row>
    <row r="45" spans="1:44" x14ac:dyDescent="0.25">
      <c r="F45" s="9"/>
      <c r="G45" s="9"/>
      <c r="H45" s="9"/>
      <c r="I45" s="9"/>
      <c r="J45" s="9"/>
      <c r="L45" s="9"/>
      <c r="N45" s="9"/>
      <c r="Q45" s="9"/>
      <c r="T45" s="9"/>
      <c r="U45" s="9"/>
      <c r="V45" s="9"/>
    </row>
    <row r="46" spans="1:44" x14ac:dyDescent="0.25">
      <c r="F46" s="9"/>
      <c r="G46" s="9"/>
      <c r="H46" s="9"/>
      <c r="I46" s="9"/>
      <c r="J46" s="9"/>
      <c r="L46" s="9"/>
      <c r="N46" s="9"/>
      <c r="Q46" s="9"/>
      <c r="T46" s="9"/>
      <c r="U46" s="9"/>
    </row>
    <row r="47" spans="1:44" x14ac:dyDescent="0.25">
      <c r="F47" s="9"/>
      <c r="G47" s="9"/>
      <c r="H47" s="9"/>
      <c r="I47" s="9"/>
      <c r="J47" s="9"/>
      <c r="L47" s="9"/>
      <c r="N47" s="9"/>
      <c r="Q47" s="9"/>
      <c r="T47" s="9"/>
      <c r="U47" s="9"/>
    </row>
    <row r="48" spans="1:44"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sheetProtection sheet="1" objects="1" scenarios="1"/>
  <mergeCells count="30">
    <mergeCell ref="B1:V1"/>
    <mergeCell ref="M2:U2"/>
    <mergeCell ref="T3:T4"/>
    <mergeCell ref="U3:U4"/>
    <mergeCell ref="G4:H4"/>
    <mergeCell ref="I4:J4"/>
    <mergeCell ref="K4:L4"/>
    <mergeCell ref="A2:F2"/>
    <mergeCell ref="G2:L2"/>
    <mergeCell ref="N3:O3"/>
    <mergeCell ref="Q3:R3"/>
    <mergeCell ref="S3:S4"/>
    <mergeCell ref="A4:B4"/>
    <mergeCell ref="C4:D4"/>
    <mergeCell ref="E4:F4"/>
    <mergeCell ref="X1:AR1"/>
    <mergeCell ref="W2:AB2"/>
    <mergeCell ref="AC2:AH2"/>
    <mergeCell ref="AI2:AQ2"/>
    <mergeCell ref="AJ3:AK3"/>
    <mergeCell ref="AM3:AN3"/>
    <mergeCell ref="AO3:AO4"/>
    <mergeCell ref="AP3:AP4"/>
    <mergeCell ref="AQ3:AQ4"/>
    <mergeCell ref="W4:X4"/>
    <mergeCell ref="Y4:Z4"/>
    <mergeCell ref="AA4:AB4"/>
    <mergeCell ref="AC4:AD4"/>
    <mergeCell ref="AE4:AF4"/>
    <mergeCell ref="AG4:AH4"/>
  </mergeCells>
  <conditionalFormatting sqref="T40">
    <cfRule type="expression" dxfId="21" priority="20">
      <formula>OR(ISNUMBER(SEARCH("D",T40)),ISNUMBER(SEARCH("E",T40)))</formula>
    </cfRule>
  </conditionalFormatting>
  <conditionalFormatting sqref="U40">
    <cfRule type="expression" dxfId="20" priority="18">
      <formula>OR(ISNUMBER(SEARCH("D",U40)),ISNUMBER(SEARCH("E",U40)))</formula>
    </cfRule>
  </conditionalFormatting>
  <conditionalFormatting sqref="A5:A40 C5:C40 K5:K40 E5:E40 G5:G40 I5:I40">
    <cfRule type="expression" dxfId="19" priority="24">
      <formula>NOT(ISBLANK(A5))</formula>
    </cfRule>
    <cfRule type="expression" dxfId="18" priority="25">
      <formula>IF(NOT($B5=""),TRUE,FALSE)</formula>
    </cfRule>
  </conditionalFormatting>
  <conditionalFormatting sqref="O5:O40 R5:S39 R40">
    <cfRule type="expression" dxfId="17" priority="23">
      <formula>OR(ISNUMBER(SEARCH("D",O5)),ISNUMBER(SEARCH("E",O5)))</formula>
    </cfRule>
  </conditionalFormatting>
  <conditionalFormatting sqref="T5:T39">
    <cfRule type="expression" dxfId="16" priority="22">
      <formula>OR(ISNUMBER(SEARCH("D",T5)),ISNUMBER(SEARCH("E",T5)))</formula>
    </cfRule>
  </conditionalFormatting>
  <conditionalFormatting sqref="S40">
    <cfRule type="expression" dxfId="15" priority="21">
      <formula>OR(ISNUMBER(SEARCH("D",S40)),ISNUMBER(SEARCH("E",S40)))</formula>
    </cfRule>
  </conditionalFormatting>
  <conditionalFormatting sqref="U5:U39">
    <cfRule type="expression" dxfId="14" priority="19">
      <formula>OR(ISNUMBER(SEARCH("D",U5)),ISNUMBER(SEARCH("E",U5)))</formula>
    </cfRule>
  </conditionalFormatting>
  <conditionalFormatting sqref="W5:W8 Y5:Y40 AC5:AC40 AE5:AE40 AA5:AA40 AG5:AG40 W11:W40">
    <cfRule type="expression" dxfId="13" priority="16">
      <formula>NOT(ISBLANK(W5))</formula>
    </cfRule>
    <cfRule type="expression" dxfId="12" priority="17">
      <formula>IF(NOT($B5=""),TRUE,FALSE)</formula>
    </cfRule>
  </conditionalFormatting>
  <conditionalFormatting sqref="AK5:AK40 AN5:AO39 AN40">
    <cfRule type="expression" dxfId="11" priority="15">
      <formula>OR(ISNUMBER(SEARCH("D",AK5)),ISNUMBER(SEARCH("E",AK5)))</formula>
    </cfRule>
  </conditionalFormatting>
  <conditionalFormatting sqref="AP5:AP39">
    <cfRule type="expression" dxfId="10" priority="14">
      <formula>OR(ISNUMBER(SEARCH("D",AP5)),ISNUMBER(SEARCH("E",AP5)))</formula>
    </cfRule>
  </conditionalFormatting>
  <conditionalFormatting sqref="AQ40">
    <cfRule type="expression" dxfId="9" priority="10">
      <formula>OR(ISNUMBER(SEARCH("D",AQ40)),ISNUMBER(SEARCH("E",AQ40)))</formula>
    </cfRule>
  </conditionalFormatting>
  <conditionalFormatting sqref="AO40">
    <cfRule type="expression" dxfId="8" priority="13">
      <formula>OR(ISNUMBER(SEARCH("D",AO40)),ISNUMBER(SEARCH("E",AO40)))</formula>
    </cfRule>
  </conditionalFormatting>
  <conditionalFormatting sqref="AP40">
    <cfRule type="expression" dxfId="7" priority="12">
      <formula>OR(ISNUMBER(SEARCH("D",AP40)),ISNUMBER(SEARCH("E",AP40)))</formula>
    </cfRule>
  </conditionalFormatting>
  <conditionalFormatting sqref="AQ5:AQ39">
    <cfRule type="expression" dxfId="6" priority="11">
      <formula>OR(ISNUMBER(SEARCH("D",AQ5)),ISNUMBER(SEARCH("E",AQ5)))</formula>
    </cfRule>
  </conditionalFormatting>
  <conditionalFormatting sqref="W9:W10">
    <cfRule type="expression" dxfId="5" priority="8">
      <formula>NOT(ISBLANK(W9))</formula>
    </cfRule>
    <cfRule type="expression" dxfId="4" priority="9">
      <formula>IF(NOT($B9=""),TRUE,FALSE)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2</xdr:col>
                    <xdr:colOff>714375</xdr:colOff>
                    <xdr:row>44</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E18"/>
  <sheetViews>
    <sheetView zoomScaleNormal="100" workbookViewId="0">
      <selection activeCell="B13" sqref="B13"/>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56"/>
      <c r="B2" s="2"/>
      <c r="C2" s="16"/>
    </row>
    <row r="3" spans="1:5" x14ac:dyDescent="0.25">
      <c r="A3" s="57">
        <v>0</v>
      </c>
      <c r="B3" s="1" t="s">
        <v>3</v>
      </c>
      <c r="C3" s="3">
        <v>1</v>
      </c>
    </row>
    <row r="4" spans="1:5" x14ac:dyDescent="0.25">
      <c r="A4" s="57">
        <v>0.09</v>
      </c>
      <c r="B4" s="1" t="s">
        <v>4</v>
      </c>
      <c r="C4" s="3">
        <v>2</v>
      </c>
      <c r="D4" s="33"/>
      <c r="E4" s="60"/>
    </row>
    <row r="5" spans="1:5" x14ac:dyDescent="0.25">
      <c r="A5" s="57">
        <v>0.17</v>
      </c>
      <c r="B5" s="1" t="s">
        <v>5</v>
      </c>
      <c r="C5" s="3">
        <v>3</v>
      </c>
      <c r="D5" s="33"/>
    </row>
    <row r="6" spans="1:5" x14ac:dyDescent="0.25">
      <c r="A6" s="57">
        <v>0.25</v>
      </c>
      <c r="B6" s="1" t="s">
        <v>6</v>
      </c>
      <c r="C6" s="3">
        <v>4</v>
      </c>
      <c r="D6" s="33"/>
    </row>
    <row r="7" spans="1:5" x14ac:dyDescent="0.25">
      <c r="A7" s="57">
        <v>0.32</v>
      </c>
      <c r="B7" s="1" t="s">
        <v>7</v>
      </c>
      <c r="C7" s="3">
        <v>5</v>
      </c>
      <c r="D7" s="33"/>
    </row>
    <row r="8" spans="1:5" x14ac:dyDescent="0.25">
      <c r="A8" s="57">
        <v>0.38</v>
      </c>
      <c r="B8" s="1" t="s">
        <v>8</v>
      </c>
      <c r="C8" s="3">
        <v>6</v>
      </c>
      <c r="D8" s="33"/>
    </row>
    <row r="9" spans="1:5" x14ac:dyDescent="0.25">
      <c r="A9" s="57">
        <v>0.45</v>
      </c>
      <c r="B9" s="1" t="s">
        <v>9</v>
      </c>
      <c r="C9" s="3">
        <v>7</v>
      </c>
      <c r="D9" s="33"/>
    </row>
    <row r="10" spans="1:5" x14ac:dyDescent="0.25">
      <c r="A10" s="57">
        <v>0.52</v>
      </c>
      <c r="B10" s="1" t="s">
        <v>10</v>
      </c>
      <c r="C10" s="3">
        <v>8</v>
      </c>
      <c r="D10" s="33"/>
    </row>
    <row r="11" spans="1:5" x14ac:dyDescent="0.25">
      <c r="A11" s="57">
        <v>0.59</v>
      </c>
      <c r="B11" s="1" t="s">
        <v>11</v>
      </c>
      <c r="C11" s="3">
        <v>9</v>
      </c>
      <c r="D11" s="33"/>
    </row>
    <row r="12" spans="1:5" x14ac:dyDescent="0.25">
      <c r="A12" s="57">
        <v>0.65</v>
      </c>
      <c r="B12" s="1" t="s">
        <v>12</v>
      </c>
      <c r="C12" s="3">
        <v>10</v>
      </c>
      <c r="D12" s="33"/>
    </row>
    <row r="13" spans="1:5" x14ac:dyDescent="0.25">
      <c r="A13" s="57">
        <v>0.7</v>
      </c>
      <c r="B13" s="1" t="s">
        <v>13</v>
      </c>
      <c r="C13" s="3">
        <v>11</v>
      </c>
      <c r="D13" s="33"/>
    </row>
    <row r="14" spans="1:5" x14ac:dyDescent="0.25">
      <c r="A14" s="57">
        <v>0.75</v>
      </c>
      <c r="B14" s="1" t="s">
        <v>14</v>
      </c>
      <c r="C14" s="3">
        <v>12</v>
      </c>
      <c r="D14" s="33"/>
    </row>
    <row r="15" spans="1:5" x14ac:dyDescent="0.25">
      <c r="A15" s="57">
        <v>0.8</v>
      </c>
      <c r="B15" s="1" t="s">
        <v>15</v>
      </c>
      <c r="C15" s="3">
        <v>13</v>
      </c>
      <c r="D15" s="33"/>
    </row>
    <row r="16" spans="1:5" x14ac:dyDescent="0.25">
      <c r="A16" s="57">
        <v>0.87</v>
      </c>
      <c r="B16" s="1" t="s">
        <v>16</v>
      </c>
      <c r="C16" s="3">
        <v>14</v>
      </c>
      <c r="D16" s="33"/>
    </row>
    <row r="17" spans="1:4" x14ac:dyDescent="0.25">
      <c r="A17" s="57">
        <v>0.94</v>
      </c>
      <c r="B17" s="1" t="s">
        <v>17</v>
      </c>
      <c r="C17" s="3">
        <v>15</v>
      </c>
      <c r="D17" s="33"/>
    </row>
    <row r="18" spans="1:4" x14ac:dyDescent="0.25">
      <c r="A18" s="58" t="s">
        <v>18</v>
      </c>
      <c r="B18" s="7" t="s">
        <v>18</v>
      </c>
      <c r="C18" s="8" t="s">
        <v>18</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zoomScaleNormal="100" workbookViewId="0">
      <selection activeCell="E12" sqref="E12"/>
    </sheetView>
  </sheetViews>
  <sheetFormatPr defaultRowHeight="15" x14ac:dyDescent="0.25"/>
  <cols>
    <col min="1" max="1" width="9.140625" style="67"/>
    <col min="2" max="2" width="16.42578125" style="68" bestFit="1" customWidth="1"/>
    <col min="3" max="3" width="9.28515625" style="68" bestFit="1" customWidth="1"/>
    <col min="4" max="4" width="10.7109375" style="68" bestFit="1" customWidth="1"/>
    <col min="5" max="5" width="63.5703125" style="69" customWidth="1"/>
    <col min="6" max="6" width="9.140625" style="67"/>
    <col min="7" max="7" width="20.28515625" style="67" bestFit="1" customWidth="1"/>
    <col min="8" max="8" width="1.5703125" style="67" customWidth="1"/>
    <col min="9" max="16384" width="9.140625" style="67"/>
  </cols>
  <sheetData>
    <row r="1" spans="2:7" ht="15.75" thickBot="1" x14ac:dyDescent="0.3"/>
    <row r="2" spans="2:7" ht="15.75" thickBot="1" x14ac:dyDescent="0.3">
      <c r="B2" s="70" t="s">
        <v>44</v>
      </c>
      <c r="C2" s="71" t="s">
        <v>47</v>
      </c>
      <c r="D2" s="71" t="s">
        <v>45</v>
      </c>
      <c r="E2" s="72" t="s">
        <v>46</v>
      </c>
      <c r="G2" s="73"/>
    </row>
    <row r="3" spans="2:7" ht="75" x14ac:dyDescent="0.25">
      <c r="B3" s="74" t="s">
        <v>50</v>
      </c>
      <c r="C3" s="75" t="s">
        <v>48</v>
      </c>
      <c r="D3" s="76">
        <v>43641</v>
      </c>
      <c r="E3" s="77" t="s">
        <v>51</v>
      </c>
    </row>
    <row r="4" spans="2:7" ht="45" x14ac:dyDescent="0.25">
      <c r="B4" s="78" t="s">
        <v>49</v>
      </c>
      <c r="C4" s="78" t="s">
        <v>48</v>
      </c>
      <c r="D4" s="79">
        <v>43643</v>
      </c>
      <c r="E4" s="80" t="s">
        <v>52</v>
      </c>
    </row>
    <row r="5" spans="2:7" ht="135" x14ac:dyDescent="0.25">
      <c r="B5" s="78" t="s">
        <v>60</v>
      </c>
      <c r="C5" s="78" t="s">
        <v>48</v>
      </c>
      <c r="D5" s="79">
        <v>43655</v>
      </c>
      <c r="E5" s="80" t="s">
        <v>59</v>
      </c>
    </row>
    <row r="6" spans="2:7" x14ac:dyDescent="0.25">
      <c r="B6" s="78" t="s">
        <v>61</v>
      </c>
      <c r="C6" s="78" t="s">
        <v>48</v>
      </c>
      <c r="D6" s="79">
        <v>43663</v>
      </c>
      <c r="E6" s="80" t="s">
        <v>62</v>
      </c>
    </row>
    <row r="7" spans="2:7" ht="60" x14ac:dyDescent="0.25">
      <c r="B7" s="78" t="s">
        <v>63</v>
      </c>
      <c r="C7" s="78" t="s">
        <v>48</v>
      </c>
      <c r="D7" s="79">
        <v>43678</v>
      </c>
      <c r="E7" s="80" t="s">
        <v>64</v>
      </c>
    </row>
    <row r="8" spans="2:7" x14ac:dyDescent="0.25">
      <c r="B8" s="78" t="s">
        <v>65</v>
      </c>
      <c r="C8" s="78" t="s">
        <v>48</v>
      </c>
      <c r="D8" s="79">
        <v>43679</v>
      </c>
      <c r="E8" s="80" t="s">
        <v>66</v>
      </c>
    </row>
    <row r="9" spans="2:7" x14ac:dyDescent="0.25">
      <c r="B9" s="78" t="s">
        <v>67</v>
      </c>
      <c r="C9" s="78" t="s">
        <v>48</v>
      </c>
      <c r="D9" s="79">
        <v>43684</v>
      </c>
      <c r="E9" s="80" t="s">
        <v>68</v>
      </c>
    </row>
    <row r="10" spans="2:7" ht="30" x14ac:dyDescent="0.25">
      <c r="B10" s="78" t="s">
        <v>69</v>
      </c>
      <c r="C10" s="78" t="s">
        <v>48</v>
      </c>
      <c r="D10" s="79">
        <v>43738</v>
      </c>
      <c r="E10" s="80" t="s">
        <v>70</v>
      </c>
    </row>
    <row r="11" spans="2:7" ht="45" x14ac:dyDescent="0.25">
      <c r="B11" s="78" t="s">
        <v>71</v>
      </c>
      <c r="C11" s="78" t="s">
        <v>48</v>
      </c>
      <c r="D11" s="79">
        <v>43742</v>
      </c>
      <c r="E11" s="80" t="s">
        <v>72</v>
      </c>
    </row>
    <row r="12" spans="2:7" x14ac:dyDescent="0.25">
      <c r="B12" s="78"/>
      <c r="C12" s="78"/>
      <c r="D12" s="78"/>
      <c r="E12" s="80"/>
    </row>
    <row r="13" spans="2:7" x14ac:dyDescent="0.25">
      <c r="B13" s="78"/>
      <c r="C13" s="78"/>
      <c r="D13" s="78"/>
      <c r="E13" s="80"/>
    </row>
    <row r="14" spans="2:7" x14ac:dyDescent="0.25">
      <c r="B14" s="78"/>
      <c r="C14" s="78"/>
      <c r="D14" s="78"/>
      <c r="E14" s="80"/>
    </row>
    <row r="15" spans="2:7" x14ac:dyDescent="0.25">
      <c r="B15" s="78"/>
      <c r="C15" s="78"/>
      <c r="D15" s="78"/>
      <c r="E15" s="80"/>
    </row>
    <row r="16" spans="2:7" x14ac:dyDescent="0.25">
      <c r="B16" s="78"/>
      <c r="C16" s="78"/>
      <c r="D16" s="78"/>
      <c r="E16" s="80"/>
    </row>
    <row r="17" spans="2:5" x14ac:dyDescent="0.25">
      <c r="B17" s="78"/>
      <c r="C17" s="78"/>
      <c r="D17" s="78"/>
      <c r="E17" s="80"/>
    </row>
    <row r="18" spans="2:5" x14ac:dyDescent="0.25">
      <c r="B18" s="78"/>
      <c r="C18" s="78"/>
      <c r="D18" s="78"/>
      <c r="E18" s="80"/>
    </row>
    <row r="19" spans="2:5" x14ac:dyDescent="0.25">
      <c r="B19" s="78"/>
      <c r="C19" s="78"/>
      <c r="D19" s="78"/>
      <c r="E19" s="80"/>
    </row>
    <row r="20" spans="2:5" x14ac:dyDescent="0.25">
      <c r="B20" s="78"/>
      <c r="C20" s="78"/>
      <c r="D20" s="78"/>
      <c r="E20" s="80"/>
    </row>
    <row r="21" spans="2:5" x14ac:dyDescent="0.25">
      <c r="B21" s="78"/>
      <c r="C21" s="78"/>
      <c r="D21" s="78"/>
      <c r="E21" s="80"/>
    </row>
    <row r="22" spans="2:5" x14ac:dyDescent="0.25">
      <c r="B22" s="78"/>
      <c r="C22" s="78"/>
      <c r="D22" s="78"/>
      <c r="E22" s="80"/>
    </row>
    <row r="23" spans="2:5" x14ac:dyDescent="0.25">
      <c r="B23" s="78"/>
      <c r="C23" s="78"/>
      <c r="D23" s="78"/>
      <c r="E23" s="80"/>
    </row>
    <row r="24" spans="2:5" x14ac:dyDescent="0.25">
      <c r="B24" s="78"/>
      <c r="C24" s="78"/>
      <c r="D24" s="78"/>
      <c r="E24" s="80"/>
    </row>
    <row r="25" spans="2:5" x14ac:dyDescent="0.25">
      <c r="B25" s="78"/>
      <c r="C25" s="78"/>
      <c r="D25" s="78"/>
      <c r="E25" s="80"/>
    </row>
    <row r="26" spans="2:5" x14ac:dyDescent="0.25">
      <c r="B26" s="78"/>
      <c r="C26" s="78"/>
      <c r="D26" s="78"/>
      <c r="E26" s="80"/>
    </row>
    <row r="27" spans="2:5" x14ac:dyDescent="0.25">
      <c r="B27" s="78"/>
      <c r="C27" s="78"/>
      <c r="D27" s="78"/>
      <c r="E27" s="80"/>
    </row>
    <row r="28" spans="2:5" x14ac:dyDescent="0.25">
      <c r="B28" s="78"/>
      <c r="C28" s="78"/>
      <c r="D28" s="78"/>
      <c r="E28" s="80"/>
    </row>
    <row r="29" spans="2:5" x14ac:dyDescent="0.25">
      <c r="B29" s="78"/>
      <c r="C29" s="78"/>
      <c r="D29" s="78"/>
      <c r="E29" s="80"/>
    </row>
    <row r="30" spans="2:5" x14ac:dyDescent="0.25">
      <c r="B30" s="78"/>
      <c r="C30" s="78"/>
      <c r="D30" s="78"/>
      <c r="E30" s="80"/>
    </row>
    <row r="31" spans="2:5" x14ac:dyDescent="0.25">
      <c r="B31" s="78"/>
      <c r="C31" s="78"/>
      <c r="D31" s="78"/>
      <c r="E31" s="80"/>
    </row>
    <row r="32" spans="2:5" x14ac:dyDescent="0.25">
      <c r="B32" s="78"/>
      <c r="C32" s="78"/>
      <c r="D32" s="78"/>
      <c r="E32" s="80"/>
    </row>
    <row r="33" spans="2:5" x14ac:dyDescent="0.25">
      <c r="B33" s="78"/>
      <c r="C33" s="78"/>
      <c r="D33" s="78"/>
      <c r="E33" s="80"/>
    </row>
    <row r="34" spans="2:5" x14ac:dyDescent="0.25">
      <c r="B34" s="78"/>
      <c r="C34" s="78"/>
      <c r="D34" s="78"/>
      <c r="E34" s="80"/>
    </row>
    <row r="35" spans="2:5" x14ac:dyDescent="0.25">
      <c r="B35" s="78"/>
      <c r="C35" s="78"/>
      <c r="D35" s="78"/>
      <c r="E35" s="80"/>
    </row>
    <row r="36" spans="2:5" x14ac:dyDescent="0.25">
      <c r="B36" s="78"/>
      <c r="C36" s="78"/>
      <c r="D36" s="78"/>
      <c r="E36" s="80"/>
    </row>
    <row r="37" spans="2:5" x14ac:dyDescent="0.25">
      <c r="B37" s="78"/>
      <c r="C37" s="78"/>
      <c r="D37" s="78"/>
      <c r="E37" s="80"/>
    </row>
    <row r="100" spans="1:1" x14ac:dyDescent="0.25">
      <c r="A100" s="66" t="s">
        <v>53</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dcterms:created xsi:type="dcterms:W3CDTF">2019-06-24T12:42:24Z</dcterms:created>
  <dcterms:modified xsi:type="dcterms:W3CDTF">2019-10-06T04:46:17Z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