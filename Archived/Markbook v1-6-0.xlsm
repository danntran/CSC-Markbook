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239DFE6E-9609-4F81-A66A-CF2F7967C140}" xr6:coauthVersionLast="31" xr6:coauthVersionMax="41" xr10:uidLastSave="{00000000-0000-0000-0000-000000000000}"/>
  <bookViews>
    <workbookView xWindow="1170" yWindow="1170" windowWidth="12825" windowHeight="11055" tabRatio="723" activeTab="5" xr2:uid="{819FE5EB-A8BE-46E7-8C57-623FF87BA6E9}"/>
  </bookViews>
  <sheets>
    <sheet name="ClassInformation" sheetId="3" r:id="rId1"/>
    <sheet name="Semester1" sheetId="4" r:id="rId2"/>
    <sheet name="AssessmentTemplate" sheetId="14" state="hidden" r:id="rId3"/>
    <sheet name="Semester2" sheetId="15" r:id="rId4"/>
    <sheet name="TemplateInstruction" sheetId="9" r:id="rId5"/>
    <sheet name="GradeScheme" sheetId="2" r:id="rId6"/>
    <sheet name="Changelog" sheetId="11" r:id="rId7"/>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3" hidden="1">Semester2!$A$4:$B$40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40" i="4" l="1"/>
  <c r="T40" i="4" s="1"/>
  <c r="O40" i="4"/>
  <c r="R39" i="4"/>
  <c r="T39" i="4" s="1"/>
  <c r="O39" i="4"/>
  <c r="R38" i="4"/>
  <c r="T38" i="4" s="1"/>
  <c r="O38" i="4"/>
  <c r="R37" i="4"/>
  <c r="T37" i="4" s="1"/>
  <c r="O37" i="4"/>
  <c r="R16" i="4"/>
  <c r="T16" i="4" s="1"/>
  <c r="O16" i="4"/>
  <c r="R14" i="4"/>
  <c r="T14" i="4" s="1"/>
  <c r="O14" i="4"/>
  <c r="S12" i="4"/>
  <c r="R12" i="4"/>
  <c r="T12" i="4" s="1"/>
  <c r="O12" i="4"/>
  <c r="R10" i="4"/>
  <c r="T10" i="4" s="1"/>
  <c r="O10" i="4"/>
  <c r="R8" i="4"/>
  <c r="T8" i="4" s="1"/>
  <c r="O8" i="4"/>
  <c r="R6" i="4"/>
  <c r="S6" i="4" s="1"/>
  <c r="O6" i="4"/>
  <c r="Q6" i="4" s="1"/>
  <c r="R36" i="4"/>
  <c r="S36" i="4" s="1"/>
  <c r="O36" i="4"/>
  <c r="Q36" i="4" s="1"/>
  <c r="R35" i="4"/>
  <c r="S35" i="4" s="1"/>
  <c r="O35" i="4"/>
  <c r="Q35" i="4" s="1"/>
  <c r="R34" i="4"/>
  <c r="S34" i="4" s="1"/>
  <c r="O34" i="4"/>
  <c r="Q34" i="4" s="1"/>
  <c r="R33" i="4"/>
  <c r="S33" i="4" s="1"/>
  <c r="O33" i="4"/>
  <c r="Q33" i="4" s="1"/>
  <c r="R32" i="4"/>
  <c r="T32" i="4" s="1"/>
  <c r="O32" i="4"/>
  <c r="Q32" i="4" s="1"/>
  <c r="T31" i="4"/>
  <c r="R31" i="4"/>
  <c r="S31" i="4" s="1"/>
  <c r="O31" i="4"/>
  <c r="Q31" i="4" s="1"/>
  <c r="R30" i="4"/>
  <c r="S30" i="4" s="1"/>
  <c r="O30" i="4"/>
  <c r="Q30" i="4" s="1"/>
  <c r="R29" i="4"/>
  <c r="S29" i="4" s="1"/>
  <c r="O29" i="4"/>
  <c r="Q29" i="4" s="1"/>
  <c r="R28" i="4"/>
  <c r="S28" i="4" s="1"/>
  <c r="O28" i="4"/>
  <c r="Q28" i="4" s="1"/>
  <c r="R27" i="4"/>
  <c r="S27" i="4" s="1"/>
  <c r="O27" i="4"/>
  <c r="Q27" i="4" s="1"/>
  <c r="R26" i="4"/>
  <c r="T26" i="4" s="1"/>
  <c r="O26" i="4"/>
  <c r="Q26" i="4" s="1"/>
  <c r="R25" i="4"/>
  <c r="S25" i="4" s="1"/>
  <c r="O25" i="4"/>
  <c r="Q25" i="4" s="1"/>
  <c r="R24" i="4"/>
  <c r="T24" i="4" s="1"/>
  <c r="O24" i="4"/>
  <c r="Q24" i="4" s="1"/>
  <c r="T23" i="4"/>
  <c r="R23" i="4"/>
  <c r="S23" i="4" s="1"/>
  <c r="O23" i="4"/>
  <c r="Q23" i="4" s="1"/>
  <c r="R22" i="4"/>
  <c r="T22" i="4" s="1"/>
  <c r="O22" i="4"/>
  <c r="Q22" i="4" s="1"/>
  <c r="R21" i="4"/>
  <c r="S21" i="4" s="1"/>
  <c r="O21" i="4"/>
  <c r="Q21" i="4" s="1"/>
  <c r="R20" i="4"/>
  <c r="T20" i="4" s="1"/>
  <c r="O20" i="4"/>
  <c r="Q20" i="4" s="1"/>
  <c r="R19" i="4"/>
  <c r="S19" i="4" s="1"/>
  <c r="O19" i="4"/>
  <c r="Q19" i="4" s="1"/>
  <c r="R18" i="4"/>
  <c r="T18" i="4" s="1"/>
  <c r="O18" i="4"/>
  <c r="Q18" i="4" s="1"/>
  <c r="R17" i="4"/>
  <c r="S17" i="4" s="1"/>
  <c r="O17" i="4"/>
  <c r="Q17" i="4" s="1"/>
  <c r="R15" i="4"/>
  <c r="T15" i="4" s="1"/>
  <c r="O15" i="4"/>
  <c r="Q15" i="4" s="1"/>
  <c r="T13" i="4"/>
  <c r="R13" i="4"/>
  <c r="S13" i="4" s="1"/>
  <c r="O13" i="4"/>
  <c r="Q13" i="4" s="1"/>
  <c r="R11" i="4"/>
  <c r="S11" i="4" s="1"/>
  <c r="O11" i="4"/>
  <c r="Q11" i="4" s="1"/>
  <c r="R9" i="4"/>
  <c r="S9" i="4" s="1"/>
  <c r="O9" i="4"/>
  <c r="Q9" i="4" s="1"/>
  <c r="R7" i="4"/>
  <c r="T7" i="4" s="1"/>
  <c r="O7" i="4"/>
  <c r="Q7" i="4" s="1"/>
  <c r="R5" i="4"/>
  <c r="S5" i="4" s="1"/>
  <c r="T5" i="4" s="1"/>
  <c r="O5" i="4"/>
  <c r="P5" i="4" s="1"/>
  <c r="R4" i="4"/>
  <c r="O4" i="4"/>
  <c r="S3" i="4"/>
  <c r="R3" i="4"/>
  <c r="P3" i="4"/>
  <c r="O3" i="4"/>
  <c r="A1" i="4"/>
  <c r="B40" i="15"/>
  <c r="A40" i="15"/>
  <c r="B39" i="15"/>
  <c r="A39" i="15"/>
  <c r="B38" i="15"/>
  <c r="A38" i="15"/>
  <c r="B37" i="15"/>
  <c r="A37" i="15"/>
  <c r="B36" i="15"/>
  <c r="A36" i="15"/>
  <c r="B35" i="15"/>
  <c r="A35" i="15"/>
  <c r="B34" i="15"/>
  <c r="A34" i="15"/>
  <c r="B33" i="15"/>
  <c r="A33" i="15"/>
  <c r="B32" i="15"/>
  <c r="A32" i="15"/>
  <c r="B31" i="15"/>
  <c r="A31" i="15"/>
  <c r="B30" i="15"/>
  <c r="A30" i="15"/>
  <c r="B29" i="15"/>
  <c r="A29" i="15"/>
  <c r="B28" i="15"/>
  <c r="A28" i="15"/>
  <c r="B27" i="15"/>
  <c r="A27" i="15"/>
  <c r="B26" i="15"/>
  <c r="A26" i="15"/>
  <c r="B25" i="15"/>
  <c r="A25" i="15"/>
  <c r="B24" i="15"/>
  <c r="A24" i="15"/>
  <c r="B23" i="15"/>
  <c r="A23" i="15"/>
  <c r="B22" i="15"/>
  <c r="A22" i="15"/>
  <c r="B21" i="15"/>
  <c r="A21" i="15"/>
  <c r="B20" i="15"/>
  <c r="A20" i="15"/>
  <c r="B19" i="15"/>
  <c r="A19" i="15"/>
  <c r="B18" i="15"/>
  <c r="A18" i="15"/>
  <c r="B17" i="15"/>
  <c r="A17" i="15"/>
  <c r="B16" i="15"/>
  <c r="A16" i="15"/>
  <c r="B15" i="15"/>
  <c r="A15" i="15"/>
  <c r="B14" i="15"/>
  <c r="A14" i="15"/>
  <c r="B13" i="15"/>
  <c r="A13" i="15"/>
  <c r="B12" i="15"/>
  <c r="A12" i="15"/>
  <c r="B11" i="15"/>
  <c r="A11" i="15"/>
  <c r="B10" i="15"/>
  <c r="A10" i="15"/>
  <c r="B9" i="15"/>
  <c r="A9" i="15"/>
  <c r="B8" i="15"/>
  <c r="A8" i="15"/>
  <c r="B7" i="15"/>
  <c r="A7" i="15"/>
  <c r="B6" i="15"/>
  <c r="A6" i="15"/>
  <c r="B5" i="15"/>
  <c r="A5" i="15"/>
  <c r="B4" i="15"/>
  <c r="A4" i="15"/>
  <c r="A1" i="15"/>
  <c r="B36" i="4"/>
  <c r="G28" i="2"/>
  <c r="T17" i="4" l="1"/>
  <c r="T25" i="4"/>
  <c r="S10" i="4"/>
  <c r="T19" i="4"/>
  <c r="T27" i="4"/>
  <c r="T35" i="4"/>
  <c r="S8" i="4"/>
  <c r="S16" i="4"/>
  <c r="S37" i="4"/>
  <c r="S38" i="4"/>
  <c r="S39" i="4"/>
  <c r="S40" i="4"/>
  <c r="T33" i="4"/>
  <c r="T9" i="4"/>
  <c r="T21" i="4"/>
  <c r="T29" i="4"/>
  <c r="T6" i="4"/>
  <c r="S14" i="4"/>
  <c r="U5" i="4"/>
  <c r="W5" i="4" s="1"/>
  <c r="Q5" i="4"/>
  <c r="Q16" i="4"/>
  <c r="P16" i="4"/>
  <c r="Q39" i="4"/>
  <c r="P39" i="4"/>
  <c r="U39" i="4" s="1"/>
  <c r="W39" i="4" s="1"/>
  <c r="S7" i="4"/>
  <c r="P9" i="4"/>
  <c r="U9" i="4" s="1"/>
  <c r="W9" i="4" s="1"/>
  <c r="S18" i="4"/>
  <c r="P19" i="4"/>
  <c r="U19" i="4" s="1"/>
  <c r="W19" i="4" s="1"/>
  <c r="S24" i="4"/>
  <c r="P25" i="4"/>
  <c r="U25" i="4" s="1"/>
  <c r="W25" i="4" s="1"/>
  <c r="S26" i="4"/>
  <c r="P27" i="4"/>
  <c r="U27" i="4" s="1"/>
  <c r="W27" i="4" s="1"/>
  <c r="S32" i="4"/>
  <c r="P33" i="4"/>
  <c r="U33" i="4" s="1"/>
  <c r="W33" i="4" s="1"/>
  <c r="T11" i="4"/>
  <c r="T28" i="4"/>
  <c r="T30" i="4"/>
  <c r="T34" i="4"/>
  <c r="T36" i="4"/>
  <c r="Q8" i="4"/>
  <c r="P8" i="4"/>
  <c r="Q10" i="4"/>
  <c r="P10" i="4"/>
  <c r="U10" i="4" s="1"/>
  <c r="W10" i="4" s="1"/>
  <c r="Q12" i="4"/>
  <c r="P12" i="4"/>
  <c r="U12" i="4" s="1"/>
  <c r="W12" i="4" s="1"/>
  <c r="Q37" i="4"/>
  <c r="P37" i="4"/>
  <c r="U37" i="4" s="1"/>
  <c r="W37" i="4" s="1"/>
  <c r="Q38" i="4"/>
  <c r="P38" i="4"/>
  <c r="U38" i="4" s="1"/>
  <c r="W38" i="4" s="1"/>
  <c r="Q40" i="4"/>
  <c r="P40" i="4"/>
  <c r="P13" i="4"/>
  <c r="U13" i="4" s="1"/>
  <c r="W13" i="4" s="1"/>
  <c r="S15" i="4"/>
  <c r="P17" i="4"/>
  <c r="U17" i="4" s="1"/>
  <c r="W17" i="4" s="1"/>
  <c r="S20" i="4"/>
  <c r="P21" i="4"/>
  <c r="U21" i="4" s="1"/>
  <c r="W21" i="4" s="1"/>
  <c r="S22" i="4"/>
  <c r="P23" i="4"/>
  <c r="U23" i="4" s="1"/>
  <c r="W23" i="4" s="1"/>
  <c r="P29" i="4"/>
  <c r="U29" i="4" s="1"/>
  <c r="W29" i="4" s="1"/>
  <c r="P31" i="4"/>
  <c r="U31" i="4" s="1"/>
  <c r="W31" i="4" s="1"/>
  <c r="P35" i="4"/>
  <c r="U35" i="4" s="1"/>
  <c r="W35" i="4" s="1"/>
  <c r="P6" i="4"/>
  <c r="U6" i="4" s="1"/>
  <c r="W6" i="4" s="1"/>
  <c r="Q14" i="4"/>
  <c r="P14" i="4"/>
  <c r="U14" i="4" s="1"/>
  <c r="W14" i="4" s="1"/>
  <c r="P7" i="4"/>
  <c r="U7" i="4" s="1"/>
  <c r="W7" i="4" s="1"/>
  <c r="P11" i="4"/>
  <c r="U11" i="4" s="1"/>
  <c r="W11" i="4" s="1"/>
  <c r="P15" i="4"/>
  <c r="P18" i="4"/>
  <c r="U18" i="4" s="1"/>
  <c r="W18" i="4" s="1"/>
  <c r="P20" i="4"/>
  <c r="P22" i="4"/>
  <c r="U22" i="4" s="1"/>
  <c r="W22" i="4" s="1"/>
  <c r="P24" i="4"/>
  <c r="P26" i="4"/>
  <c r="U26" i="4" s="1"/>
  <c r="W26" i="4" s="1"/>
  <c r="P28" i="4"/>
  <c r="U28" i="4" s="1"/>
  <c r="W28" i="4" s="1"/>
  <c r="P30" i="4"/>
  <c r="U30" i="4" s="1"/>
  <c r="W30" i="4" s="1"/>
  <c r="P32" i="4"/>
  <c r="P34" i="4"/>
  <c r="U34" i="4" s="1"/>
  <c r="W34" i="4" s="1"/>
  <c r="P36" i="4"/>
  <c r="U36" i="4" s="1"/>
  <c r="W36" i="4" s="1"/>
  <c r="P40" i="14"/>
  <c r="P7" i="14"/>
  <c r="P8" i="14"/>
  <c r="P9" i="14"/>
  <c r="P10" i="14"/>
  <c r="P11" i="14"/>
  <c r="P12" i="14"/>
  <c r="P13" i="14"/>
  <c r="P14" i="14"/>
  <c r="P15" i="14"/>
  <c r="P16" i="14"/>
  <c r="P17" i="14"/>
  <c r="P18" i="14"/>
  <c r="P19" i="14"/>
  <c r="P20" i="14"/>
  <c r="P21" i="14"/>
  <c r="P22" i="14"/>
  <c r="P23" i="14"/>
  <c r="P24" i="14"/>
  <c r="P25" i="14"/>
  <c r="P26" i="14"/>
  <c r="P27" i="14"/>
  <c r="P28" i="14"/>
  <c r="P29" i="14"/>
  <c r="P30" i="14"/>
  <c r="P31" i="14"/>
  <c r="P32" i="14"/>
  <c r="P33" i="14"/>
  <c r="P34" i="14"/>
  <c r="P35" i="14"/>
  <c r="P36" i="14"/>
  <c r="P37" i="14"/>
  <c r="P38" i="14"/>
  <c r="P39" i="14"/>
  <c r="P6" i="14"/>
  <c r="Q3" i="14"/>
  <c r="P5" i="14" s="1"/>
  <c r="Q5" i="14" s="1"/>
  <c r="R5" i="14" s="1"/>
  <c r="M40"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5" i="14"/>
  <c r="N5" i="14" s="1"/>
  <c r="N3" i="14"/>
  <c r="P4" i="14"/>
  <c r="M4" i="14"/>
  <c r="P3" i="14"/>
  <c r="M3" i="14"/>
  <c r="U16" i="4" l="1"/>
  <c r="W16" i="4" s="1"/>
  <c r="U40" i="4"/>
  <c r="W40" i="4" s="1"/>
  <c r="U20" i="4"/>
  <c r="W20" i="4" s="1"/>
  <c r="U8" i="4"/>
  <c r="W8" i="4" s="1"/>
  <c r="U32" i="4"/>
  <c r="W32" i="4" s="1"/>
  <c r="U24" i="4"/>
  <c r="W24" i="4" s="1"/>
  <c r="U15" i="4"/>
  <c r="W15" i="4" s="1"/>
  <c r="Q16" i="14"/>
  <c r="R16" i="14" s="1"/>
  <c r="Q28" i="14"/>
  <c r="R28" i="14" s="1"/>
  <c r="Q32" i="14"/>
  <c r="R32" i="14" s="1"/>
  <c r="Q36" i="14"/>
  <c r="R36" i="14" s="1"/>
  <c r="Q7" i="14"/>
  <c r="R7" i="14" s="1"/>
  <c r="Q11" i="14"/>
  <c r="R11" i="14" s="1"/>
  <c r="Q15" i="14"/>
  <c r="R15" i="14" s="1"/>
  <c r="Q23" i="14"/>
  <c r="R23" i="14" s="1"/>
  <c r="Q27" i="14"/>
  <c r="R27" i="14" s="1"/>
  <c r="Q31" i="14"/>
  <c r="R31" i="14" s="1"/>
  <c r="Q39" i="14"/>
  <c r="R39" i="14" s="1"/>
  <c r="Q12" i="14"/>
  <c r="Q20" i="14"/>
  <c r="R20" i="14" s="1"/>
  <c r="Q19" i="14"/>
  <c r="R19" i="14" s="1"/>
  <c r="Q35" i="14"/>
  <c r="R35" i="14" s="1"/>
  <c r="Q8" i="14"/>
  <c r="R8" i="14" s="1"/>
  <c r="S5" i="14"/>
  <c r="U5" i="14" s="1"/>
  <c r="O5" i="14"/>
  <c r="Q6" i="14"/>
  <c r="R6" i="14" s="1"/>
  <c r="Q10" i="14"/>
  <c r="R10" i="14" s="1"/>
  <c r="Q14" i="14"/>
  <c r="R14" i="14" s="1"/>
  <c r="Q18" i="14"/>
  <c r="R18" i="14"/>
  <c r="Q22" i="14"/>
  <c r="R22" i="14" s="1"/>
  <c r="Q26" i="14"/>
  <c r="R26" i="14" s="1"/>
  <c r="Q30" i="14"/>
  <c r="R30" i="14" s="1"/>
  <c r="Q34" i="14"/>
  <c r="R34" i="14" s="1"/>
  <c r="Q38" i="14"/>
  <c r="R38" i="14" s="1"/>
  <c r="Q24" i="14"/>
  <c r="R24" i="14"/>
  <c r="Q9" i="14"/>
  <c r="R9" i="14" s="1"/>
  <c r="Q13" i="14"/>
  <c r="R13" i="14" s="1"/>
  <c r="Q17" i="14"/>
  <c r="R17" i="14" s="1"/>
  <c r="Q21" i="14"/>
  <c r="R21" i="14" s="1"/>
  <c r="Q25" i="14"/>
  <c r="R25" i="14" s="1"/>
  <c r="Q29" i="14"/>
  <c r="R29" i="14" s="1"/>
  <c r="Q33" i="14"/>
  <c r="R33" i="14" s="1"/>
  <c r="Q37" i="14"/>
  <c r="R37" i="14" s="1"/>
  <c r="Q40" i="14"/>
  <c r="R40" i="14" s="1"/>
  <c r="N6" i="14"/>
  <c r="N7" i="14"/>
  <c r="O7" i="14" s="1"/>
  <c r="N8" i="14"/>
  <c r="O8" i="14" s="1"/>
  <c r="N9" i="14"/>
  <c r="O9" i="14" s="1"/>
  <c r="N10" i="14"/>
  <c r="N11" i="14"/>
  <c r="N12" i="14"/>
  <c r="O12" i="14" s="1"/>
  <c r="N13" i="14"/>
  <c r="N14" i="14"/>
  <c r="N15" i="14"/>
  <c r="N16" i="14"/>
  <c r="N17" i="14"/>
  <c r="O17" i="14" s="1"/>
  <c r="N18" i="14"/>
  <c r="O18" i="14" s="1"/>
  <c r="N19" i="14"/>
  <c r="O19" i="14" s="1"/>
  <c r="N20" i="14"/>
  <c r="N21" i="14"/>
  <c r="N22" i="14"/>
  <c r="S22" i="14" s="1"/>
  <c r="U22" i="14" s="1"/>
  <c r="N23" i="14"/>
  <c r="N24" i="14"/>
  <c r="O24" i="14" s="1"/>
  <c r="N25" i="14"/>
  <c r="O25" i="14" s="1"/>
  <c r="N26" i="14"/>
  <c r="N27" i="14"/>
  <c r="N28" i="14"/>
  <c r="N29" i="14"/>
  <c r="N30" i="14"/>
  <c r="N31" i="14"/>
  <c r="O31" i="14" s="1"/>
  <c r="N32" i="14"/>
  <c r="N33" i="14"/>
  <c r="O33" i="14" s="1"/>
  <c r="N34" i="14"/>
  <c r="N35" i="14"/>
  <c r="O35" i="14" s="1"/>
  <c r="N36" i="14"/>
  <c r="N37" i="14"/>
  <c r="N38" i="14"/>
  <c r="S38" i="14" s="1"/>
  <c r="U38" i="14" s="1"/>
  <c r="N39" i="14"/>
  <c r="O39" i="14" s="1"/>
  <c r="N40" i="14"/>
  <c r="S14" i="14" l="1"/>
  <c r="U14" i="14" s="1"/>
  <c r="R12" i="14"/>
  <c r="S28" i="14"/>
  <c r="U28" i="14" s="1"/>
  <c r="S32" i="14"/>
  <c r="U32" i="14" s="1"/>
  <c r="S27" i="14"/>
  <c r="U27" i="14" s="1"/>
  <c r="S34" i="14"/>
  <c r="U34" i="14" s="1"/>
  <c r="S26" i="14"/>
  <c r="U26" i="14" s="1"/>
  <c r="S10" i="14"/>
  <c r="U10" i="14" s="1"/>
  <c r="S30" i="14"/>
  <c r="U30" i="14" s="1"/>
  <c r="S6" i="14"/>
  <c r="U6" i="14" s="1"/>
  <c r="S23" i="14"/>
  <c r="U23" i="14" s="1"/>
  <c r="S15" i="14"/>
  <c r="U15" i="14" s="1"/>
  <c r="S11" i="14"/>
  <c r="U11" i="14" s="1"/>
  <c r="O27" i="14"/>
  <c r="O11" i="14"/>
  <c r="O23" i="14"/>
  <c r="S40" i="14"/>
  <c r="U40" i="14" s="1"/>
  <c r="S36" i="14"/>
  <c r="U36" i="14" s="1"/>
  <c r="S20" i="14"/>
  <c r="U20" i="14" s="1"/>
  <c r="S16" i="14"/>
  <c r="U16" i="14" s="1"/>
  <c r="O15" i="14"/>
  <c r="S39" i="14"/>
  <c r="U39" i="14" s="1"/>
  <c r="S35" i="14"/>
  <c r="U35" i="14" s="1"/>
  <c r="S31" i="14"/>
  <c r="U31" i="14" s="1"/>
  <c r="S19" i="14"/>
  <c r="U19" i="14" s="1"/>
  <c r="S7" i="14"/>
  <c r="U7" i="14" s="1"/>
  <c r="O32" i="14"/>
  <c r="O16" i="14"/>
  <c r="O34" i="14"/>
  <c r="O28" i="14"/>
  <c r="O30" i="14"/>
  <c r="O14" i="14"/>
  <c r="S37" i="14"/>
  <c r="U37" i="14" s="1"/>
  <c r="S33" i="14"/>
  <c r="U33" i="14" s="1"/>
  <c r="S29" i="14"/>
  <c r="U29" i="14" s="1"/>
  <c r="S25" i="14"/>
  <c r="U25" i="14" s="1"/>
  <c r="S21" i="14"/>
  <c r="U21" i="14" s="1"/>
  <c r="S17" i="14"/>
  <c r="U17" i="14" s="1"/>
  <c r="S13" i="14"/>
  <c r="U13" i="14" s="1"/>
  <c r="S9" i="14"/>
  <c r="U9" i="14" s="1"/>
  <c r="O37" i="14"/>
  <c r="O29" i="14"/>
  <c r="O21" i="14"/>
  <c r="O13" i="14"/>
  <c r="O38" i="14"/>
  <c r="O26" i="14"/>
  <c r="O10" i="14"/>
  <c r="O36" i="14"/>
  <c r="O20" i="14"/>
  <c r="O40" i="14"/>
  <c r="O22" i="14"/>
  <c r="O6" i="14"/>
  <c r="S18" i="14"/>
  <c r="U18" i="14" s="1"/>
  <c r="S24" i="14"/>
  <c r="U24" i="14" s="1"/>
  <c r="S12" i="14"/>
  <c r="U12" i="14" s="1"/>
  <c r="S8" i="14"/>
  <c r="U8" i="14" s="1"/>
  <c r="B7" i="4" l="1"/>
  <c r="B9" i="4"/>
  <c r="B11" i="4"/>
  <c r="B13" i="4"/>
  <c r="B15" i="4"/>
  <c r="B17" i="4"/>
  <c r="B18" i="4"/>
  <c r="B19" i="4"/>
  <c r="B20" i="4"/>
  <c r="B21" i="4"/>
  <c r="B22" i="4"/>
  <c r="B23" i="4"/>
  <c r="B24" i="4"/>
  <c r="B25" i="4"/>
  <c r="B26" i="4"/>
  <c r="B27" i="4"/>
  <c r="B28" i="4"/>
  <c r="B29" i="4"/>
  <c r="B30" i="4"/>
  <c r="B31" i="4"/>
  <c r="B32" i="4"/>
  <c r="B33" i="4"/>
  <c r="B34" i="4"/>
  <c r="B35" i="4"/>
  <c r="B6" i="4"/>
  <c r="B8" i="4"/>
  <c r="B10" i="4"/>
  <c r="B12" i="4"/>
  <c r="B14" i="4"/>
  <c r="B16" i="4"/>
  <c r="B37" i="4"/>
  <c r="B38" i="4"/>
  <c r="B39" i="4"/>
  <c r="B40" i="4"/>
  <c r="B5" i="4"/>
  <c r="A7" i="4"/>
  <c r="A9" i="4"/>
  <c r="A11" i="4"/>
  <c r="A13" i="4"/>
  <c r="A15" i="4"/>
  <c r="A17" i="4"/>
  <c r="A18" i="4"/>
  <c r="A19" i="4"/>
  <c r="A20" i="4"/>
  <c r="A21" i="4"/>
  <c r="A22" i="4"/>
  <c r="A23" i="4"/>
  <c r="A24" i="4"/>
  <c r="A25" i="4"/>
  <c r="A26" i="4"/>
  <c r="A27" i="4"/>
  <c r="A28" i="4"/>
  <c r="A29" i="4"/>
  <c r="A30" i="4"/>
  <c r="A31" i="4"/>
  <c r="A32" i="4"/>
  <c r="A33" i="4"/>
  <c r="A34" i="4"/>
  <c r="A35" i="4"/>
  <c r="A36" i="4"/>
  <c r="A6" i="4"/>
  <c r="A8" i="4"/>
  <c r="A10" i="4"/>
  <c r="A12" i="4"/>
  <c r="A14" i="4"/>
  <c r="A16" i="4"/>
  <c r="A37" i="4"/>
  <c r="A38" i="4"/>
  <c r="A39" i="4"/>
  <c r="A40" i="4"/>
  <c r="A5" i="4"/>
  <c r="B4" i="4" l="1"/>
  <c r="A4" i="4"/>
  <c r="AL40" i="9" l="1"/>
  <c r="AN40" i="9" s="1"/>
  <c r="AI40" i="9"/>
  <c r="AK40" i="9" s="1"/>
  <c r="AL39" i="9"/>
  <c r="AN39" i="9" s="1"/>
  <c r="AI39" i="9"/>
  <c r="AK39" i="9" s="1"/>
  <c r="AL38" i="9"/>
  <c r="AN38" i="9" s="1"/>
  <c r="AI38" i="9"/>
  <c r="AK38" i="9" s="1"/>
  <c r="AL37" i="9"/>
  <c r="AN37" i="9" s="1"/>
  <c r="AI37" i="9"/>
  <c r="AK37" i="9" s="1"/>
  <c r="AL36" i="9"/>
  <c r="AN36" i="9" s="1"/>
  <c r="AI36" i="9"/>
  <c r="AK36" i="9" s="1"/>
  <c r="AL35" i="9"/>
  <c r="AN35" i="9" s="1"/>
  <c r="AI35" i="9"/>
  <c r="AK35" i="9" s="1"/>
  <c r="AL34" i="9"/>
  <c r="AN34" i="9" s="1"/>
  <c r="AI34" i="9"/>
  <c r="AK34" i="9" s="1"/>
  <c r="AL33" i="9"/>
  <c r="AN33" i="9" s="1"/>
  <c r="AI33" i="9"/>
  <c r="AK33" i="9" s="1"/>
  <c r="AL32" i="9"/>
  <c r="AN32" i="9" s="1"/>
  <c r="AI32" i="9"/>
  <c r="AK32" i="9" s="1"/>
  <c r="AL31" i="9"/>
  <c r="AN31" i="9" s="1"/>
  <c r="AK31" i="9"/>
  <c r="AI31" i="9"/>
  <c r="AL30" i="9"/>
  <c r="AN30" i="9" s="1"/>
  <c r="AI30" i="9"/>
  <c r="AK30" i="9" s="1"/>
  <c r="AL29" i="9"/>
  <c r="AN29" i="9" s="1"/>
  <c r="AI29" i="9"/>
  <c r="AK29" i="9" s="1"/>
  <c r="AL28" i="9"/>
  <c r="AN28" i="9" s="1"/>
  <c r="AI28" i="9"/>
  <c r="AK28" i="9" s="1"/>
  <c r="AL27" i="9"/>
  <c r="AN27" i="9" s="1"/>
  <c r="AI27" i="9"/>
  <c r="AK27" i="9" s="1"/>
  <c r="AL26" i="9"/>
  <c r="AN26" i="9" s="1"/>
  <c r="AI26" i="9"/>
  <c r="AK26" i="9" s="1"/>
  <c r="AL25" i="9"/>
  <c r="AN25" i="9" s="1"/>
  <c r="AI25" i="9"/>
  <c r="AK25" i="9" s="1"/>
  <c r="AL24" i="9"/>
  <c r="AN24" i="9" s="1"/>
  <c r="AI24" i="9"/>
  <c r="AK24" i="9" s="1"/>
  <c r="AL23" i="9"/>
  <c r="AN23" i="9" s="1"/>
  <c r="AI23" i="9"/>
  <c r="AK23" i="9" s="1"/>
  <c r="AL22" i="9"/>
  <c r="AN22" i="9" s="1"/>
  <c r="AI22" i="9"/>
  <c r="AK22" i="9" s="1"/>
  <c r="AL21" i="9"/>
  <c r="AN21" i="9" s="1"/>
  <c r="AI21" i="9"/>
  <c r="AK21" i="9" s="1"/>
  <c r="AL20" i="9"/>
  <c r="AN20" i="9" s="1"/>
  <c r="AI20" i="9"/>
  <c r="AK20" i="9" s="1"/>
  <c r="AL19" i="9"/>
  <c r="AN19" i="9" s="1"/>
  <c r="AI19" i="9"/>
  <c r="AK19" i="9" s="1"/>
  <c r="AL18" i="9"/>
  <c r="AN18" i="9" s="1"/>
  <c r="AI18" i="9"/>
  <c r="AK18" i="9" s="1"/>
  <c r="AL17" i="9"/>
  <c r="AN17" i="9" s="1"/>
  <c r="AI17" i="9"/>
  <c r="AK17" i="9" s="1"/>
  <c r="AL16" i="9"/>
  <c r="AN16" i="9" s="1"/>
  <c r="AI16" i="9"/>
  <c r="AK16" i="9" s="1"/>
  <c r="AL15" i="9"/>
  <c r="AN15" i="9" s="1"/>
  <c r="AI15" i="9"/>
  <c r="AK15" i="9" s="1"/>
  <c r="AL14" i="9"/>
  <c r="AN14" i="9" s="1"/>
  <c r="AI14" i="9"/>
  <c r="AK14" i="9" s="1"/>
  <c r="AL13" i="9"/>
  <c r="AN13" i="9" s="1"/>
  <c r="AI13" i="9"/>
  <c r="AK13" i="9" s="1"/>
  <c r="AL12" i="9"/>
  <c r="AN12" i="9" s="1"/>
  <c r="AI12" i="9"/>
  <c r="AK12" i="9" s="1"/>
  <c r="AL11" i="9"/>
  <c r="AN11" i="9" s="1"/>
  <c r="AI11" i="9"/>
  <c r="AK11" i="9" s="1"/>
  <c r="AL10" i="9"/>
  <c r="AN10" i="9" s="1"/>
  <c r="AI10" i="9"/>
  <c r="AK10" i="9" s="1"/>
  <c r="AL9" i="9"/>
  <c r="AN9" i="9" s="1"/>
  <c r="AI9" i="9"/>
  <c r="AK9" i="9" s="1"/>
  <c r="AL8" i="9"/>
  <c r="AN8" i="9" s="1"/>
  <c r="AI8" i="9"/>
  <c r="AL7" i="9"/>
  <c r="AN7" i="9" s="1"/>
  <c r="AI7" i="9"/>
  <c r="AL6" i="9"/>
  <c r="AN6" i="9" s="1"/>
  <c r="AI6" i="9"/>
  <c r="AL5" i="9"/>
  <c r="AM5" i="9" s="1"/>
  <c r="AN5" i="9" s="1"/>
  <c r="AI5" i="9"/>
  <c r="AL4" i="9"/>
  <c r="AI4" i="9"/>
  <c r="AQ3" i="9"/>
  <c r="AM3" i="9"/>
  <c r="AM26" i="9" s="1"/>
  <c r="AL3" i="9"/>
  <c r="AJ3" i="9"/>
  <c r="AI3" i="9"/>
  <c r="AG3" i="9"/>
  <c r="AE3" i="9"/>
  <c r="AC3" i="9"/>
  <c r="AA3" i="9"/>
  <c r="Y3" i="9"/>
  <c r="W3" i="9"/>
  <c r="P40" i="9"/>
  <c r="R40" i="9" s="1"/>
  <c r="M40" i="9"/>
  <c r="O40" i="9" s="1"/>
  <c r="P39" i="9"/>
  <c r="R39" i="9" s="1"/>
  <c r="M39" i="9"/>
  <c r="O39" i="9" s="1"/>
  <c r="P38" i="9"/>
  <c r="R38" i="9" s="1"/>
  <c r="M38" i="9"/>
  <c r="O38" i="9" s="1"/>
  <c r="P37" i="9"/>
  <c r="R37" i="9" s="1"/>
  <c r="M37" i="9"/>
  <c r="O37" i="9" s="1"/>
  <c r="P36" i="9"/>
  <c r="R36" i="9" s="1"/>
  <c r="M36" i="9"/>
  <c r="O36" i="9" s="1"/>
  <c r="P35" i="9"/>
  <c r="R35" i="9" s="1"/>
  <c r="M35" i="9"/>
  <c r="O35" i="9" s="1"/>
  <c r="P34" i="9"/>
  <c r="R34" i="9" s="1"/>
  <c r="O34" i="9"/>
  <c r="M34" i="9"/>
  <c r="P33" i="9"/>
  <c r="R33" i="9" s="1"/>
  <c r="M33" i="9"/>
  <c r="O33" i="9" s="1"/>
  <c r="P32" i="9"/>
  <c r="R32" i="9" s="1"/>
  <c r="M32" i="9"/>
  <c r="O32" i="9" s="1"/>
  <c r="P31" i="9"/>
  <c r="R31" i="9" s="1"/>
  <c r="M31" i="9"/>
  <c r="O31" i="9" s="1"/>
  <c r="P30" i="9"/>
  <c r="R30" i="9" s="1"/>
  <c r="M30" i="9"/>
  <c r="O30" i="9" s="1"/>
  <c r="P29" i="9"/>
  <c r="R29" i="9" s="1"/>
  <c r="M29" i="9"/>
  <c r="O29" i="9" s="1"/>
  <c r="P28" i="9"/>
  <c r="R28" i="9" s="1"/>
  <c r="M28" i="9"/>
  <c r="O28" i="9" s="1"/>
  <c r="P27" i="9"/>
  <c r="R27" i="9" s="1"/>
  <c r="M27" i="9"/>
  <c r="O27" i="9" s="1"/>
  <c r="P26" i="9"/>
  <c r="R26" i="9" s="1"/>
  <c r="M26" i="9"/>
  <c r="O26" i="9" s="1"/>
  <c r="P25" i="9"/>
  <c r="R25" i="9" s="1"/>
  <c r="M25" i="9"/>
  <c r="O25" i="9" s="1"/>
  <c r="P24" i="9"/>
  <c r="R24" i="9" s="1"/>
  <c r="M24" i="9"/>
  <c r="O24" i="9" s="1"/>
  <c r="P23" i="9"/>
  <c r="R23" i="9" s="1"/>
  <c r="M23" i="9"/>
  <c r="O23" i="9" s="1"/>
  <c r="P22" i="9"/>
  <c r="R22" i="9" s="1"/>
  <c r="M22" i="9"/>
  <c r="O22" i="9" s="1"/>
  <c r="P21" i="9"/>
  <c r="R21" i="9" s="1"/>
  <c r="M21" i="9"/>
  <c r="O21" i="9" s="1"/>
  <c r="P20" i="9"/>
  <c r="R20" i="9" s="1"/>
  <c r="M20" i="9"/>
  <c r="O20" i="9" s="1"/>
  <c r="P19" i="9"/>
  <c r="R19" i="9" s="1"/>
  <c r="M19" i="9"/>
  <c r="O19" i="9" s="1"/>
  <c r="P18" i="9"/>
  <c r="R18" i="9" s="1"/>
  <c r="M18" i="9"/>
  <c r="O18" i="9" s="1"/>
  <c r="P17" i="9"/>
  <c r="R17" i="9" s="1"/>
  <c r="M17" i="9"/>
  <c r="O17" i="9" s="1"/>
  <c r="R16" i="9"/>
  <c r="P16" i="9"/>
  <c r="M16" i="9"/>
  <c r="O16" i="9" s="1"/>
  <c r="P15" i="9"/>
  <c r="R15" i="9" s="1"/>
  <c r="M15" i="9"/>
  <c r="O15" i="9" s="1"/>
  <c r="P14" i="9"/>
  <c r="R14" i="9" s="1"/>
  <c r="M14" i="9"/>
  <c r="O14" i="9" s="1"/>
  <c r="P13" i="9"/>
  <c r="R13" i="9" s="1"/>
  <c r="M13" i="9"/>
  <c r="O13" i="9" s="1"/>
  <c r="P12" i="9"/>
  <c r="R12" i="9" s="1"/>
  <c r="M12" i="9"/>
  <c r="O12" i="9" s="1"/>
  <c r="P11" i="9"/>
  <c r="R11" i="9" s="1"/>
  <c r="M11" i="9"/>
  <c r="O11" i="9" s="1"/>
  <c r="P10" i="9"/>
  <c r="M10" i="9"/>
  <c r="P9" i="9"/>
  <c r="M9" i="9"/>
  <c r="P8" i="9"/>
  <c r="R8" i="9" s="1"/>
  <c r="M8" i="9"/>
  <c r="P7" i="9"/>
  <c r="M7" i="9"/>
  <c r="P6" i="9"/>
  <c r="M6" i="9"/>
  <c r="P5" i="9"/>
  <c r="M5" i="9"/>
  <c r="P4" i="9"/>
  <c r="M4" i="9"/>
  <c r="U3" i="9"/>
  <c r="Q3" i="9"/>
  <c r="P3" i="9"/>
  <c r="N3" i="9"/>
  <c r="N34" i="9" s="1"/>
  <c r="M3" i="9"/>
  <c r="K3" i="9"/>
  <c r="I3" i="9"/>
  <c r="G3" i="9"/>
  <c r="E3" i="9"/>
  <c r="C3" i="9"/>
  <c r="A3" i="9"/>
  <c r="AJ5" i="9" l="1"/>
  <c r="AK5" i="9" s="1"/>
  <c r="AO5" i="9" s="1"/>
  <c r="AQ5" i="9" s="1"/>
  <c r="AM16" i="9"/>
  <c r="AM24" i="9"/>
  <c r="AM8" i="9"/>
  <c r="AM6" i="9"/>
  <c r="AM12" i="9"/>
  <c r="AM20" i="9"/>
  <c r="Q38" i="9"/>
  <c r="N5" i="9"/>
  <c r="AM10" i="9"/>
  <c r="AM14" i="9"/>
  <c r="AM18" i="9"/>
  <c r="AM22" i="9"/>
  <c r="AJ40" i="9"/>
  <c r="AJ39" i="9"/>
  <c r="AJ38" i="9"/>
  <c r="AJ37" i="9"/>
  <c r="AJ36" i="9"/>
  <c r="AJ35" i="9"/>
  <c r="AJ34" i="9"/>
  <c r="AJ33" i="9"/>
  <c r="AJ32" i="9"/>
  <c r="AJ31" i="9"/>
  <c r="AJ30" i="9"/>
  <c r="AJ29" i="9"/>
  <c r="AJ28" i="9"/>
  <c r="AJ27" i="9"/>
  <c r="AJ26" i="9"/>
  <c r="AO26" i="9" s="1"/>
  <c r="AQ26" i="9" s="1"/>
  <c r="AJ25" i="9"/>
  <c r="AJ24" i="9"/>
  <c r="AO24" i="9" s="1"/>
  <c r="AQ24" i="9" s="1"/>
  <c r="AJ23" i="9"/>
  <c r="AJ22" i="9"/>
  <c r="AO22" i="9" s="1"/>
  <c r="AQ22" i="9" s="1"/>
  <c r="AJ21" i="9"/>
  <c r="AJ20" i="9"/>
  <c r="AO20" i="9" s="1"/>
  <c r="AQ20" i="9" s="1"/>
  <c r="AJ19" i="9"/>
  <c r="AJ18" i="9"/>
  <c r="AO18" i="9" s="1"/>
  <c r="AQ18" i="9" s="1"/>
  <c r="AJ17" i="9"/>
  <c r="AJ16" i="9"/>
  <c r="AJ15" i="9"/>
  <c r="AJ14" i="9"/>
  <c r="AO14" i="9" s="1"/>
  <c r="AQ14" i="9" s="1"/>
  <c r="AJ13" i="9"/>
  <c r="AJ12" i="9"/>
  <c r="AJ11" i="9"/>
  <c r="AJ10" i="9"/>
  <c r="AJ9" i="9"/>
  <c r="AJ8" i="9"/>
  <c r="AJ7" i="9"/>
  <c r="AK7" i="9" s="1"/>
  <c r="AJ6" i="9"/>
  <c r="AM7" i="9"/>
  <c r="AM9" i="9"/>
  <c r="AM11" i="9"/>
  <c r="AM13" i="9"/>
  <c r="AM15" i="9"/>
  <c r="AM17" i="9"/>
  <c r="AM19" i="9"/>
  <c r="AM21" i="9"/>
  <c r="AM23" i="9"/>
  <c r="AM25" i="9"/>
  <c r="AM27" i="9"/>
  <c r="AM40" i="9"/>
  <c r="AM39" i="9"/>
  <c r="AM38" i="9"/>
  <c r="AM37" i="9"/>
  <c r="AM36" i="9"/>
  <c r="AM35" i="9"/>
  <c r="AM34" i="9"/>
  <c r="AM33" i="9"/>
  <c r="AM32" i="9"/>
  <c r="AM31" i="9"/>
  <c r="AM30" i="9"/>
  <c r="AM29" i="9"/>
  <c r="AM28" i="9"/>
  <c r="N7" i="9"/>
  <c r="O7" i="9" s="1"/>
  <c r="N32" i="9"/>
  <c r="Q13" i="9"/>
  <c r="Q17" i="9"/>
  <c r="Q21" i="9"/>
  <c r="Q25" i="9"/>
  <c r="Q29" i="9"/>
  <c r="Q5" i="9"/>
  <c r="R5" i="9" s="1"/>
  <c r="Q7" i="9"/>
  <c r="R7" i="9" s="1"/>
  <c r="N12" i="9"/>
  <c r="N16" i="9"/>
  <c r="N20" i="9"/>
  <c r="N24" i="9"/>
  <c r="N28" i="9"/>
  <c r="Q35" i="9"/>
  <c r="N40" i="9"/>
  <c r="N39" i="9"/>
  <c r="Q11" i="9"/>
  <c r="N14" i="9"/>
  <c r="Q15" i="9"/>
  <c r="N18" i="9"/>
  <c r="Q19" i="9"/>
  <c r="N22" i="9"/>
  <c r="Q23" i="9"/>
  <c r="N26" i="9"/>
  <c r="Q27" i="9"/>
  <c r="N30" i="9"/>
  <c r="Q31" i="9"/>
  <c r="Q33" i="9"/>
  <c r="N38" i="9"/>
  <c r="S38" i="9" s="1"/>
  <c r="U38" i="9" s="1"/>
  <c r="N36" i="9"/>
  <c r="Q39" i="9"/>
  <c r="S7" i="9"/>
  <c r="U7" i="9" s="1"/>
  <c r="Q9" i="9"/>
  <c r="R9" i="9" s="1"/>
  <c r="N8" i="9"/>
  <c r="N6" i="9"/>
  <c r="O6" i="9" s="1"/>
  <c r="N10" i="9"/>
  <c r="O10" i="9" s="1"/>
  <c r="Q37" i="9"/>
  <c r="O5" i="9"/>
  <c r="Q8" i="9"/>
  <c r="N9" i="9"/>
  <c r="Q12" i="9"/>
  <c r="N13" i="9"/>
  <c r="S13" i="9" s="1"/>
  <c r="U13" i="9" s="1"/>
  <c r="Q16" i="9"/>
  <c r="S16" i="9" s="1"/>
  <c r="U16" i="9" s="1"/>
  <c r="N17" i="9"/>
  <c r="Q20" i="9"/>
  <c r="N21" i="9"/>
  <c r="Q24" i="9"/>
  <c r="N25" i="9"/>
  <c r="Q28" i="9"/>
  <c r="S28" i="9" s="1"/>
  <c r="U28" i="9" s="1"/>
  <c r="N29" i="9"/>
  <c r="S29" i="9" s="1"/>
  <c r="U29" i="9" s="1"/>
  <c r="Q32" i="9"/>
  <c r="N33" i="9"/>
  <c r="Q36" i="9"/>
  <c r="N37" i="9"/>
  <c r="Q40" i="9"/>
  <c r="Q6" i="9"/>
  <c r="R6" i="9" s="1"/>
  <c r="Q10" i="9"/>
  <c r="R10" i="9" s="1"/>
  <c r="N11" i="9"/>
  <c r="Q14" i="9"/>
  <c r="S14" i="9" s="1"/>
  <c r="U14" i="9" s="1"/>
  <c r="N15" i="9"/>
  <c r="Q18" i="9"/>
  <c r="N19" i="9"/>
  <c r="Q22" i="9"/>
  <c r="S22" i="9" s="1"/>
  <c r="U22" i="9" s="1"/>
  <c r="N23" i="9"/>
  <c r="Q26" i="9"/>
  <c r="N27" i="9"/>
  <c r="Q30" i="9"/>
  <c r="S30" i="9" s="1"/>
  <c r="U30" i="9" s="1"/>
  <c r="N31" i="9"/>
  <c r="Q34" i="9"/>
  <c r="S34" i="9" s="1"/>
  <c r="U34" i="9" s="1"/>
  <c r="N35" i="9"/>
  <c r="S35" i="9" s="1"/>
  <c r="U35" i="9" s="1"/>
  <c r="S36" i="9" l="1"/>
  <c r="U36" i="9" s="1"/>
  <c r="AO13" i="9"/>
  <c r="AQ13" i="9" s="1"/>
  <c r="AO21" i="9"/>
  <c r="AQ21" i="9" s="1"/>
  <c r="AO29" i="9"/>
  <c r="AQ29" i="9" s="1"/>
  <c r="AO33" i="9"/>
  <c r="AQ33" i="9" s="1"/>
  <c r="AO37" i="9"/>
  <c r="AQ37" i="9" s="1"/>
  <c r="S21" i="9"/>
  <c r="U21" i="9" s="1"/>
  <c r="AO10" i="9"/>
  <c r="AQ10" i="9" s="1"/>
  <c r="S26" i="9"/>
  <c r="U26" i="9" s="1"/>
  <c r="S18" i="9"/>
  <c r="U18" i="9" s="1"/>
  <c r="S33" i="9"/>
  <c r="U33" i="9" s="1"/>
  <c r="S17" i="9"/>
  <c r="U17" i="9" s="1"/>
  <c r="AO12" i="9"/>
  <c r="AQ12" i="9" s="1"/>
  <c r="AO16" i="9"/>
  <c r="AQ16" i="9" s="1"/>
  <c r="AO28" i="9"/>
  <c r="AQ28" i="9" s="1"/>
  <c r="AO32" i="9"/>
  <c r="AQ32" i="9" s="1"/>
  <c r="AO36" i="9"/>
  <c r="AQ36" i="9" s="1"/>
  <c r="AO40" i="9"/>
  <c r="AQ40" i="9" s="1"/>
  <c r="AK8" i="9"/>
  <c r="AO8" i="9" s="1"/>
  <c r="AQ8" i="9" s="1"/>
  <c r="AK6" i="9"/>
  <c r="AO6" i="9" s="1"/>
  <c r="AQ6" i="9" s="1"/>
  <c r="AO9" i="9"/>
  <c r="AQ9" i="9" s="1"/>
  <c r="AO17" i="9"/>
  <c r="AQ17" i="9" s="1"/>
  <c r="AO25" i="9"/>
  <c r="AQ25" i="9" s="1"/>
  <c r="AO30" i="9"/>
  <c r="AQ30" i="9" s="1"/>
  <c r="AO34" i="9"/>
  <c r="AQ34" i="9" s="1"/>
  <c r="AO38" i="9"/>
  <c r="AQ38" i="9" s="1"/>
  <c r="AO7" i="9"/>
  <c r="AQ7" i="9" s="1"/>
  <c r="AO11" i="9"/>
  <c r="AQ11" i="9" s="1"/>
  <c r="AO15" i="9"/>
  <c r="AQ15" i="9" s="1"/>
  <c r="AO19" i="9"/>
  <c r="AQ19" i="9" s="1"/>
  <c r="AO23" i="9"/>
  <c r="AQ23" i="9" s="1"/>
  <c r="AO27" i="9"/>
  <c r="AQ27" i="9" s="1"/>
  <c r="AO31" i="9"/>
  <c r="AQ31" i="9" s="1"/>
  <c r="AO35" i="9"/>
  <c r="AQ35" i="9" s="1"/>
  <c r="AO39" i="9"/>
  <c r="AQ39" i="9" s="1"/>
  <c r="O8" i="9"/>
  <c r="S8" i="9"/>
  <c r="U8" i="9" s="1"/>
  <c r="S27" i="9"/>
  <c r="U27" i="9" s="1"/>
  <c r="S19" i="9"/>
  <c r="U19" i="9" s="1"/>
  <c r="S11" i="9"/>
  <c r="U11" i="9" s="1"/>
  <c r="S37" i="9"/>
  <c r="U37" i="9" s="1"/>
  <c r="S12" i="9"/>
  <c r="U12" i="9" s="1"/>
  <c r="S31" i="9"/>
  <c r="U31" i="9" s="1"/>
  <c r="S23" i="9"/>
  <c r="U23" i="9" s="1"/>
  <c r="S15" i="9"/>
  <c r="U15" i="9" s="1"/>
  <c r="S32" i="9"/>
  <c r="U32" i="9" s="1"/>
  <c r="S20" i="9"/>
  <c r="U20" i="9" s="1"/>
  <c r="S39" i="9"/>
  <c r="U39" i="9" s="1"/>
  <c r="S25" i="9"/>
  <c r="U25" i="9" s="1"/>
  <c r="S40" i="9"/>
  <c r="U40" i="9" s="1"/>
  <c r="S24" i="9"/>
  <c r="U24" i="9" s="1"/>
  <c r="S5" i="9"/>
  <c r="U5" i="9" s="1"/>
  <c r="S9" i="9"/>
  <c r="U9" i="9" s="1"/>
  <c r="S6" i="9"/>
  <c r="U6" i="9" s="1"/>
  <c r="S10" i="9"/>
  <c r="U10" i="9" s="1"/>
  <c r="O9" i="9"/>
</calcChain>
</file>

<file path=xl/sharedStrings.xml><?xml version="1.0" encoding="utf-8"?>
<sst xmlns="http://schemas.openxmlformats.org/spreadsheetml/2006/main" count="287" uniqueCount="115">
  <si>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</si>
  <si>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</si>
  <si>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</si>
  <si>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</si>
  <si>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</si>
  <si>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</si>
  <si>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</si>
  <si>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</si>
  <si>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</si>
  <si>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</si>
  <si>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</si>
  <si>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</si>
  <si>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</si>
  <si>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</si>
  <si>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</si>
  <si>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</si>
  <si>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</si>
  <si>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</si>
  <si>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</si>
  <si>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</si>
  <si>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</si>
  <si>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</si>
  <si>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</si>
  <si>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</si>
  <si>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</si>
  <si>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</si>
  <si>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</si>
  <si>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</si>
  <si>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</si>
  <si>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</si>
  <si>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</si>
  <si>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Assessment:</t>
  </si>
  <si>
    <t>UD</t>
  </si>
  <si>
    <t>%</t>
  </si>
  <si>
    <t>SD</t>
  </si>
  <si>
    <t>Overall</t>
  </si>
  <si>
    <t>Description</t>
  </si>
  <si>
    <t>Data Cell</t>
  </si>
  <si>
    <t>Cell for inputing information</t>
  </si>
  <si>
    <t>Cell for inputing data.
Cell will turn white after data is inputted.</t>
  </si>
  <si>
    <t>[Mark]</t>
  </si>
  <si>
    <t>SU</t>
  </si>
  <si>
    <t>SHE</t>
  </si>
  <si>
    <t>PADI</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</si>
  <si>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</si>
  <si>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</si>
  <si>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</si>
  <si>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</si>
  <si>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</si>
  <si>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</si>
  <si>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</si>
  <si>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</si>
  <si>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</si>
  <si>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</si>
  <si>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Test 1</t>
  </si>
  <si>
    <t>Calc. Grade</t>
  </si>
  <si>
    <t>Adj. Grade</t>
  </si>
  <si>
    <t>Spelling Pre-Term 1</t>
  </si>
  <si>
    <t>Spelling</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</si>
  <si>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</si>
  <si>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</si>
  <si>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</si>
  <si>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</si>
  <si>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</si>
  <si>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</si>
  <si>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</si>
  <si>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</si>
  <si>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</si>
  <si>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</si>
  <si>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</si>
  <si>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</si>
  <si>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</si>
  <si>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</si>
  <si>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Y</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</si>
  <si>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</si>
  <si>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</si>
  <si>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</si>
  <si>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</si>
  <si>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</si>
  <si>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</si>
  <si>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</si>
  <si>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</si>
  <si>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</si>
  <si>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</si>
  <si>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</si>
  <si>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</si>
  <si>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</si>
  <si>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F</t>
  </si>
  <si>
    <t>G</t>
  </si>
  <si>
    <t>H</t>
  </si>
  <si>
    <t>I</t>
  </si>
  <si>
    <t>J</t>
  </si>
  <si>
    <t>K</t>
  </si>
  <si>
    <t>Created a symbol for the sorted function and added to the sheets, also hid the template sheet</t>
  </si>
  <si>
    <t>1.6.1</t>
  </si>
  <si>
    <t>M</t>
  </si>
  <si>
    <t>N</t>
  </si>
  <si>
    <t>O</t>
  </si>
  <si>
    <t>P</t>
  </si>
  <si>
    <t>L</t>
  </si>
  <si>
    <t>Q</t>
  </si>
  <si>
    <t>R</t>
  </si>
  <si>
    <t>S</t>
  </si>
  <si>
    <t>T</t>
  </si>
  <si>
    <t>U</t>
  </si>
  <si>
    <t>V</t>
  </si>
  <si>
    <t>W</t>
  </si>
  <si>
    <t>X</t>
  </si>
  <si>
    <t>Z</t>
  </si>
  <si>
    <t>AA</t>
  </si>
  <si>
    <t>BA</t>
  </si>
  <si>
    <t>CA</t>
  </si>
  <si>
    <t>DA</t>
  </si>
  <si>
    <t>EA</t>
  </si>
  <si>
    <t>FA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</si>
</sst>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s>
  <fills count="12">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rgb="FFE8AFFF"/>
        <bgColor indexed="64"/>
      </patternFill>
    </fill>
    <fill>
      <patternFill patternType="solid">
        <fgColor theme="5" tint="0.59999389629810485"/>
        <bgColor indexed="64"/>
      </patternFill>
    </fill>
  </fills>
  <borders count="94">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style="thin">
        <color indexed="64"/>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style="medium">
        <color indexed="64"/>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medium">
        <color indexed="64"/>
      </bottom>
      <diagonal/>
    </border>
    <border>
      <left style="medium">
        <color indexed="64"/>
      </left>
      <right style="medium">
        <color indexed="64"/>
      </right>
      <top/>
      <bottom/>
      <diagonal/>
    </border>
    <border>
      <left style="thin">
        <color rgb="FF7F7F7F"/>
      </left>
      <right/>
      <top style="medium">
        <color indexed="64"/>
      </top>
      <bottom/>
      <diagonal/>
    </border>
    <border>
      <left style="thin">
        <color theme="0" tint="-0.249977111117893"/>
      </left>
      <right style="medium">
        <color indexed="64"/>
      </right>
      <top style="thin">
        <color theme="0" tint="-0.249977111117893"/>
      </top>
      <bottom style="medium">
        <color indexed="64"/>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tint="-0.249977111117893"/>
      </left>
      <right/>
      <top style="thin">
        <color theme="0" tint="-0.249977111117893"/>
      </top>
      <bottom style="medium">
        <color indexed="64"/>
      </bottom>
      <diagonal/>
    </border>
    <border>
      <left style="thin">
        <color theme="0" tint="-0.249977111117893"/>
      </left>
      <right style="medium">
        <color indexed="64"/>
      </right>
      <top style="thin">
        <color indexed="64"/>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19">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0" fontId="0" fillId="0" borderId="40" xfId="0" applyBorder="1" applyAlignment="1"/>
    <xf numFmtId="9" fontId="0" fillId="0" borderId="0" xfId="4" applyFont="1" applyBorder="1"/>
    <xf numFmtId="0" fontId="4" fillId="0" borderId="18" xfId="0" applyFont="1" applyBorder="1" applyAlignment="1"/>
    <xf numFmtId="0" fontId="6" fillId="2" borderId="36" xfId="3" applyFont="1" applyBorder="1" applyAlignment="1"/>
    <xf numFmtId="0" fontId="6" fillId="2" borderId="37" xfId="3" applyFont="1" applyBorder="1" applyAlignment="1"/>
    <xf numFmtId="0" fontId="5" fillId="7" borderId="8" xfId="7" applyFill="1" applyBorder="1"/>
    <xf numFmtId="9" fontId="5" fillId="8" borderId="50" xfId="8" applyNumberFormat="1" applyFill="1" applyBorder="1" applyAlignment="1">
      <alignment horizontal="center" vertical="center"/>
    </xf>
    <xf numFmtId="0" fontId="5" fillId="8" borderId="50" xfId="8" applyFill="1" applyBorder="1" applyAlignment="1">
      <alignment horizontal="center" vertical="center"/>
    </xf>
    <xf numFmtId="0" fontId="5" fillId="4" borderId="43" xfId="6" applyBorder="1" applyAlignment="1">
      <alignment horizontal="center" vertical="center"/>
    </xf>
    <xf numFmtId="164" fontId="0" fillId="0" borderId="21" xfId="0" applyNumberFormat="1" applyFill="1" applyBorder="1" applyAlignment="1">
      <alignment horizontal="center" vertical="center"/>
    </xf>
    <xf numFmtId="164" fontId="0" fillId="0" borderId="0" xfId="0" applyNumberFormat="1" applyFill="1" applyBorder="1" applyAlignment="1">
      <alignment horizontal="center" vertical="center"/>
    </xf>
    <xf numFmtId="0" fontId="5" fillId="7" borderId="41" xfId="7" applyFill="1" applyBorder="1" applyAlignment="1">
      <alignment horizontal="center"/>
    </xf>
    <xf numFmtId="9" fontId="5" fillId="7" borderId="41" xfId="4" applyFill="1" applyBorder="1" applyAlignment="1">
      <alignment horizontal="center"/>
    </xf>
    <xf numFmtId="0" fontId="5" fillId="7" borderId="50" xfId="7" applyFill="1" applyBorder="1" applyAlignment="1">
      <alignment horizontal="center"/>
    </xf>
    <xf numFmtId="0" fontId="0" fillId="0" borderId="0" xfId="0"/>
    <xf numFmtId="0" fontId="5" fillId="4" borderId="54" xfId="6" applyBorder="1" applyAlignment="1">
      <alignment horizontal="center" vertical="center"/>
    </xf>
    <xf numFmtId="164" fontId="0" fillId="0" borderId="21" xfId="0" applyNumberFormat="1" applyFill="1" applyBorder="1" applyAlignment="1">
      <alignment vertical="center"/>
    </xf>
    <xf numFmtId="164" fontId="0" fillId="0" borderId="0" xfId="0" applyNumberFormat="1" applyFill="1" applyBorder="1" applyAlignment="1">
      <alignment vertical="center"/>
    </xf>
    <xf numFmtId="164" fontId="0" fillId="0" borderId="23" xfId="0" applyNumberFormat="1" applyFill="1" applyBorder="1" applyAlignment="1">
      <alignment vertical="center"/>
    </xf>
    <xf numFmtId="164" fontId="0" fillId="0" borderId="24" xfId="0" applyNumberFormat="1" applyFill="1" applyBorder="1" applyAlignment="1">
      <alignment vertical="center"/>
    </xf>
    <xf numFmtId="0" fontId="0" fillId="0" borderId="52" xfId="0" applyBorder="1"/>
    <xf numFmtId="164" fontId="5" fillId="8" borderId="42" xfId="8" applyNumberFormat="1" applyFill="1" applyBorder="1" applyAlignment="1">
      <alignment horizontal="center" vertical="center"/>
    </xf>
    <xf numFmtId="9" fontId="5" fillId="8" borderId="41" xfId="8" applyNumberFormat="1" applyFill="1" applyBorder="1" applyAlignment="1">
      <alignment horizontal="center" vertical="center"/>
    </xf>
    <xf numFmtId="0" fontId="5" fillId="8" borderId="41" xfId="8" applyFill="1" applyBorder="1" applyAlignment="1">
      <alignment horizontal="center" vertical="center"/>
    </xf>
    <xf numFmtId="0" fontId="5" fillId="8" borderId="55" xfId="8" applyFill="1" applyBorder="1" applyAlignment="1"/>
    <xf numFmtId="9" fontId="5" fillId="7" borderId="50" xfId="4" applyFill="1" applyBorder="1" applyAlignment="1">
      <alignment horizontal="center"/>
    </xf>
    <xf numFmtId="164" fontId="5" fillId="8" borderId="51" xfId="8" applyNumberFormat="1" applyFill="1" applyBorder="1" applyAlignment="1">
      <alignment horizontal="center" vertical="center"/>
    </xf>
    <xf numFmtId="0" fontId="4" fillId="7" borderId="44" xfId="7" applyFont="1" applyFill="1" applyBorder="1"/>
    <xf numFmtId="9" fontId="4" fillId="7" borderId="46" xfId="4" applyFont="1" applyFill="1" applyBorder="1"/>
    <xf numFmtId="0" fontId="4" fillId="7" borderId="45" xfId="7" applyFont="1" applyFill="1" applyBorder="1"/>
    <xf numFmtId="0" fontId="4" fillId="8" borderId="56" xfId="8" applyFont="1" applyFill="1" applyBorder="1"/>
    <xf numFmtId="9" fontId="4" fillId="8" borderId="46" xfId="8" applyNumberFormat="1" applyFont="1" applyFill="1" applyBorder="1"/>
    <xf numFmtId="0" fontId="4" fillId="8" borderId="57" xfId="8" applyFont="1" applyFill="1" applyBorder="1"/>
    <xf numFmtId="164" fontId="0" fillId="10" borderId="34" xfId="0" applyNumberFormat="1" applyFill="1" applyBorder="1" applyAlignment="1">
      <alignment horizontal="center" vertical="center"/>
    </xf>
    <xf numFmtId="0" fontId="3" fillId="2" borderId="52"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60" xfId="0" applyFont="1" applyFill="1" applyBorder="1" applyAlignment="1" applyProtection="1">
      <alignment horizontal="left" vertical="center"/>
      <protection locked="0"/>
    </xf>
    <xf numFmtId="0" fontId="4" fillId="3" borderId="61" xfId="0" applyFont="1" applyFill="1" applyBorder="1" applyAlignment="1" applyProtection="1">
      <alignment horizontal="left" vertical="center"/>
      <protection locked="0"/>
    </xf>
    <xf numFmtId="0" fontId="4" fillId="3" borderId="62"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protection locked="0"/>
    </xf>
    <xf numFmtId="14"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wrapText="1"/>
      <protection locked="0"/>
    </xf>
    <xf numFmtId="0" fontId="0" fillId="3" borderId="58" xfId="0" applyFill="1" applyBorder="1" applyAlignment="1" applyProtection="1">
      <alignment horizontal="left" vertical="center"/>
      <protection locked="0"/>
    </xf>
    <xf numFmtId="14" fontId="0" fillId="3" borderId="58" xfId="0" applyNumberFormat="1" applyFill="1" applyBorder="1" applyAlignment="1" applyProtection="1">
      <alignment horizontal="left" vertical="center"/>
      <protection locked="0"/>
    </xf>
    <xf numFmtId="0" fontId="0" fillId="3" borderId="58" xfId="0" applyFill="1" applyBorder="1" applyAlignment="1" applyProtection="1">
      <alignment horizontal="left" vertical="center" wrapText="1"/>
      <protection locked="0"/>
    </xf>
    <xf numFmtId="0" fontId="5" fillId="4" borderId="63" xfId="6" applyBorder="1" applyAlignment="1">
      <alignment horizontal="center" vertical="center"/>
    </xf>
    <xf numFmtId="0" fontId="5" fillId="4" borderId="50" xfId="6" applyBorder="1" applyAlignment="1">
      <alignment horizontal="center" vertical="center"/>
    </xf>
    <xf numFmtId="0" fontId="5" fillId="4" borderId="64" xfId="6" applyBorder="1" applyAlignment="1">
      <alignment horizontal="center" vertical="center"/>
    </xf>
    <xf numFmtId="0" fontId="5" fillId="4" borderId="65" xfId="6" applyBorder="1" applyAlignment="1">
      <alignment horizontal="center" vertical="center"/>
    </xf>
    <xf numFmtId="0" fontId="0" fillId="0" borderId="22" xfId="0" applyBorder="1"/>
    <xf numFmtId="0" fontId="0" fillId="0" borderId="49" xfId="0" applyBorder="1"/>
    <xf numFmtId="0" fontId="0" fillId="4" borderId="43" xfId="6" applyFont="1" applyBorder="1" applyAlignment="1">
      <alignment horizontal="center" vertical="center"/>
    </xf>
    <xf numFmtId="0" fontId="0" fillId="11" borderId="52" xfId="0" applyFill="1" applyBorder="1"/>
    <xf numFmtId="0" fontId="0" fillId="11" borderId="22" xfId="0" applyFill="1" applyBorder="1"/>
    <xf numFmtId="0" fontId="0" fillId="11" borderId="49" xfId="0" applyFill="1" applyBorder="1"/>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73"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3" fillId="2" borderId="3" xfId="3" applyBorder="1"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0" fontId="4" fillId="0" borderId="0" xfId="0" applyFont="1" applyAlignment="1">
      <alignment horizontal="center"/>
    </xf>
    <xf numFmtId="0" fontId="0" fillId="0" borderId="0" xfId="0" applyAlignment="1">
      <alignment horizontal="center" wrapText="1"/>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76"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58" xfId="0" applyNumberFormat="1" applyFill="1" applyBorder="1" applyAlignment="1" applyProtection="1">
      <alignment horizontal="left" vertical="center"/>
      <protection locked="0"/>
    </xf>
    <xf numFmtId="0" fontId="5" fillId="4" borderId="75" xfId="6" applyBorder="1" applyAlignment="1" applyProtection="1">
      <alignment horizontal="center" vertical="center"/>
    </xf>
    <xf numFmtId="0" fontId="4" fillId="0" borderId="18" xfId="0" applyFont="1" applyBorder="1" applyAlignment="1" applyProtection="1">
      <alignment horizontal="center"/>
    </xf>
    <xf numFmtId="0" fontId="9" fillId="11" borderId="52" xfId="0" applyFont="1" applyFill="1" applyBorder="1" applyAlignment="1" applyProtection="1">
      <alignment horizontal="center"/>
    </xf>
    <xf numFmtId="0" fontId="0" fillId="3" borderId="30" xfId="0" applyFill="1" applyBorder="1" applyAlignment="1">
      <alignment horizontal="center"/>
    </xf>
    <xf numFmtId="0" fontId="4" fillId="8" borderId="56"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1" borderId="49" xfId="0" applyFont="1" applyFill="1" applyBorder="1" applyAlignment="1" applyProtection="1">
      <alignment horizontal="center"/>
    </xf>
    <xf numFmtId="164" fontId="0" fillId="0" borderId="78" xfId="0" applyNumberFormat="1" applyFill="1" applyBorder="1" applyAlignment="1" applyProtection="1">
      <alignment horizontal="center" vertical="center"/>
    </xf>
    <xf numFmtId="164" fontId="0" fillId="0" borderId="79" xfId="0" applyNumberFormat="1" applyFill="1" applyBorder="1" applyAlignment="1" applyProtection="1">
      <alignment horizontal="center" vertical="center"/>
    </xf>
    <xf numFmtId="164" fontId="0" fillId="0" borderId="80" xfId="0" applyNumberFormat="1" applyFill="1" applyBorder="1" applyAlignment="1" applyProtection="1">
      <alignment horizontal="center" vertical="center"/>
    </xf>
    <xf numFmtId="0" fontId="4" fillId="7" borderId="82" xfId="7" applyFont="1" applyFill="1" applyBorder="1" applyAlignment="1" applyProtection="1">
      <alignment horizontal="center"/>
    </xf>
    <xf numFmtId="0" fontId="5" fillId="7" borderId="77" xfId="7" applyFill="1" applyBorder="1" applyAlignment="1" applyProtection="1">
      <alignment horizontal="center"/>
    </xf>
    <xf numFmtId="164" fontId="5" fillId="8" borderId="75" xfId="8" applyNumberFormat="1" applyFill="1" applyBorder="1" applyAlignment="1" applyProtection="1">
      <alignment horizontal="center" vertical="center"/>
    </xf>
    <xf numFmtId="0" fontId="5" fillId="7" borderId="84" xfId="7" applyFill="1" applyBorder="1" applyAlignment="1" applyProtection="1">
      <alignment horizontal="center"/>
    </xf>
    <xf numFmtId="164" fontId="5" fillId="8" borderId="85" xfId="8" applyNumberFormat="1" applyFill="1" applyBorder="1" applyAlignment="1" applyProtection="1">
      <alignment horizontal="center" vertical="center"/>
    </xf>
    <xf numFmtId="0" fontId="5" fillId="4" borderId="85" xfId="6" applyBorder="1" applyAlignment="1" applyProtection="1">
      <alignment horizontal="center" vertical="center"/>
    </xf>
    <xf numFmtId="0" fontId="5" fillId="4" borderId="86" xfId="6" applyBorder="1" applyAlignment="1" applyProtection="1">
      <alignment horizontal="center" vertical="center"/>
    </xf>
    <xf numFmtId="164" fontId="5" fillId="8" borderId="55" xfId="8" applyNumberFormat="1" applyFill="1" applyBorder="1" applyAlignment="1" applyProtection="1">
      <alignment horizontal="center" vertical="center"/>
    </xf>
    <xf numFmtId="164" fontId="5" fillId="8" borderId="87" xfId="8" applyNumberFormat="1" applyFill="1" applyBorder="1" applyAlignment="1" applyProtection="1">
      <alignment horizontal="center" vertical="center"/>
    </xf>
    <xf numFmtId="164" fontId="5" fillId="8" borderId="88" xfId="8" applyNumberFormat="1" applyFill="1" applyBorder="1" applyAlignment="1" applyProtection="1">
      <alignment horizontal="center" vertical="center"/>
    </xf>
    <xf numFmtId="0" fontId="5" fillId="4" borderId="87" xfId="6" applyBorder="1" applyAlignment="1" applyProtection="1">
      <alignment horizontal="center" vertical="center"/>
    </xf>
    <xf numFmtId="0" fontId="5" fillId="4" borderId="88" xfId="6" applyBorder="1" applyAlignment="1" applyProtection="1">
      <alignment horizontal="center" vertical="center"/>
    </xf>
    <xf numFmtId="9" fontId="5" fillId="7" borderId="77" xfId="4" applyFill="1" applyBorder="1" applyAlignment="1" applyProtection="1">
      <alignment horizontal="center"/>
    </xf>
    <xf numFmtId="9" fontId="5" fillId="7" borderId="84" xfId="4" applyFill="1" applyBorder="1" applyAlignment="1" applyProtection="1">
      <alignment horizontal="center"/>
    </xf>
    <xf numFmtId="9" fontId="5" fillId="8" borderId="75" xfId="4" applyFill="1" applyBorder="1" applyAlignment="1" applyProtection="1">
      <alignment horizontal="center" vertical="center"/>
    </xf>
    <xf numFmtId="9" fontId="5" fillId="8" borderId="85" xfId="4" applyFill="1" applyBorder="1" applyAlignment="1" applyProtection="1">
      <alignment horizontal="center" vertical="center"/>
    </xf>
    <xf numFmtId="0" fontId="6" fillId="2" borderId="35" xfId="3" applyFont="1" applyBorder="1" applyAlignment="1" applyProtection="1">
      <alignment vertical="center"/>
    </xf>
    <xf numFmtId="0" fontId="6" fillId="2" borderId="37" xfId="3" applyFont="1" applyBorder="1" applyAlignment="1" applyProtection="1">
      <alignment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89"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91" xfId="8" applyNumberFormat="1" applyFont="1" applyFill="1" applyBorder="1" applyAlignment="1" applyProtection="1">
      <alignment horizontal="center"/>
    </xf>
    <xf numFmtId="0" fontId="4" fillId="8" borderId="92" xfId="8" applyFont="1" applyFill="1" applyBorder="1" applyAlignment="1" applyProtection="1">
      <alignment horizontal="center"/>
    </xf>
    <xf numFmtId="164" fontId="0" fillId="0" borderId="93"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81" xfId="7" applyNumberFormat="1" applyFill="1" applyBorder="1" applyAlignment="1" applyProtection="1">
      <alignment horizontal="center"/>
    </xf>
    <xf numFmtId="164" fontId="5" fillId="7" borderId="83" xfId="7" applyNumberFormat="1" applyFill="1" applyBorder="1" applyAlignment="1" applyProtection="1">
      <alignment horizontal="center"/>
    </xf>
    <xf numFmtId="0" fontId="0" fillId="9" borderId="66" xfId="0" applyFill="1" applyBorder="1" applyAlignment="1">
      <alignment vertical="center"/>
    </xf>
    <xf numFmtId="0" fontId="0" fillId="9" borderId="52" xfId="0" applyFill="1" applyBorder="1" applyAlignment="1">
      <alignment vertical="center"/>
    </xf>
    <xf numFmtId="0" fontId="0" fillId="9" borderId="67" xfId="0" applyFill="1" applyBorder="1" applyAlignment="1">
      <alignment vertical="center"/>
    </xf>
    <xf numFmtId="0" fontId="0" fillId="0" borderId="68" xfId="0" applyBorder="1" applyAlignment="1">
      <alignment horizontal="center" wrapText="1"/>
    </xf>
    <xf numFmtId="0" fontId="0" fillId="0" borderId="33" xfId="0" applyBorder="1" applyAlignment="1">
      <alignment horizontal="center" wrapText="1"/>
    </xf>
    <xf numFmtId="0" fontId="0" fillId="0" borderId="69"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70" xfId="0" applyBorder="1" applyAlignment="1">
      <alignment horizontal="center" wrapText="1"/>
    </xf>
    <xf numFmtId="0" fontId="0" fillId="0" borderId="71" xfId="0" applyBorder="1" applyAlignment="1">
      <alignment horizontal="center" wrapText="1"/>
    </xf>
    <xf numFmtId="0" fontId="0" fillId="0" borderId="72" xfId="0" applyBorder="1" applyAlignment="1">
      <alignment horizontal="center" wrapText="1"/>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40" xfId="0" applyFont="1" applyBorder="1" applyAlignment="1">
      <alignment horizontal="center"/>
    </xf>
    <xf numFmtId="0" fontId="4" fillId="0" borderId="37" xfId="0" applyFont="1" applyBorder="1" applyAlignment="1">
      <alignment horizontal="center"/>
    </xf>
    <xf numFmtId="0" fontId="4" fillId="0" borderId="74"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2" fillId="0" borderId="35"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40" xfId="5" applyBorder="1" applyAlignment="1" applyProtection="1">
      <alignment horizontal="center"/>
    </xf>
    <xf numFmtId="0" fontId="2" fillId="0" borderId="37" xfId="5" applyBorder="1" applyAlignment="1" applyProtection="1">
      <alignment horizontal="center"/>
    </xf>
    <xf numFmtId="0" fontId="2" fillId="0" borderId="74" xfId="5" applyBorder="1" applyAlignment="1" applyProtection="1">
      <alignment horizontal="center"/>
    </xf>
    <xf numFmtId="0" fontId="4" fillId="7" borderId="90"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90" xfId="8" applyFont="1" applyBorder="1" applyAlignment="1" applyProtection="1">
      <alignment horizontal="center"/>
    </xf>
    <xf numFmtId="0" fontId="4" fillId="6" borderId="36" xfId="8" applyFont="1" applyBorder="1" applyAlignment="1" applyProtection="1">
      <alignment horizontal="center"/>
    </xf>
    <xf numFmtId="0" fontId="6" fillId="2" borderId="53" xfId="3" applyFont="1" applyBorder="1" applyAlignment="1">
      <alignment horizontal="center"/>
    </xf>
    <xf numFmtId="0" fontId="6" fillId="2" borderId="19" xfId="3" applyFont="1" applyBorder="1" applyAlignment="1">
      <alignment horizontal="center"/>
    </xf>
    <xf numFmtId="0" fontId="6" fillId="2" borderId="20" xfId="3" applyFont="1" applyBorder="1" applyAlignment="1">
      <alignment horizontal="center"/>
    </xf>
    <xf numFmtId="0" fontId="2" fillId="0" borderId="35" xfId="5" applyBorder="1" applyAlignment="1">
      <alignment horizontal="center"/>
    </xf>
    <xf numFmtId="0" fontId="2" fillId="0" borderId="37" xfId="5" applyBorder="1" applyAlignment="1">
      <alignment horizontal="center"/>
    </xf>
    <xf numFmtId="0" fontId="4" fillId="0" borderId="8" xfId="0" applyFont="1" applyFill="1" applyBorder="1" applyAlignment="1">
      <alignment horizontal="center" vertical="center"/>
    </xf>
    <xf numFmtId="0" fontId="4" fillId="0" borderId="39" xfId="0" applyFont="1" applyFill="1" applyBorder="1" applyAlignment="1">
      <alignment horizontal="center" vertical="center"/>
    </xf>
    <xf numFmtId="0" fontId="6" fillId="2" borderId="37" xfId="3" applyFont="1" applyBorder="1" applyAlignment="1">
      <alignment horizontal="center"/>
    </xf>
    <xf numFmtId="0" fontId="6" fillId="2" borderId="36" xfId="3" applyFont="1" applyBorder="1" applyAlignment="1">
      <alignment horizontal="center"/>
    </xf>
    <xf numFmtId="0" fontId="2" fillId="0" borderId="40" xfId="5" applyBorder="1" applyAlignment="1">
      <alignment horizontal="center"/>
    </xf>
    <xf numFmtId="0" fontId="2" fillId="0" borderId="36" xfId="5" applyBorder="1" applyAlignment="1">
      <alignment horizontal="center"/>
    </xf>
    <xf numFmtId="0" fontId="4" fillId="7" borderId="47" xfId="7" applyFont="1" applyFill="1" applyBorder="1"/>
    <xf numFmtId="0" fontId="4" fillId="7" borderId="48" xfId="7" applyFont="1" applyFill="1" applyBorder="1"/>
    <xf numFmtId="0" fontId="4" fillId="6" borderId="47" xfId="8" applyFont="1" applyBorder="1"/>
    <xf numFmtId="0" fontId="4" fillId="6" borderId="48" xfId="8" applyFont="1" applyBorder="1"/>
    <xf numFmtId="0" fontId="10" fillId="0" borderId="0" xfId="0" applyFont="1"/>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32">
    <dxf>
      <font>
        <strike/>
        <color theme="0" tint="-0.24994659260841701"/>
      </font>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font>
    </dxf>
    <dxf>
      <font>
        <strike val="0"/>
        <color theme="0"/>
      </font>
    </dxf>
    <dxf>
      <fill>
        <patternFill>
          <bgColor rgb="FFFFCCFF"/>
        </patternFill>
      </fill>
    </dxf>
    <dxf>
      <fill>
        <patternFill patternType="none">
          <bgColor auto="1"/>
        </patternFill>
      </fill>
    </dxf>
    <dxf>
      <font>
        <strike val="0"/>
        <color rgb="FFFF0000"/>
      </font>
      <fill>
        <patternFill>
          <bgColor rgb="FFFF9F9F"/>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FFCCFF"/>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19050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65844</xdr:colOff>
      <xdr:row>40</xdr:row>
      <xdr:rowOff>137586</xdr:rowOff>
    </xdr:from>
    <xdr:to>
      <xdr:col>0</xdr:col>
      <xdr:colOff>492484</xdr:colOff>
      <xdr:row>43</xdr:row>
      <xdr:rowOff>128475</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65844" y="7774151"/>
          <a:ext cx="426640" cy="562389"/>
        </a:xfrm>
        <a:prstGeom prst="rect">
          <a:avLst/>
        </a:prstGeom>
      </xdr:spPr>
    </xdr:pic>
    <xdr:clientData/>
  </xdr:twoCellAnchor>
  <xdr:twoCellAnchor editAs="oneCell">
    <xdr:from>
      <xdr:col>0</xdr:col>
      <xdr:colOff>545928</xdr:colOff>
      <xdr:row>40</xdr:row>
      <xdr:rowOff>141312</xdr:rowOff>
    </xdr:from>
    <xdr:to>
      <xdr:col>0</xdr:col>
      <xdr:colOff>970124</xdr:colOff>
      <xdr:row>43</xdr:row>
      <xdr:rowOff>124748</xdr:rowOff>
    </xdr:to>
    <xdr:pic macro="[0]!DeleteSelected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545928" y="7785125"/>
          <a:ext cx="424196" cy="554936"/>
        </a:xfrm>
        <a:prstGeom prst="rect">
          <a:avLst/>
        </a:prstGeom>
      </xdr:spPr>
    </xdr:pic>
    <xdr:clientData/>
  </xdr:twoCellAnchor>
  <xdr:twoCellAnchor editAs="oneCell">
    <xdr:from>
      <xdr:col>1</xdr:col>
      <xdr:colOff>10664</xdr:colOff>
      <xdr:row>40</xdr:row>
      <xdr:rowOff>131124</xdr:rowOff>
    </xdr:from>
    <xdr:to>
      <xdr:col>1</xdr:col>
      <xdr:colOff>433933</xdr:colOff>
      <xdr:row>43</xdr:row>
      <xdr:rowOff>123030</xdr:rowOff>
    </xdr:to>
    <xdr:pic macro="[0]!HideColumn">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1058414" y="7774937"/>
          <a:ext cx="423269" cy="563406"/>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29493"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130970</xdr:rowOff>
    </xdr:from>
    <xdr:to>
      <xdr:col>1</xdr:col>
      <xdr:colOff>928687</xdr:colOff>
      <xdr:row>43</xdr:row>
      <xdr:rowOff>116630</xdr:rowOff>
    </xdr:to>
    <xdr:pic macro="[0]!SortFunctionAscend">
      <xdr:nvPicPr>
        <xdr:cNvPr id="2" name="Picture 1">
          <a:extLst>
            <a:ext uri="{FF2B5EF4-FFF2-40B4-BE49-F238E27FC236}">
              <a16:creationId xmlns:a16="http://schemas.microsoft.com/office/drawing/2014/main" id="{2BDF6A02-EDA3-46BB-896C-38B4E2E2C700}"/>
            </a:ext>
          </a:extLst>
        </xdr:cNvPr>
        <xdr:cNvPicPr>
          <a:picLocks noChangeAspect="1"/>
        </xdr:cNvPicPr>
      </xdr:nvPicPr>
      <xdr:blipFill>
        <a:blip xmlns:r="http://schemas.openxmlformats.org/officeDocument/2006/relationships" r:embed="rId4"/>
        <a:stretch>
          <a:fillRect/>
        </a:stretch>
      </xdr:blipFill>
      <xdr:spPr>
        <a:xfrm>
          <a:off x="1553765" y="7774783"/>
          <a:ext cx="422672" cy="55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19050</xdr:rowOff>
        </xdr:to>
        <xdr:sp macro="" textlink="">
          <xdr:nvSpPr>
            <xdr:cNvPr id="22529" name="Group Box 1" hidden="1">
              <a:extLst>
                <a:ext uri="{63B3BB69-23CF-44E3-9099-C40C66FF867C}">
                  <a14:compatExt spid="_x0000_s22529"/>
                </a:ext>
                <a:ext uri="{FF2B5EF4-FFF2-40B4-BE49-F238E27FC236}">
                  <a16:creationId xmlns:a16="http://schemas.microsoft.com/office/drawing/2014/main" id="{54F453E7-7825-4C87-8D20-736C6E82C03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65844</xdr:colOff>
      <xdr:row>40</xdr:row>
      <xdr:rowOff>137586</xdr:rowOff>
    </xdr:from>
    <xdr:to>
      <xdr:col>0</xdr:col>
      <xdr:colOff>492484</xdr:colOff>
      <xdr:row>43</xdr:row>
      <xdr:rowOff>128475</xdr:rowOff>
    </xdr:to>
    <xdr:pic macro="[0]!AutoFitColumn">
      <xdr:nvPicPr>
        <xdr:cNvPr id="3" name="Picture 2">
          <a:extLst>
            <a:ext uri="{FF2B5EF4-FFF2-40B4-BE49-F238E27FC236}">
              <a16:creationId xmlns:a16="http://schemas.microsoft.com/office/drawing/2014/main" id="{FDAD1893-89A9-4468-A4AE-35DA865EE4AF}"/>
            </a:ext>
          </a:extLst>
        </xdr:cNvPr>
        <xdr:cNvPicPr>
          <a:picLocks noChangeAspect="1"/>
        </xdr:cNvPicPr>
      </xdr:nvPicPr>
      <xdr:blipFill>
        <a:blip xmlns:r="http://schemas.openxmlformats.org/officeDocument/2006/relationships" r:embed="rId1"/>
        <a:stretch>
          <a:fillRect/>
        </a:stretch>
      </xdr:blipFill>
      <xdr:spPr>
        <a:xfrm>
          <a:off x="65844" y="7776636"/>
          <a:ext cx="426640" cy="562389"/>
        </a:xfrm>
        <a:prstGeom prst="rect">
          <a:avLst/>
        </a:prstGeom>
      </xdr:spPr>
    </xdr:pic>
    <xdr:clientData/>
  </xdr:twoCellAnchor>
  <xdr:twoCellAnchor editAs="oneCell">
    <xdr:from>
      <xdr:col>0</xdr:col>
      <xdr:colOff>545928</xdr:colOff>
      <xdr:row>40</xdr:row>
      <xdr:rowOff>141312</xdr:rowOff>
    </xdr:from>
    <xdr:to>
      <xdr:col>0</xdr:col>
      <xdr:colOff>970124</xdr:colOff>
      <xdr:row>43</xdr:row>
      <xdr:rowOff>124748</xdr:rowOff>
    </xdr:to>
    <xdr:pic macro="[0]!DeleteSelectedColumns">
      <xdr:nvPicPr>
        <xdr:cNvPr id="4" name="Picture 3">
          <a:extLst>
            <a:ext uri="{FF2B5EF4-FFF2-40B4-BE49-F238E27FC236}">
              <a16:creationId xmlns:a16="http://schemas.microsoft.com/office/drawing/2014/main" id="{D2EB0564-26D0-4F39-99A5-47B19E82E599}"/>
            </a:ext>
          </a:extLst>
        </xdr:cNvPr>
        <xdr:cNvPicPr>
          <a:picLocks noChangeAspect="1"/>
        </xdr:cNvPicPr>
      </xdr:nvPicPr>
      <xdr:blipFill>
        <a:blip xmlns:r="http://schemas.openxmlformats.org/officeDocument/2006/relationships" r:embed="rId2"/>
        <a:stretch>
          <a:fillRect/>
        </a:stretch>
      </xdr:blipFill>
      <xdr:spPr>
        <a:xfrm>
          <a:off x="545928" y="7780362"/>
          <a:ext cx="424196" cy="554936"/>
        </a:xfrm>
        <a:prstGeom prst="rect">
          <a:avLst/>
        </a:prstGeom>
      </xdr:spPr>
    </xdr:pic>
    <xdr:clientData/>
  </xdr:twoCellAnchor>
  <xdr:twoCellAnchor editAs="oneCell">
    <xdr:from>
      <xdr:col>1</xdr:col>
      <xdr:colOff>10664</xdr:colOff>
      <xdr:row>40</xdr:row>
      <xdr:rowOff>131124</xdr:rowOff>
    </xdr:from>
    <xdr:to>
      <xdr:col>1</xdr:col>
      <xdr:colOff>433933</xdr:colOff>
      <xdr:row>43</xdr:row>
      <xdr:rowOff>123030</xdr:rowOff>
    </xdr:to>
    <xdr:pic macro="[0]!HideColumn">
      <xdr:nvPicPr>
        <xdr:cNvPr id="5" name="Picture 4">
          <a:extLst>
            <a:ext uri="{FF2B5EF4-FFF2-40B4-BE49-F238E27FC236}">
              <a16:creationId xmlns:a16="http://schemas.microsoft.com/office/drawing/2014/main" id="{FDC9F8DC-E73D-43A2-9F7A-A17F949C19DD}"/>
            </a:ext>
          </a:extLst>
        </xdr:cNvPr>
        <xdr:cNvPicPr>
          <a:picLocks noChangeAspect="1"/>
        </xdr:cNvPicPr>
      </xdr:nvPicPr>
      <xdr:blipFill>
        <a:blip xmlns:r="http://schemas.openxmlformats.org/officeDocument/2006/relationships" r:embed="rId3"/>
        <a:stretch>
          <a:fillRect/>
        </a:stretch>
      </xdr:blipFill>
      <xdr:spPr>
        <a:xfrm>
          <a:off x="1058414" y="7770174"/>
          <a:ext cx="423269" cy="563406"/>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6" name="Group 5">
          <a:extLst>
            <a:ext uri="{FF2B5EF4-FFF2-40B4-BE49-F238E27FC236}">
              <a16:creationId xmlns:a16="http://schemas.microsoft.com/office/drawing/2014/main" id="{418361BF-7365-49A2-8E32-12CD31768956}"/>
            </a:ext>
          </a:extLst>
        </xdr:cNvPr>
        <xdr:cNvGrpSpPr/>
      </xdr:nvGrpSpPr>
      <xdr:grpSpPr>
        <a:xfrm>
          <a:off x="1929493" y="376917"/>
          <a:ext cx="146127" cy="375560"/>
          <a:chOff x="4370613" y="2128157"/>
          <a:chExt cx="146127" cy="375560"/>
        </a:xfrm>
      </xdr:grpSpPr>
      <xdr:sp macro="[0]!AddAssessment" textlink="">
        <xdr:nvSpPr>
          <xdr:cNvPr id="7" name="Trapezoid 6">
            <a:extLst>
              <a:ext uri="{FF2B5EF4-FFF2-40B4-BE49-F238E27FC236}">
                <a16:creationId xmlns:a16="http://schemas.microsoft.com/office/drawing/2014/main" id="{CC4D40C3-0A2B-4A0A-ACA6-ECBC9D7CD4AF}"/>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8" name="Cross 7">
            <a:extLst>
              <a:ext uri="{FF2B5EF4-FFF2-40B4-BE49-F238E27FC236}">
                <a16:creationId xmlns:a16="http://schemas.microsoft.com/office/drawing/2014/main" id="{2BC5F877-F3FB-4B1A-AB6F-5F1440EF7EB5}"/>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9" name="Group 8">
          <a:extLst>
            <a:ext uri="{FF2B5EF4-FFF2-40B4-BE49-F238E27FC236}">
              <a16:creationId xmlns:a16="http://schemas.microsoft.com/office/drawing/2014/main" id="{EFF75F4F-BF09-4BD9-873F-42415E753A0B}"/>
            </a:ext>
          </a:extLst>
        </xdr:cNvPr>
        <xdr:cNvGrpSpPr/>
      </xdr:nvGrpSpPr>
      <xdr:grpSpPr>
        <a:xfrm>
          <a:off x="12247" y="376918"/>
          <a:ext cx="146127" cy="375560"/>
          <a:chOff x="4659085" y="2122715"/>
          <a:chExt cx="146127" cy="375560"/>
        </a:xfrm>
      </xdr:grpSpPr>
      <xdr:sp macro="[0]!DeleteLastAssess" textlink="">
        <xdr:nvSpPr>
          <xdr:cNvPr id="10" name="Trapezoid 9">
            <a:extLst>
              <a:ext uri="{FF2B5EF4-FFF2-40B4-BE49-F238E27FC236}">
                <a16:creationId xmlns:a16="http://schemas.microsoft.com/office/drawing/2014/main" id="{C465F3C1-6A1A-4BBF-BB01-8978AC04600C}"/>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11" name="Minus Sign 10">
            <a:extLst>
              <a:ext uri="{FF2B5EF4-FFF2-40B4-BE49-F238E27FC236}">
                <a16:creationId xmlns:a16="http://schemas.microsoft.com/office/drawing/2014/main" id="{1E48563A-C4FC-47B6-B00E-40096269DBA7}"/>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130970</xdr:rowOff>
    </xdr:from>
    <xdr:to>
      <xdr:col>1</xdr:col>
      <xdr:colOff>928687</xdr:colOff>
      <xdr:row>43</xdr:row>
      <xdr:rowOff>116630</xdr:rowOff>
    </xdr:to>
    <xdr:pic macro="[0]!SortFunctionAscend">
      <xdr:nvPicPr>
        <xdr:cNvPr id="12" name="Picture 11">
          <a:extLst>
            <a:ext uri="{FF2B5EF4-FFF2-40B4-BE49-F238E27FC236}">
              <a16:creationId xmlns:a16="http://schemas.microsoft.com/office/drawing/2014/main" id="{94A55D55-5FDC-494A-8A7D-1362404DDBE5}"/>
            </a:ext>
          </a:extLst>
        </xdr:cNvPr>
        <xdr:cNvPicPr>
          <a:picLocks noChangeAspect="1"/>
        </xdr:cNvPicPr>
      </xdr:nvPicPr>
      <xdr:blipFill>
        <a:blip xmlns:r="http://schemas.openxmlformats.org/officeDocument/2006/relationships" r:embed="rId4"/>
        <a:stretch>
          <a:fillRect/>
        </a:stretch>
      </xdr:blipFill>
      <xdr:spPr>
        <a:xfrm>
          <a:off x="1553765" y="7770020"/>
          <a:ext cx="422672" cy="5571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22</xdr:col>
      <xdr:colOff>33617</xdr:colOff>
      <xdr:row>0</xdr:row>
      <xdr:rowOff>56029</xdr:rowOff>
    </xdr:from>
    <xdr:ext cx="4078941" cy="7519147"/>
    <xdr:sp macro="" textlink="">
      <xdr:nvSpPr>
        <xdr:cNvPr id="74" name="TextBox 73">
          <a:extLst>
            <a:ext uri="{FF2B5EF4-FFF2-40B4-BE49-F238E27FC236}">
              <a16:creationId xmlns:a16="http://schemas.microsoft.com/office/drawing/2014/main" id="{00000000-0008-0000-0400-00004A000000}"/>
            </a:ext>
          </a:extLst>
        </xdr:cNvPr>
        <xdr:cNvSpPr txBox="1"/>
      </xdr:nvSpPr>
      <xdr:spPr>
        <a:xfrm>
          <a:off x="13122088" y="56029"/>
          <a:ext cx="4078941" cy="7519147"/>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4</xdr:col>
      <xdr:colOff>44822</xdr:colOff>
      <xdr:row>1</xdr:row>
      <xdr:rowOff>179294</xdr:rowOff>
    </xdr:from>
    <xdr:ext cx="1355913" cy="7182971"/>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2935940" y="369794"/>
          <a:ext cx="1355913" cy="7182971"/>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5" idx="0"/>
        </xdr:cNvCxnSpPr>
      </xdr:nvCxnSpPr>
      <xdr:spPr>
        <a:xfrm flipH="1" flipV="1">
          <a:off x="840441" y="762000"/>
          <a:ext cx="128951"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313764</xdr:colOff>
      <xdr:row>10</xdr:row>
      <xdr:rowOff>22412</xdr:rowOff>
    </xdr:from>
    <xdr:ext cx="1311256" cy="468077"/>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313764" y="1927412"/>
          <a:ext cx="1311256"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a:solidFill>
                <a:srgbClr val="FF0000"/>
              </a:solidFill>
            </a:rPr>
            <a:t>Mark Type</a:t>
          </a:r>
        </a:p>
        <a:p>
          <a:r>
            <a:rPr lang="en-AU" sz="1200">
              <a:solidFill>
                <a:srgbClr val="FF0000"/>
              </a:solidFill>
            </a:rPr>
            <a:t>PADI,</a:t>
          </a:r>
          <a:r>
            <a:rPr lang="en-AU" sz="1200" baseline="0">
              <a:solidFill>
                <a:srgbClr val="FF0000"/>
              </a:solidFill>
            </a:rPr>
            <a:t> SU, SHE etc.</a:t>
          </a:r>
          <a:endParaRPr lang="en-AU" sz="1200">
            <a:solidFill>
              <a:srgbClr val="FF0000"/>
            </a:solidFill>
          </a:endParaRPr>
        </a:p>
      </xdr:txBody>
    </xdr:sp>
    <xdr:clientData/>
  </xdr:oneCellAnchor>
  <xdr:twoCellAnchor>
    <xdr:from>
      <xdr:col>1</xdr:col>
      <xdr:colOff>224117</xdr:colOff>
      <xdr:row>3</xdr:row>
      <xdr:rowOff>22412</xdr:rowOff>
    </xdr:from>
    <xdr:to>
      <xdr:col>2</xdr:col>
      <xdr:colOff>644337</xdr:colOff>
      <xdr:row>12</xdr:row>
      <xdr:rowOff>156883</xdr:rowOff>
    </xdr:to>
    <xdr:cxnSp macro="">
      <xdr:nvCxnSpPr>
        <xdr:cNvPr id="16" name="Straight Arrow Connector 15">
          <a:extLst>
            <a:ext uri="{FF2B5EF4-FFF2-40B4-BE49-F238E27FC236}">
              <a16:creationId xmlns:a16="http://schemas.microsoft.com/office/drawing/2014/main" id="{00000000-0008-0000-0400-000010000000}"/>
            </a:ext>
          </a:extLst>
        </xdr:cNvPr>
        <xdr:cNvCxnSpPr>
          <a:stCxn id="18" idx="0"/>
        </xdr:cNvCxnSpPr>
      </xdr:nvCxnSpPr>
      <xdr:spPr>
        <a:xfrm flipH="1" flipV="1">
          <a:off x="1355911" y="593912"/>
          <a:ext cx="733985" cy="184897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190499</xdr:colOff>
      <xdr:row>12</xdr:row>
      <xdr:rowOff>156883</xdr:rowOff>
    </xdr:from>
    <xdr:ext cx="1535205" cy="468077"/>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2293" y="2442883"/>
          <a:ext cx="1535205"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Maximum Amount of</a:t>
          </a:r>
          <a:r>
            <a:rPr lang="en-AU" sz="1200" baseline="0">
              <a:solidFill>
                <a:srgbClr val="FF0000"/>
              </a:solidFill>
            </a:rPr>
            <a:t> </a:t>
          </a:r>
          <a:r>
            <a:rPr lang="en-AU" sz="1200">
              <a:solidFill>
                <a:srgbClr val="FF0000"/>
              </a:solidFill>
            </a:rPr>
            <a:t>Marks for</a:t>
          </a:r>
          <a:r>
            <a:rPr lang="en-AU" sz="1200" baseline="0">
              <a:solidFill>
                <a:srgbClr val="FF0000"/>
              </a:solidFill>
            </a:rPr>
            <a:t> the type</a:t>
          </a:r>
          <a:endParaRPr lang="en-AU" sz="1200">
            <a:solidFill>
              <a:srgbClr val="FF0000"/>
            </a:solidFill>
          </a:endParaRPr>
        </a:p>
      </xdr:txBody>
    </xdr:sp>
    <xdr:clientData/>
  </xdr:oneCellAnchor>
  <xdr:oneCellAnchor>
    <xdr:from>
      <xdr:col>4</xdr:col>
      <xdr:colOff>112059</xdr:colOff>
      <xdr:row>36</xdr:row>
      <xdr:rowOff>168088</xdr:rowOff>
    </xdr:from>
    <xdr:ext cx="1389530" cy="468077"/>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3003177" y="7026088"/>
          <a:ext cx="1389530"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a:t>
          </a:r>
          <a:endParaRPr lang="en-AU" sz="1200">
            <a:solidFill>
              <a:srgbClr val="FF0000"/>
            </a:solidFill>
          </a:endParaRPr>
        </a:p>
      </xdr:txBody>
    </xdr:sp>
    <xdr:clientData/>
  </xdr:oneCellAnchor>
  <xdr:oneCellAnchor>
    <xdr:from>
      <xdr:col>12</xdr:col>
      <xdr:colOff>22414</xdr:colOff>
      <xdr:row>1</xdr:row>
      <xdr:rowOff>22412</xdr:rowOff>
    </xdr:from>
    <xdr:ext cx="5591734" cy="7351059"/>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7250208" y="212912"/>
          <a:ext cx="5591734" cy="7351059"/>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14</xdr:col>
      <xdr:colOff>280147</xdr:colOff>
      <xdr:row>36</xdr:row>
      <xdr:rowOff>6917</xdr:rowOff>
    </xdr:from>
    <xdr:ext cx="2857500" cy="65594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8763000" y="6864917"/>
          <a:ext cx="2857500"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endParaRPr lang="en-AU" sz="1200">
            <a:solidFill>
              <a:srgbClr val="FF0000"/>
            </a:solidFill>
          </a:endParaRPr>
        </a:p>
      </xdr:txBody>
    </xdr:sp>
    <xdr:clientData/>
  </xdr:oneCellAnchor>
  <xdr:twoCellAnchor>
    <xdr:from>
      <xdr:col>6</xdr:col>
      <xdr:colOff>750798</xdr:colOff>
      <xdr:row>7</xdr:row>
      <xdr:rowOff>179297</xdr:rowOff>
    </xdr:from>
    <xdr:to>
      <xdr:col>7</xdr:col>
      <xdr:colOff>128867</xdr:colOff>
      <xdr:row>10</xdr:row>
      <xdr:rowOff>112059</xdr:rowOff>
    </xdr:to>
    <xdr:cxnSp macro="">
      <xdr:nvCxnSpPr>
        <xdr:cNvPr id="33" name="Straight Arrow Connector 32">
          <a:extLst>
            <a:ext uri="{FF2B5EF4-FFF2-40B4-BE49-F238E27FC236}">
              <a16:creationId xmlns:a16="http://schemas.microsoft.com/office/drawing/2014/main" id="{00000000-0008-0000-0400-000021000000}"/>
            </a:ext>
          </a:extLst>
        </xdr:cNvPr>
        <xdr:cNvCxnSpPr>
          <a:stCxn id="35" idx="0"/>
        </xdr:cNvCxnSpPr>
      </xdr:nvCxnSpPr>
      <xdr:spPr>
        <a:xfrm flipH="1" flipV="1">
          <a:off x="5087474" y="1512797"/>
          <a:ext cx="509864"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392206</xdr:colOff>
      <xdr:row>10</xdr:row>
      <xdr:rowOff>112059</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4728882" y="2017059"/>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needs to be inputted, will turn white once data inputted.</a:t>
          </a:r>
          <a:endParaRPr lang="en-AU" sz="1200">
            <a:solidFill>
              <a:srgbClr val="FF0000"/>
            </a:solidFill>
          </a:endParaRPr>
        </a:p>
      </xdr:txBody>
    </xdr:sp>
    <xdr:clientData/>
  </xdr:oneCellAnchor>
  <xdr:twoCellAnchor>
    <xdr:from>
      <xdr:col>7</xdr:col>
      <xdr:colOff>128867</xdr:colOff>
      <xdr:row>7</xdr:row>
      <xdr:rowOff>163609</xdr:rowOff>
    </xdr:from>
    <xdr:to>
      <xdr:col>8</xdr:col>
      <xdr:colOff>533402</xdr:colOff>
      <xdr:row>10</xdr:row>
      <xdr:rowOff>112059</xdr:rowOff>
    </xdr:to>
    <xdr:cxnSp macro="">
      <xdr:nvCxnSpPr>
        <xdr:cNvPr id="37" name="Straight Arrow Connector 36">
          <a:extLst>
            <a:ext uri="{FF2B5EF4-FFF2-40B4-BE49-F238E27FC236}">
              <a16:creationId xmlns:a16="http://schemas.microsoft.com/office/drawing/2014/main" id="{00000000-0008-0000-0400-000025000000}"/>
            </a:ext>
          </a:extLst>
        </xdr:cNvPr>
        <xdr:cNvCxnSpPr>
          <a:stCxn id="35" idx="0"/>
        </xdr:cNvCxnSpPr>
      </xdr:nvCxnSpPr>
      <xdr:spPr>
        <a:xfrm flipV="1">
          <a:off x="5597338" y="1497109"/>
          <a:ext cx="718299"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44823</xdr:colOff>
      <xdr:row>16</xdr:row>
      <xdr:rowOff>44824</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5513294" y="3092824"/>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twoCellAnchor>
    <xdr:from>
      <xdr:col>8</xdr:col>
      <xdr:colOff>599515</xdr:colOff>
      <xdr:row>9</xdr:row>
      <xdr:rowOff>22412</xdr:rowOff>
    </xdr:from>
    <xdr:to>
      <xdr:col>8</xdr:col>
      <xdr:colOff>661147</xdr:colOff>
      <xdr:row>16</xdr:row>
      <xdr:rowOff>44824</xdr:rowOff>
    </xdr:to>
    <xdr:cxnSp macro="">
      <xdr:nvCxnSpPr>
        <xdr:cNvPr id="42" name="Straight Arrow Connector 41">
          <a:extLst>
            <a:ext uri="{FF2B5EF4-FFF2-40B4-BE49-F238E27FC236}">
              <a16:creationId xmlns:a16="http://schemas.microsoft.com/office/drawing/2014/main" id="{00000000-0008-0000-0400-00002A000000}"/>
            </a:ext>
          </a:extLst>
        </xdr:cNvPr>
        <xdr:cNvCxnSpPr>
          <a:stCxn id="41" idx="0"/>
        </xdr:cNvCxnSpPr>
      </xdr:nvCxnSpPr>
      <xdr:spPr>
        <a:xfrm flipV="1">
          <a:off x="6381750" y="1736912"/>
          <a:ext cx="61632" cy="13559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70598</xdr:colOff>
      <xdr:row>3</xdr:row>
      <xdr:rowOff>100853</xdr:rowOff>
    </xdr:from>
    <xdr:to>
      <xdr:col>18</xdr:col>
      <xdr:colOff>100853</xdr:colOff>
      <xdr:row>14</xdr:row>
      <xdr:rowOff>62754</xdr:rowOff>
    </xdr:to>
    <xdr:cxnSp macro="">
      <xdr:nvCxnSpPr>
        <xdr:cNvPr id="45" name="Straight Arrow Connector 44">
          <a:extLst>
            <a:ext uri="{FF2B5EF4-FFF2-40B4-BE49-F238E27FC236}">
              <a16:creationId xmlns:a16="http://schemas.microsoft.com/office/drawing/2014/main" id="{00000000-0008-0000-0400-00002D000000}"/>
            </a:ext>
          </a:extLst>
        </xdr:cNvPr>
        <xdr:cNvCxnSpPr>
          <a:stCxn id="47" idx="0"/>
        </xdr:cNvCxnSpPr>
      </xdr:nvCxnSpPr>
      <xdr:spPr>
        <a:xfrm flipV="1">
          <a:off x="8553451" y="672353"/>
          <a:ext cx="2092137" cy="205740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414618</xdr:colOff>
      <xdr:row>14</xdr:row>
      <xdr:rowOff>62754</xdr:rowOff>
    </xdr:from>
    <xdr:ext cx="1822077" cy="1219565"/>
    <xdr:sp macro="" textlink="">
      <xdr:nvSpPr>
        <xdr:cNvPr id="47" name="TextBox 46">
          <a:extLst>
            <a:ext uri="{FF2B5EF4-FFF2-40B4-BE49-F238E27FC236}">
              <a16:creationId xmlns:a16="http://schemas.microsoft.com/office/drawing/2014/main" id="{00000000-0008-0000-0400-00002F000000}"/>
            </a:ext>
          </a:extLst>
        </xdr:cNvPr>
        <xdr:cNvSpPr txBox="1"/>
      </xdr:nvSpPr>
      <xdr:spPr>
        <a:xfrm>
          <a:off x="7642412" y="2729754"/>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Calculated grade will be displayed</a:t>
          </a:r>
          <a:r>
            <a:rPr lang="en-AU" sz="1200" baseline="0">
              <a:solidFill>
                <a:srgbClr val="FF0000"/>
              </a:solidFill>
            </a:rPr>
            <a:t> here, by default it is rounded down. If you wish to change this grade, look in the "Adj. Grade" column.</a:t>
          </a:r>
          <a:endParaRPr lang="en-AU" sz="1200">
            <a:solidFill>
              <a:srgbClr val="FF0000"/>
            </a:solidFill>
          </a:endParaRPr>
        </a:p>
      </xdr:txBody>
    </xdr:sp>
    <xdr:clientData/>
  </xdr:oneCellAnchor>
  <xdr:oneCellAnchor>
    <xdr:from>
      <xdr:col>12</xdr:col>
      <xdr:colOff>96369</xdr:colOff>
      <xdr:row>10</xdr:row>
      <xdr:rowOff>58272</xdr:rowOff>
    </xdr:from>
    <xdr:ext cx="1822077" cy="468077"/>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7324163" y="1963272"/>
          <a:ext cx="1822077"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Data is missing from the left</a:t>
          </a:r>
        </a:p>
      </xdr:txBody>
    </xdr:sp>
    <xdr:clientData/>
  </xdr:oneCellAnchor>
  <xdr:twoCellAnchor>
    <xdr:from>
      <xdr:col>13</xdr:col>
      <xdr:colOff>122143</xdr:colOff>
      <xdr:row>7</xdr:row>
      <xdr:rowOff>100853</xdr:rowOff>
    </xdr:from>
    <xdr:to>
      <xdr:col>15</xdr:col>
      <xdr:colOff>470647</xdr:colOff>
      <xdr:row>10</xdr:row>
      <xdr:rowOff>58272</xdr:rowOff>
    </xdr:to>
    <xdr:cxnSp macro="">
      <xdr:nvCxnSpPr>
        <xdr:cNvPr id="52" name="Straight Arrow Connector 51">
          <a:extLst>
            <a:ext uri="{FF2B5EF4-FFF2-40B4-BE49-F238E27FC236}">
              <a16:creationId xmlns:a16="http://schemas.microsoft.com/office/drawing/2014/main" id="{00000000-0008-0000-0400-000034000000}"/>
            </a:ext>
          </a:extLst>
        </xdr:cNvPr>
        <xdr:cNvCxnSpPr>
          <a:stCxn id="51" idx="0"/>
        </xdr:cNvCxnSpPr>
      </xdr:nvCxnSpPr>
      <xdr:spPr>
        <a:xfrm flipV="1">
          <a:off x="8235202" y="1434353"/>
          <a:ext cx="1132916" cy="528919"/>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851647</xdr:colOff>
      <xdr:row>0</xdr:row>
      <xdr:rowOff>156883</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2297206" y="156883"/>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67" name="Straight Arrow Connector 66">
          <a:extLst>
            <a:ext uri="{FF2B5EF4-FFF2-40B4-BE49-F238E27FC236}">
              <a16:creationId xmlns:a16="http://schemas.microsoft.com/office/drawing/2014/main" id="{00000000-0008-0000-0400-000043000000}"/>
            </a:ext>
          </a:extLst>
        </xdr:cNvPr>
        <xdr:cNvCxnSpPr/>
      </xdr:nvCxnSpPr>
      <xdr:spPr>
        <a:xfrm flipH="1" flipV="1">
          <a:off x="14563165" y="4762500"/>
          <a:ext cx="0"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750798</xdr:colOff>
      <xdr:row>7</xdr:row>
      <xdr:rowOff>179297</xdr:rowOff>
    </xdr:from>
    <xdr:to>
      <xdr:col>7</xdr:col>
      <xdr:colOff>128867</xdr:colOff>
      <xdr:row>10</xdr:row>
      <xdr:rowOff>112059</xdr:rowOff>
    </xdr:to>
    <xdr:cxnSp macro="">
      <xdr:nvCxnSpPr>
        <xdr:cNvPr id="68" name="Straight Arrow Connector 67">
          <a:extLst>
            <a:ext uri="{FF2B5EF4-FFF2-40B4-BE49-F238E27FC236}">
              <a16:creationId xmlns:a16="http://schemas.microsoft.com/office/drawing/2014/main" id="{00000000-0008-0000-0400-000044000000}"/>
            </a:ext>
          </a:extLst>
        </xdr:cNvPr>
        <xdr:cNvCxnSpPr/>
      </xdr:nvCxnSpPr>
      <xdr:spPr>
        <a:xfrm flipH="1" flipV="1">
          <a:off x="18189952" y="5513297"/>
          <a:ext cx="126062"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128867</xdr:colOff>
      <xdr:row>7</xdr:row>
      <xdr:rowOff>163609</xdr:rowOff>
    </xdr:from>
    <xdr:to>
      <xdr:col>8</xdr:col>
      <xdr:colOff>533402</xdr:colOff>
      <xdr:row>10</xdr:row>
      <xdr:rowOff>112059</xdr:rowOff>
    </xdr:to>
    <xdr:cxnSp macro="">
      <xdr:nvCxnSpPr>
        <xdr:cNvPr id="69" name="Straight Arrow Connector 68">
          <a:extLst>
            <a:ext uri="{FF2B5EF4-FFF2-40B4-BE49-F238E27FC236}">
              <a16:creationId xmlns:a16="http://schemas.microsoft.com/office/drawing/2014/main" id="{00000000-0008-0000-0400-000045000000}"/>
            </a:ext>
          </a:extLst>
        </xdr:cNvPr>
        <xdr:cNvCxnSpPr/>
      </xdr:nvCxnSpPr>
      <xdr:spPr>
        <a:xfrm flipV="1">
          <a:off x="18316014" y="5497609"/>
          <a:ext cx="1009653"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202827</xdr:colOff>
      <xdr:row>3</xdr:row>
      <xdr:rowOff>123265</xdr:rowOff>
    </xdr:from>
    <xdr:to>
      <xdr:col>19</xdr:col>
      <xdr:colOff>112058</xdr:colOff>
      <xdr:row>18</xdr:row>
      <xdr:rowOff>91887</xdr:rowOff>
    </xdr:to>
    <xdr:cxnSp macro="">
      <xdr:nvCxnSpPr>
        <xdr:cNvPr id="43" name="Straight Arrow Connector 42">
          <a:extLst>
            <a:ext uri="{FF2B5EF4-FFF2-40B4-BE49-F238E27FC236}">
              <a16:creationId xmlns:a16="http://schemas.microsoft.com/office/drawing/2014/main" id="{00000000-0008-0000-0400-00002B000000}"/>
            </a:ext>
          </a:extLst>
        </xdr:cNvPr>
        <xdr:cNvCxnSpPr>
          <a:stCxn id="44" idx="0"/>
        </xdr:cNvCxnSpPr>
      </xdr:nvCxnSpPr>
      <xdr:spPr>
        <a:xfrm flipV="1">
          <a:off x="10747562" y="694765"/>
          <a:ext cx="637614" cy="282612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694764</xdr:colOff>
      <xdr:row>18</xdr:row>
      <xdr:rowOff>91887</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9592235" y="3520887"/>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twoCellAnchor>
    <xdr:from>
      <xdr:col>20</xdr:col>
      <xdr:colOff>57149</xdr:colOff>
      <xdr:row>5</xdr:row>
      <xdr:rowOff>156882</xdr:rowOff>
    </xdr:from>
    <xdr:to>
      <xdr:col>20</xdr:col>
      <xdr:colOff>302559</xdr:colOff>
      <xdr:row>12</xdr:row>
      <xdr:rowOff>71715</xdr:rowOff>
    </xdr:to>
    <xdr:cxnSp macro="">
      <xdr:nvCxnSpPr>
        <xdr:cNvPr id="46" name="Straight Arrow Connector 45">
          <a:extLst>
            <a:ext uri="{FF2B5EF4-FFF2-40B4-BE49-F238E27FC236}">
              <a16:creationId xmlns:a16="http://schemas.microsoft.com/office/drawing/2014/main" id="{00000000-0008-0000-0400-00002E000000}"/>
            </a:ext>
          </a:extLst>
        </xdr:cNvPr>
        <xdr:cNvCxnSpPr>
          <a:stCxn id="48" idx="0"/>
        </xdr:cNvCxnSpPr>
      </xdr:nvCxnSpPr>
      <xdr:spPr>
        <a:xfrm flipV="1">
          <a:off x="12025031" y="1109382"/>
          <a:ext cx="245410" cy="1248333"/>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18</xdr:col>
      <xdr:colOff>569257</xdr:colOff>
      <xdr:row>12</xdr:row>
      <xdr:rowOff>71715</xdr:rowOff>
    </xdr:from>
    <xdr:ext cx="1822077" cy="1219565"/>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11113992" y="2357715"/>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AU" sz="1200" baseline="0">
              <a:solidFill>
                <a:srgbClr val="FF0000"/>
              </a:solidFill>
            </a:rPr>
            <a:t>Overall Grade will display either the Calculated Grade or the Adjusted Grade. </a:t>
          </a: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17</xdr:col>
      <xdr:colOff>93009</xdr:colOff>
      <xdr:row>9</xdr:row>
      <xdr:rowOff>156882</xdr:rowOff>
    </xdr:from>
    <xdr:to>
      <xdr:col>18</xdr:col>
      <xdr:colOff>212912</xdr:colOff>
      <xdr:row>11</xdr:row>
      <xdr:rowOff>62754</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V="1">
          <a:off x="10223127" y="1871382"/>
          <a:ext cx="534520" cy="28687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414617</xdr:colOff>
      <xdr:row>11</xdr:row>
      <xdr:rowOff>62754</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9312088" y="2158254"/>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22</xdr:col>
      <xdr:colOff>840440</xdr:colOff>
      <xdr:row>34</xdr:row>
      <xdr:rowOff>176493</xdr:rowOff>
    </xdr:from>
    <xdr:ext cx="2454088" cy="843821"/>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13946840" y="6653493"/>
          <a:ext cx="2454088"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2:</a:t>
          </a:r>
          <a:endParaRPr lang="en-AU" sz="1200">
            <a:solidFill>
              <a:schemeClr val="accent6"/>
            </a:solidFill>
          </a:endParaRPr>
        </a:p>
        <a:p>
          <a:r>
            <a:rPr lang="en-AU" sz="1200">
              <a:solidFill>
                <a:schemeClr val="accent6"/>
              </a:solidFill>
            </a:rPr>
            <a:t>You</a:t>
          </a:r>
          <a:r>
            <a:rPr lang="en-AU" sz="1200" baseline="0">
              <a:solidFill>
                <a:schemeClr val="accent6"/>
              </a:solidFill>
            </a:rPr>
            <a:t> can hide/unhide columns/rows you need. This is the same template as the left, but with hidden rows</a:t>
          </a:r>
          <a:endParaRPr lang="en-AU" sz="1200">
            <a:solidFill>
              <a:schemeClr val="accent6"/>
            </a:solidFill>
          </a:endParaRPr>
        </a:p>
      </xdr:txBody>
    </xdr:sp>
    <xdr:clientData/>
  </xdr:oneCellAnchor>
  <xdr:oneCellAnchor>
    <xdr:from>
      <xdr:col>0</xdr:col>
      <xdr:colOff>22413</xdr:colOff>
      <xdr:row>0</xdr:row>
      <xdr:rowOff>47625</xdr:rowOff>
    </xdr:from>
    <xdr:ext cx="13010028" cy="7546601"/>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22413" y="47625"/>
          <a:ext cx="13010028" cy="7546601"/>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6</xdr:col>
      <xdr:colOff>478490</xdr:colOff>
      <xdr:row>37</xdr:row>
      <xdr:rowOff>24093</xdr:rowOff>
    </xdr:from>
    <xdr:ext cx="2454088" cy="468077"/>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4821890" y="7072593"/>
          <a:ext cx="2454088"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1:</a:t>
          </a:r>
          <a:endParaRPr lang="en-AU" sz="1200">
            <a:solidFill>
              <a:schemeClr val="accent6"/>
            </a:solidFill>
          </a:endParaRPr>
        </a:p>
        <a:p>
          <a:r>
            <a:rPr lang="en-AU" sz="1200">
              <a:solidFill>
                <a:schemeClr val="accent6"/>
              </a:solidFill>
            </a:rPr>
            <a:t>Instructions</a:t>
          </a:r>
          <a:r>
            <a:rPr lang="en-AU" sz="1200" baseline="0">
              <a:solidFill>
                <a:schemeClr val="accent6"/>
              </a:solidFill>
            </a:rPr>
            <a:t> on how to use template</a:t>
          </a:r>
          <a:endParaRPr lang="en-AU" sz="1200">
            <a:solidFill>
              <a:schemeClr val="accent6"/>
            </a:solidFill>
          </a:endParaRPr>
        </a:p>
      </xdr:txBody>
    </xdr:sp>
    <xdr:clientData/>
  </xdr:oneCellAnchor>
  <xdr:oneCellAnchor>
    <xdr:from>
      <xdr:col>44</xdr:col>
      <xdr:colOff>401410</xdr:colOff>
      <xdr:row>0</xdr:row>
      <xdr:rowOff>168729</xdr:rowOff>
    </xdr:from>
    <xdr:ext cx="1177019" cy="843821"/>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17641660" y="168729"/>
          <a:ext cx="117701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Add another</a:t>
          </a:r>
          <a:r>
            <a:rPr lang="en-AU" sz="1200" baseline="0">
              <a:solidFill>
                <a:srgbClr val="FF0000"/>
              </a:solidFill>
            </a:rPr>
            <a:t> assessment to the end of the sheet</a:t>
          </a:r>
        </a:p>
      </xdr:txBody>
    </xdr:sp>
    <xdr:clientData/>
  </xdr:oneCellAnchor>
  <xdr:twoCellAnchor>
    <xdr:from>
      <xdr:col>44</xdr:col>
      <xdr:colOff>13607</xdr:colOff>
      <xdr:row>0</xdr:row>
      <xdr:rowOff>0</xdr:rowOff>
    </xdr:from>
    <xdr:to>
      <xdr:col>44</xdr:col>
      <xdr:colOff>309792</xdr:colOff>
      <xdr:row>40</xdr:row>
      <xdr:rowOff>10487</xdr:rowOff>
    </xdr:to>
    <xdr:grpSp>
      <xdr:nvGrpSpPr>
        <xdr:cNvPr id="49" name="Group 48">
          <a:extLst>
            <a:ext uri="{FF2B5EF4-FFF2-40B4-BE49-F238E27FC236}">
              <a16:creationId xmlns:a16="http://schemas.microsoft.com/office/drawing/2014/main" id="{00000000-0008-0000-0400-000031000000}"/>
            </a:ext>
          </a:extLst>
        </xdr:cNvPr>
        <xdr:cNvGrpSpPr/>
      </xdr:nvGrpSpPr>
      <xdr:grpSpPr>
        <a:xfrm>
          <a:off x="17253857" y="0"/>
          <a:ext cx="296185" cy="7644094"/>
          <a:chOff x="10069285" y="1"/>
          <a:chExt cx="291703" cy="7647215"/>
        </a:xfrm>
      </xdr:grpSpPr>
      <xdr:sp macro="" textlink="">
        <xdr:nvSpPr>
          <xdr:cNvPr id="55" name="Trapezoid 54">
            <a:extLst>
              <a:ext uri="{FF2B5EF4-FFF2-40B4-BE49-F238E27FC236}">
                <a16:creationId xmlns:a16="http://schemas.microsoft.com/office/drawing/2014/main" id="{00000000-0008-0000-0400-000037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6" name="Trapezoid 55">
            <a:extLst>
              <a:ext uri="{FF2B5EF4-FFF2-40B4-BE49-F238E27FC236}">
                <a16:creationId xmlns:a16="http://schemas.microsoft.com/office/drawing/2014/main" id="{00000000-0008-0000-0400-000038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8" name="Cross 57">
            <a:extLst>
              <a:ext uri="{FF2B5EF4-FFF2-40B4-BE49-F238E27FC236}">
                <a16:creationId xmlns:a16="http://schemas.microsoft.com/office/drawing/2014/main" id="{00000000-0008-0000-0400-00003A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44</xdr:col>
      <xdr:colOff>13607</xdr:colOff>
      <xdr:row>36</xdr:row>
      <xdr:rowOff>11206</xdr:rowOff>
    </xdr:from>
    <xdr:to>
      <xdr:col>44</xdr:col>
      <xdr:colOff>307124</xdr:colOff>
      <xdr:row>39</xdr:row>
      <xdr:rowOff>188535</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17253857" y="6869206"/>
          <a:ext cx="293517" cy="748829"/>
          <a:chOff x="2106706" y="6869492"/>
          <a:chExt cx="289035" cy="748829"/>
        </a:xfrm>
      </xdr:grpSpPr>
      <xdr:sp macro="" textlink="">
        <xdr:nvSpPr>
          <xdr:cNvPr id="61" name="Trapezoid 60">
            <a:extLst>
              <a:ext uri="{FF2B5EF4-FFF2-40B4-BE49-F238E27FC236}">
                <a16:creationId xmlns:a16="http://schemas.microsoft.com/office/drawing/2014/main" id="{00000000-0008-0000-0400-00003D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 textlink="">
        <xdr:nvSpPr>
          <xdr:cNvPr id="62" name="Minus Sign 61">
            <a:extLst>
              <a:ext uri="{FF2B5EF4-FFF2-40B4-BE49-F238E27FC236}">
                <a16:creationId xmlns:a16="http://schemas.microsoft.com/office/drawing/2014/main" id="{00000000-0008-0000-0400-00003E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oneCellAnchor>
    <xdr:from>
      <xdr:col>44</xdr:col>
      <xdr:colOff>390524</xdr:colOff>
      <xdr:row>36</xdr:row>
      <xdr:rowOff>21771</xdr:rowOff>
    </xdr:from>
    <xdr:ext cx="1323975" cy="843821"/>
    <xdr:sp macro="" textlink="">
      <xdr:nvSpPr>
        <xdr:cNvPr id="63" name="TextBox 62">
          <a:extLst>
            <a:ext uri="{FF2B5EF4-FFF2-40B4-BE49-F238E27FC236}">
              <a16:creationId xmlns:a16="http://schemas.microsoft.com/office/drawing/2014/main" id="{00000000-0008-0000-0400-00003F000000}"/>
            </a:ext>
          </a:extLst>
        </xdr:cNvPr>
        <xdr:cNvSpPr txBox="1"/>
      </xdr:nvSpPr>
      <xdr:spPr>
        <a:xfrm>
          <a:off x="17630774" y="6879771"/>
          <a:ext cx="1323975"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 the most Right assessment in the current sheet</a:t>
          </a:r>
        </a:p>
      </xdr:txBody>
    </xdr:sp>
    <xdr:clientData/>
  </xdr:oneCellAnchor>
  <xdr:oneCellAnchor>
    <xdr:from>
      <xdr:col>0</xdr:col>
      <xdr:colOff>1</xdr:colOff>
      <xdr:row>44</xdr:row>
      <xdr:rowOff>157842</xdr:rowOff>
    </xdr:from>
    <xdr:ext cx="1066799"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9367"/>
          <a:ext cx="1066799"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Automatically 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2</xdr:col>
          <xdr:colOff>714375</xdr:colOff>
          <xdr:row>44</xdr:row>
          <xdr:rowOff>190500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oneCellAnchor>
    <xdr:from>
      <xdr:col>0</xdr:col>
      <xdr:colOff>974272</xdr:colOff>
      <xdr:row>44</xdr:row>
      <xdr:rowOff>152399</xdr:rowOff>
    </xdr:from>
    <xdr:ext cx="749753" cy="1031693"/>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974272" y="8543924"/>
          <a:ext cx="74975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Deletes the Selected columns </a:t>
          </a:r>
        </a:p>
        <a:p>
          <a:endParaRPr lang="en-AU" sz="1200" baseline="0">
            <a:solidFill>
              <a:srgbClr val="FF0000"/>
            </a:solidFill>
          </a:endParaRPr>
        </a:p>
      </xdr:txBody>
    </xdr:sp>
    <xdr:clientData/>
  </xdr:oneCellAnchor>
  <xdr:oneCellAnchor>
    <xdr:from>
      <xdr:col>0</xdr:col>
      <xdr:colOff>137753</xdr:colOff>
      <xdr:row>40</xdr:row>
      <xdr:rowOff>75800</xdr:rowOff>
    </xdr:from>
    <xdr:ext cx="2152329" cy="1993846"/>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137753" y="7705325"/>
          <a:ext cx="2152329" cy="1993846"/>
        </a:xfrm>
        <a:prstGeom prst="rect">
          <a:avLst/>
        </a:prstGeom>
        <a:noFill/>
        <a:ln w="38100">
          <a:no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editAs="oneCell">
    <xdr:from>
      <xdr:col>0</xdr:col>
      <xdr:colOff>209550</xdr:colOff>
      <xdr:row>41</xdr:row>
      <xdr:rowOff>28575</xdr:rowOff>
    </xdr:from>
    <xdr:to>
      <xdr:col>0</xdr:col>
      <xdr:colOff>762000</xdr:colOff>
      <xdr:row>44</xdr:row>
      <xdr:rowOff>185305</xdr:rowOff>
    </xdr:to>
    <xdr:pic macro="[0]!AutoFitColumn">
      <xdr:nvPicPr>
        <xdr:cNvPr id="85" name="Picture 84">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twoCellAnchor editAs="oneCell">
    <xdr:from>
      <xdr:col>0</xdr:col>
      <xdr:colOff>885825</xdr:colOff>
      <xdr:row>41</xdr:row>
      <xdr:rowOff>41130</xdr:rowOff>
    </xdr:from>
    <xdr:to>
      <xdr:col>1</xdr:col>
      <xdr:colOff>295275</xdr:colOff>
      <xdr:row>44</xdr:row>
      <xdr:rowOff>185305</xdr:rowOff>
    </xdr:to>
    <xdr:pic macro="[0]!DeleteSelectedColumns">
      <xdr:nvPicPr>
        <xdr:cNvPr id="86" name="Picture 85">
          <a:extLst>
            <a:ext uri="{FF2B5EF4-FFF2-40B4-BE49-F238E27FC236}">
              <a16:creationId xmlns:a16="http://schemas.microsoft.com/office/drawing/2014/main" id="{00000000-0008-0000-0400-000056000000}"/>
            </a:ext>
          </a:extLst>
        </xdr:cNvPr>
        <xdr:cNvPicPr>
          <a:picLocks noChangeAspect="1"/>
        </xdr:cNvPicPr>
      </xdr:nvPicPr>
      <xdr:blipFill>
        <a:blip xmlns:r="http://schemas.openxmlformats.org/officeDocument/2006/relationships" r:embed="rId2"/>
        <a:stretch>
          <a:fillRect/>
        </a:stretch>
      </xdr:blipFill>
      <xdr:spPr>
        <a:xfrm>
          <a:off x="885825" y="7861155"/>
          <a:ext cx="542925" cy="715675"/>
        </a:xfrm>
        <a:prstGeom prst="rect">
          <a:avLst/>
        </a:prstGeom>
      </xdr:spPr>
    </xdr:pic>
    <xdr:clientData/>
  </xdr:twoCellAnchor>
  <xdr:twoCellAnchor editAs="oneCell">
    <xdr:from>
      <xdr:col>2</xdr:col>
      <xdr:colOff>104774</xdr:colOff>
      <xdr:row>41</xdr:row>
      <xdr:rowOff>41130</xdr:rowOff>
    </xdr:from>
    <xdr:to>
      <xdr:col>2</xdr:col>
      <xdr:colOff>647699</xdr:colOff>
      <xdr:row>44</xdr:row>
      <xdr:rowOff>185305</xdr:rowOff>
    </xdr:to>
    <xdr:pic macro="[0]!HideColumn">
      <xdr:nvPicPr>
        <xdr:cNvPr id="87" name="Picture 86">
          <a:extLst>
            <a:ext uri="{FF2B5EF4-FFF2-40B4-BE49-F238E27FC236}">
              <a16:creationId xmlns:a16="http://schemas.microsoft.com/office/drawing/2014/main" id="{00000000-0008-0000-0400-000057000000}"/>
            </a:ext>
          </a:extLst>
        </xdr:cNvPr>
        <xdr:cNvPicPr>
          <a:picLocks noChangeAspect="1"/>
        </xdr:cNvPicPr>
      </xdr:nvPicPr>
      <xdr:blipFill>
        <a:blip xmlns:r="http://schemas.openxmlformats.org/officeDocument/2006/relationships" r:embed="rId3"/>
        <a:stretch>
          <a:fillRect/>
        </a:stretch>
      </xdr:blipFill>
      <xdr:spPr>
        <a:xfrm>
          <a:off x="1552574" y="7861155"/>
          <a:ext cx="542925" cy="715675"/>
        </a:xfrm>
        <a:prstGeom prst="rect">
          <a:avLst/>
        </a:prstGeom>
      </xdr:spPr>
    </xdr:pic>
    <xdr:clientData/>
  </xdr:twoCellAnchor>
  <xdr:oneCellAnchor>
    <xdr:from>
      <xdr:col>2</xdr:col>
      <xdr:colOff>161925</xdr:colOff>
      <xdr:row>44</xdr:row>
      <xdr:rowOff>161925</xdr:rowOff>
    </xdr:from>
    <xdr:ext cx="1031421" cy="843821"/>
    <xdr:sp macro="" textlink="">
      <xdr:nvSpPr>
        <xdr:cNvPr id="91" name="TextBox 90">
          <a:extLst>
            <a:ext uri="{FF2B5EF4-FFF2-40B4-BE49-F238E27FC236}">
              <a16:creationId xmlns:a16="http://schemas.microsoft.com/office/drawing/2014/main" id="{00000000-0008-0000-0400-00005B000000}"/>
            </a:ext>
          </a:extLst>
        </xdr:cNvPr>
        <xdr:cNvSpPr txBox="1"/>
      </xdr:nvSpPr>
      <xdr:spPr>
        <a:xfrm>
          <a:off x="1609725" y="8553450"/>
          <a:ext cx="1031421"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Show/Hide selected columns</a:t>
          </a:r>
        </a:p>
        <a:p>
          <a:endParaRPr lang="en-AU" sz="1200" baseline="0">
            <a:solidFill>
              <a:srgbClr val="FF0000"/>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31">
  <autoFilter ref="A1:C18" xr:uid="{498E8186-74A7-4E6E-AE4A-D794E9C8B595}"/>
  <tableColumns count="3">
    <tableColumn id="1" xr3:uid="{5861E389-9F05-4056-B978-22BEA3DA1355}" name="Score" dataDxfId="30" dataCellStyle="Percent"/>
    <tableColumn id="2" xr3:uid="{9526CEDD-EB3F-43D3-A6D9-A4B81BDDC393}" name="Grade" dataDxfId="29"/>
    <tableColumn id="3" xr3:uid="{63910571-226F-4D3A-AE65-3CF97BD66F23}" name="Points" dataDxfId="28"/>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6"/>
  <sheetViews>
    <sheetView zoomScaleNormal="100" workbookViewId="0">
      <selection activeCell="E10" sqref="E10"/>
    </sheetView>
  </sheetViews>
  <sheetFormatPr defaultRowHeight="15" x14ac:dyDescent="0.25"/>
  <cols>
    <col min="1" max="1" width="9.140625" style="52"/>
    <col min="2" max="2" width="4.7109375" style="52" customWidth="1"/>
    <col min="3" max="5" width="15.7109375" style="52" customWidth="1"/>
    <col min="6" max="6" width="4.7109375" style="52" customWidth="1"/>
    <col min="7" max="7" width="3.7109375" style="52" customWidth="1"/>
    <col min="8" max="12" width="9.140625" style="52"/>
    <col min="13" max="13" width="12.140625" style="52" customWidth="1"/>
    <col min="14" max="14" width="11.140625" style="52" bestFit="1" customWidth="1"/>
    <col min="15" max="16384" width="9.140625" style="52"/>
  </cols>
  <sheetData>
    <row r="1" spans="2:11" ht="15.75" thickBot="1" x14ac:dyDescent="0.3">
      <c r="B1" s="53"/>
      <c r="C1" s="53"/>
      <c r="D1" s="53"/>
      <c r="E1" s="53"/>
      <c r="F1" s="53"/>
      <c r="H1" s="53"/>
      <c r="I1" s="53"/>
      <c r="J1" s="53"/>
      <c r="K1" s="53"/>
    </row>
    <row r="2" spans="2:11" x14ac:dyDescent="0.25">
      <c r="B2" s="166"/>
      <c r="C2" s="167"/>
      <c r="D2" s="167"/>
      <c r="E2" s="167"/>
      <c r="F2" s="168"/>
      <c r="H2" s="171"/>
      <c r="I2" s="171"/>
      <c r="J2" s="171"/>
      <c r="K2" s="171"/>
    </row>
    <row r="3" spans="2:11" ht="20.25" customHeight="1" thickBot="1" x14ac:dyDescent="0.35">
      <c r="B3" s="10"/>
      <c r="C3" s="181" t="s">
        <v>26</v>
      </c>
      <c r="D3" s="181"/>
      <c r="E3" s="181"/>
      <c r="F3" s="11"/>
      <c r="H3" s="57"/>
      <c r="I3" s="57"/>
      <c r="J3" s="57"/>
      <c r="K3" s="57"/>
    </row>
    <row r="4" spans="2:11" ht="15.75" thickTop="1" x14ac:dyDescent="0.25">
      <c r="B4" s="10"/>
      <c r="C4" s="13" t="s">
        <v>30</v>
      </c>
      <c r="D4" s="62">
        <v>7</v>
      </c>
      <c r="E4" s="63" t="s">
        <v>16</v>
      </c>
      <c r="F4" s="11"/>
      <c r="H4" s="57"/>
      <c r="I4" s="57"/>
      <c r="J4" s="57"/>
      <c r="K4" s="57"/>
    </row>
    <row r="5" spans="2:11" x14ac:dyDescent="0.25">
      <c r="B5" s="10"/>
      <c r="C5" s="14" t="s">
        <v>24</v>
      </c>
      <c r="D5" s="175" t="s">
        <v>75</v>
      </c>
      <c r="E5" s="176"/>
      <c r="F5" s="11"/>
      <c r="H5" s="57"/>
      <c r="I5" s="57"/>
      <c r="J5" s="57"/>
      <c r="K5" s="57"/>
    </row>
    <row r="6" spans="2:11" x14ac:dyDescent="0.25">
      <c r="B6" s="10"/>
      <c r="C6" s="14" t="s">
        <v>29</v>
      </c>
      <c r="D6" s="177">
        <v>2018</v>
      </c>
      <c r="E6" s="178"/>
      <c r="F6" s="11"/>
      <c r="H6" s="57"/>
      <c r="I6" s="57"/>
      <c r="J6" s="57"/>
      <c r="K6" s="57"/>
    </row>
    <row r="7" spans="2:11" x14ac:dyDescent="0.25">
      <c r="B7" s="10"/>
      <c r="C7" s="14" t="s">
        <v>25</v>
      </c>
      <c r="D7" s="179" t="s">
        <v>76</v>
      </c>
      <c r="E7" s="180"/>
      <c r="F7" s="11"/>
      <c r="H7" s="57"/>
      <c r="I7" s="57"/>
      <c r="J7" s="57"/>
      <c r="K7" s="57"/>
    </row>
    <row r="8" spans="2:11" x14ac:dyDescent="0.25">
      <c r="B8" s="10"/>
      <c r="C8" s="172" t="s">
        <v>22</v>
      </c>
      <c r="D8" s="173"/>
      <c r="E8" s="174"/>
      <c r="F8" s="11"/>
      <c r="H8" s="57"/>
      <c r="I8" s="57"/>
      <c r="J8" s="57"/>
      <c r="K8" s="57"/>
    </row>
    <row r="9" spans="2:11" x14ac:dyDescent="0.25">
      <c r="B9" s="10"/>
      <c r="C9" s="15" t="s">
        <v>19</v>
      </c>
      <c r="D9" s="15" t="s">
        <v>20</v>
      </c>
      <c r="E9" s="12" t="s">
        <v>23</v>
      </c>
      <c r="F9" s="11"/>
      <c r="H9" s="57"/>
      <c r="I9" s="57"/>
      <c r="J9" s="57"/>
      <c r="K9" s="57"/>
    </row>
    <row r="10" spans="2:11" x14ac:dyDescent="0.25">
      <c r="B10" s="10"/>
      <c r="C10" s="111" t="s">
        <v>16</v>
      </c>
      <c r="D10" s="112"/>
      <c r="E10" s="111"/>
      <c r="F10" s="11"/>
      <c r="H10" s="57"/>
      <c r="I10" s="57"/>
      <c r="J10" s="57"/>
      <c r="K10" s="57"/>
    </row>
    <row r="11" spans="2:11" x14ac:dyDescent="0.25">
      <c r="B11" s="10"/>
      <c r="C11" s="111" t="s">
        <v>13</v>
      </c>
      <c r="D11" s="112"/>
      <c r="E11" s="111"/>
      <c r="F11" s="11"/>
      <c r="H11" s="57"/>
      <c r="I11" s="57"/>
      <c r="J11" s="57"/>
      <c r="K11" s="57"/>
    </row>
    <row r="12" spans="2:11" x14ac:dyDescent="0.25">
      <c r="B12" s="10"/>
      <c r="C12" s="111" t="s">
        <v>10</v>
      </c>
      <c r="D12" s="112"/>
      <c r="E12" s="111"/>
      <c r="F12" s="11"/>
      <c r="H12" s="57"/>
      <c r="I12" s="57"/>
      <c r="J12" s="57"/>
      <c r="K12" s="57"/>
    </row>
    <row r="13" spans="2:11" x14ac:dyDescent="0.25">
      <c r="B13" s="10"/>
      <c r="C13" s="111" t="s">
        <v>7</v>
      </c>
      <c r="D13" s="112"/>
      <c r="E13" s="111"/>
      <c r="F13" s="11"/>
      <c r="H13" s="57"/>
      <c r="I13" s="57"/>
      <c r="J13" s="57"/>
      <c r="K13" s="57"/>
    </row>
    <row r="14" spans="2:11" x14ac:dyDescent="0.25">
      <c r="B14" s="10"/>
      <c r="C14" s="111" t="s">
        <v>4</v>
      </c>
      <c r="D14" s="112"/>
      <c r="E14" s="111"/>
      <c r="F14" s="11"/>
      <c r="H14" s="57"/>
      <c r="I14" s="57"/>
      <c r="J14" s="57"/>
      <c r="K14" s="57"/>
    </row>
    <row r="15" spans="2:11" x14ac:dyDescent="0.25">
      <c r="B15" s="10"/>
      <c r="C15" s="111" t="s">
        <v>87</v>
      </c>
      <c r="D15" s="112"/>
      <c r="E15" s="111"/>
      <c r="F15" s="11"/>
      <c r="H15" s="57"/>
      <c r="I15" s="57"/>
      <c r="J15" s="57"/>
      <c r="K15" s="57"/>
    </row>
    <row r="16" spans="2:11" x14ac:dyDescent="0.25">
      <c r="B16" s="10"/>
      <c r="C16" s="111" t="s">
        <v>88</v>
      </c>
      <c r="D16" s="112"/>
      <c r="E16" s="111"/>
      <c r="F16" s="11"/>
      <c r="H16" s="57"/>
      <c r="I16" s="57"/>
      <c r="J16" s="57"/>
      <c r="K16" s="57"/>
    </row>
    <row r="17" spans="2:11" x14ac:dyDescent="0.25">
      <c r="B17" s="10"/>
      <c r="C17" s="111" t="s">
        <v>89</v>
      </c>
      <c r="D17" s="112"/>
      <c r="E17" s="111"/>
      <c r="F17" s="11"/>
      <c r="H17" s="57"/>
      <c r="I17" s="57"/>
      <c r="J17" s="57"/>
      <c r="K17" s="57"/>
    </row>
    <row r="18" spans="2:11" x14ac:dyDescent="0.25">
      <c r="B18" s="10"/>
      <c r="C18" s="111" t="s">
        <v>90</v>
      </c>
      <c r="D18" s="112"/>
      <c r="E18" s="111"/>
      <c r="F18" s="11"/>
      <c r="H18" s="57"/>
      <c r="I18" s="57"/>
      <c r="J18" s="57"/>
      <c r="K18" s="57"/>
    </row>
    <row r="19" spans="2:11" x14ac:dyDescent="0.25">
      <c r="B19" s="10"/>
      <c r="C19" s="111" t="s">
        <v>91</v>
      </c>
      <c r="D19" s="112"/>
      <c r="E19" s="111"/>
      <c r="F19" s="11"/>
      <c r="H19" s="57"/>
      <c r="I19" s="57"/>
      <c r="J19" s="57"/>
      <c r="K19" s="57"/>
    </row>
    <row r="20" spans="2:11" x14ac:dyDescent="0.25">
      <c r="B20" s="10"/>
      <c r="C20" s="111" t="s">
        <v>92</v>
      </c>
      <c r="D20" s="112"/>
      <c r="E20" s="111"/>
      <c r="F20" s="11"/>
      <c r="H20" s="57"/>
      <c r="I20" s="57"/>
      <c r="J20" s="57"/>
      <c r="K20" s="57"/>
    </row>
    <row r="21" spans="2:11" x14ac:dyDescent="0.25">
      <c r="B21" s="10"/>
      <c r="C21" s="111" t="s">
        <v>99</v>
      </c>
      <c r="D21" s="112"/>
      <c r="E21" s="111"/>
      <c r="F21" s="11"/>
      <c r="H21" s="57"/>
      <c r="I21" s="57"/>
      <c r="J21" s="57"/>
      <c r="K21" s="57"/>
    </row>
    <row r="22" spans="2:11" x14ac:dyDescent="0.25">
      <c r="B22" s="10"/>
      <c r="C22" s="111" t="s">
        <v>95</v>
      </c>
      <c r="D22" s="112"/>
      <c r="E22" s="111"/>
      <c r="F22" s="11"/>
      <c r="H22" s="57"/>
      <c r="I22" s="57"/>
      <c r="J22" s="57"/>
      <c r="K22" s="57"/>
    </row>
    <row r="23" spans="2:11" x14ac:dyDescent="0.25">
      <c r="B23" s="10"/>
      <c r="C23" s="111" t="s">
        <v>96</v>
      </c>
      <c r="D23" s="112"/>
      <c r="E23" s="111"/>
      <c r="F23" s="11"/>
      <c r="H23" s="57"/>
      <c r="I23" s="57"/>
      <c r="J23" s="57"/>
      <c r="K23" s="57"/>
    </row>
    <row r="24" spans="2:11" x14ac:dyDescent="0.25">
      <c r="B24" s="10"/>
      <c r="C24" s="111" t="s">
        <v>97</v>
      </c>
      <c r="D24" s="112"/>
      <c r="E24" s="111"/>
      <c r="F24" s="11"/>
      <c r="H24" s="57"/>
      <c r="I24" s="57"/>
      <c r="J24" s="57"/>
      <c r="K24" s="57"/>
    </row>
    <row r="25" spans="2:11" x14ac:dyDescent="0.25">
      <c r="B25" s="10"/>
      <c r="C25" s="111" t="s">
        <v>98</v>
      </c>
      <c r="D25" s="112"/>
      <c r="E25" s="111"/>
      <c r="F25" s="11"/>
      <c r="H25" s="90"/>
      <c r="I25" s="170"/>
      <c r="J25" s="170"/>
      <c r="K25" s="170"/>
    </row>
    <row r="26" spans="2:11" x14ac:dyDescent="0.25">
      <c r="B26" s="10"/>
      <c r="C26" s="111" t="s">
        <v>100</v>
      </c>
      <c r="D26" s="112"/>
      <c r="E26" s="111"/>
      <c r="F26" s="11"/>
      <c r="H26" s="91"/>
      <c r="I26" s="171"/>
      <c r="J26" s="171"/>
      <c r="K26" s="171"/>
    </row>
    <row r="27" spans="2:11" ht="15" customHeight="1" x14ac:dyDescent="0.25">
      <c r="B27" s="10"/>
      <c r="C27" s="111" t="s">
        <v>101</v>
      </c>
      <c r="D27" s="112"/>
      <c r="E27" s="111"/>
      <c r="F27" s="11"/>
      <c r="H27" s="169"/>
      <c r="I27" s="89"/>
      <c r="J27" s="89"/>
      <c r="K27" s="89"/>
    </row>
    <row r="28" spans="2:11" x14ac:dyDescent="0.25">
      <c r="B28" s="10"/>
      <c r="C28" s="111" t="s">
        <v>102</v>
      </c>
      <c r="D28" s="112"/>
      <c r="E28" s="111"/>
      <c r="F28" s="11"/>
      <c r="H28" s="169"/>
      <c r="I28" s="89"/>
      <c r="J28" s="89"/>
      <c r="K28" s="89"/>
    </row>
    <row r="29" spans="2:11" x14ac:dyDescent="0.25">
      <c r="B29" s="10"/>
      <c r="C29" s="111" t="s">
        <v>103</v>
      </c>
      <c r="D29" s="112"/>
      <c r="E29" s="111"/>
      <c r="F29" s="11"/>
      <c r="H29" s="169"/>
      <c r="I29" s="89"/>
      <c r="J29" s="89"/>
      <c r="K29" s="89"/>
    </row>
    <row r="30" spans="2:11" x14ac:dyDescent="0.25">
      <c r="B30" s="10"/>
      <c r="C30" s="111" t="s">
        <v>104</v>
      </c>
      <c r="D30" s="112"/>
      <c r="E30" s="111"/>
      <c r="F30" s="11"/>
      <c r="H30" s="57"/>
      <c r="I30" s="57"/>
      <c r="J30" s="57"/>
      <c r="K30" s="57"/>
    </row>
    <row r="31" spans="2:11" x14ac:dyDescent="0.25">
      <c r="B31" s="10"/>
      <c r="C31" s="111" t="s">
        <v>105</v>
      </c>
      <c r="D31" s="112"/>
      <c r="E31" s="111"/>
      <c r="F31" s="11"/>
      <c r="H31" s="57"/>
      <c r="I31" s="57"/>
      <c r="J31" s="57"/>
      <c r="K31" s="57"/>
    </row>
    <row r="32" spans="2:11" x14ac:dyDescent="0.25">
      <c r="B32" s="10"/>
      <c r="C32" s="111" t="s">
        <v>106</v>
      </c>
      <c r="D32" s="112"/>
      <c r="E32" s="111"/>
      <c r="F32" s="11"/>
    </row>
    <row r="33" spans="2:11" x14ac:dyDescent="0.25">
      <c r="B33" s="10"/>
      <c r="C33" s="111" t="s">
        <v>107</v>
      </c>
      <c r="D33" s="112"/>
      <c r="E33" s="111"/>
      <c r="F33" s="11"/>
      <c r="H33" s="92" t="s">
        <v>27</v>
      </c>
      <c r="I33" s="182" t="s">
        <v>36</v>
      </c>
      <c r="J33" s="183"/>
      <c r="K33" s="184"/>
    </row>
    <row r="34" spans="2:11" ht="15.75" customHeight="1" x14ac:dyDescent="0.25">
      <c r="B34" s="10"/>
      <c r="C34" s="111" t="s">
        <v>73</v>
      </c>
      <c r="D34" s="112"/>
      <c r="E34" s="111"/>
      <c r="F34" s="11"/>
      <c r="H34" s="51" t="s">
        <v>28</v>
      </c>
      <c r="I34" s="185" t="s">
        <v>38</v>
      </c>
      <c r="J34" s="186"/>
      <c r="K34" s="187"/>
    </row>
    <row r="35" spans="2:11" x14ac:dyDescent="0.25">
      <c r="B35" s="10"/>
      <c r="C35" s="60" t="s">
        <v>108</v>
      </c>
      <c r="D35" s="93"/>
      <c r="E35" s="60"/>
      <c r="F35" s="11"/>
      <c r="H35" s="154" t="s">
        <v>37</v>
      </c>
      <c r="I35" s="157" t="s">
        <v>39</v>
      </c>
      <c r="J35" s="158"/>
      <c r="K35" s="159"/>
    </row>
    <row r="36" spans="2:11" x14ac:dyDescent="0.25">
      <c r="B36" s="10"/>
      <c r="C36" s="95" t="s">
        <v>109</v>
      </c>
      <c r="D36" s="61"/>
      <c r="E36" s="60"/>
      <c r="F36" s="11"/>
      <c r="H36" s="155"/>
      <c r="I36" s="160"/>
      <c r="J36" s="161"/>
      <c r="K36" s="162"/>
    </row>
    <row r="37" spans="2:11" x14ac:dyDescent="0.25">
      <c r="B37" s="10"/>
      <c r="C37" s="94" t="s">
        <v>110</v>
      </c>
      <c r="D37" s="94"/>
      <c r="E37" s="60"/>
      <c r="F37" s="11"/>
      <c r="H37" s="156"/>
      <c r="I37" s="163"/>
      <c r="J37" s="164"/>
      <c r="K37" s="165"/>
    </row>
    <row r="38" spans="2:11" x14ac:dyDescent="0.25">
      <c r="B38" s="10"/>
      <c r="C38" s="94" t="s">
        <v>111</v>
      </c>
      <c r="D38" s="94"/>
      <c r="E38" s="60"/>
      <c r="F38" s="11"/>
      <c r="H38" s="57"/>
      <c r="I38" s="57"/>
      <c r="J38" s="57"/>
      <c r="K38" s="57"/>
    </row>
    <row r="39" spans="2:11" x14ac:dyDescent="0.25">
      <c r="B39" s="10"/>
      <c r="C39" s="94" t="s">
        <v>112</v>
      </c>
      <c r="D39" s="94"/>
      <c r="E39" s="60"/>
      <c r="F39" s="11"/>
      <c r="H39" s="57"/>
      <c r="I39" s="57"/>
      <c r="J39" s="57"/>
      <c r="K39" s="57"/>
    </row>
    <row r="40" spans="2:11" x14ac:dyDescent="0.25">
      <c r="B40" s="10"/>
      <c r="C40" s="94" t="s">
        <v>113</v>
      </c>
      <c r="D40" s="94"/>
      <c r="E40" s="60"/>
      <c r="F40" s="11"/>
      <c r="H40" s="57"/>
      <c r="I40" s="57"/>
      <c r="J40" s="57"/>
      <c r="K40" s="57"/>
    </row>
    <row r="41" spans="2:11" x14ac:dyDescent="0.25">
      <c r="B41" s="10"/>
      <c r="C41" s="94" t="s">
        <v>114</v>
      </c>
      <c r="D41" s="94"/>
      <c r="E41" s="60"/>
      <c r="F41" s="11"/>
      <c r="H41" s="57"/>
      <c r="I41" s="57"/>
      <c r="J41" s="57"/>
      <c r="K41" s="57"/>
    </row>
    <row r="42" spans="2:11" x14ac:dyDescent="0.25">
      <c r="B42" s="10"/>
      <c r="C42" s="94"/>
      <c r="D42" s="94"/>
      <c r="E42" s="60"/>
      <c r="F42" s="11"/>
    </row>
    <row r="43" spans="2:11" x14ac:dyDescent="0.25">
      <c r="B43" s="10"/>
      <c r="C43" s="94"/>
      <c r="D43" s="94"/>
      <c r="E43" s="60"/>
      <c r="F43" s="11"/>
    </row>
    <row r="44" spans="2:11" x14ac:dyDescent="0.25">
      <c r="B44" s="10"/>
      <c r="C44" s="94"/>
      <c r="D44" s="94"/>
      <c r="E44" s="60"/>
      <c r="F44" s="11"/>
    </row>
    <row r="45" spans="2:11" x14ac:dyDescent="0.25">
      <c r="B45" s="10"/>
      <c r="C45" s="94"/>
      <c r="D45" s="94"/>
      <c r="E45" s="60"/>
      <c r="F45" s="11"/>
    </row>
    <row r="46" spans="2:11" ht="15.75" thickBot="1" x14ac:dyDescent="0.3">
      <c r="B46" s="96"/>
      <c r="C46" s="97"/>
      <c r="D46" s="97"/>
      <c r="E46" s="97"/>
      <c r="F46" s="98"/>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X40"/>
  <sheetViews>
    <sheetView zoomScaleNormal="100" workbookViewId="0">
      <pane xSplit="2" ySplit="4" topLeftCell="C5" activePane="bottomRight" state="frozenSplit"/>
      <selection pane="topRight" activeCell="AE1" sqref="AE1"/>
      <selection pane="bottomLeft" activeCell="A23" sqref="A23"/>
      <selection pane="bottomRight" activeCell="E24" sqref="E24"/>
    </sheetView>
  </sheetViews>
  <sheetFormatPr defaultRowHeight="15" x14ac:dyDescent="0.25"/>
  <cols>
    <col min="1" max="2" width="15.7109375" style="103" customWidth="1"/>
    <col min="3" max="3" width="7.5703125" style="104" bestFit="1" customWidth="1"/>
    <col min="4" max="14" width="8" style="104" bestFit="1" customWidth="1"/>
    <col min="15" max="15" width="10.5703125" style="104" bestFit="1" customWidth="1"/>
    <col min="16" max="16" width="2.5703125" style="104" bestFit="1" customWidth="1"/>
    <col min="17" max="17" width="6.42578125" style="104" bestFit="1" customWidth="1"/>
    <col min="18" max="18" width="10.140625" style="104" bestFit="1" customWidth="1"/>
    <col min="19" max="19" width="2.5703125" style="104" bestFit="1" customWidth="1"/>
    <col min="20" max="20" width="6.42578125" style="104" bestFit="1" customWidth="1"/>
    <col min="21" max="21" width="11" style="104" bestFit="1" customWidth="1"/>
    <col min="22" max="22" width="10.42578125" style="104" bestFit="1" customWidth="1"/>
    <col min="23" max="23" width="13.42578125" style="104" bestFit="1" customWidth="1"/>
    <col min="24" max="24" width="1.7109375" style="104" bestFit="1" customWidth="1"/>
    <col min="25" max="16384" width="9.140625" style="104"/>
  </cols>
  <sheetData>
    <row r="1" spans="1:24" s="102" customFormat="1" x14ac:dyDescent="0.25">
      <c r="A1" s="188" t="str">
        <f>_xlfn.CONCAT("Year ",ClassInformation!D4,ClassInformation!E4," ",ClassInformation!D5," - ","Semester 2 ",ClassInformation!D6)</f>
        <v>Year 7A [Subject] - Semester 2 2018</v>
      </c>
      <c r="B1" s="189"/>
      <c r="C1" s="115" t="s">
        <v>74</v>
      </c>
      <c r="D1" s="194"/>
      <c r="E1" s="194"/>
      <c r="F1" s="194"/>
      <c r="G1" s="194"/>
      <c r="H1" s="194"/>
      <c r="I1" s="194"/>
      <c r="J1" s="194"/>
      <c r="K1" s="194"/>
      <c r="L1" s="194"/>
      <c r="M1" s="194"/>
      <c r="N1" s="194"/>
      <c r="O1" s="194"/>
      <c r="P1" s="194"/>
      <c r="Q1" s="194"/>
      <c r="R1" s="194"/>
      <c r="S1" s="194"/>
      <c r="T1" s="194"/>
      <c r="U1" s="194"/>
      <c r="V1" s="194"/>
      <c r="W1" s="194"/>
      <c r="X1" s="195"/>
    </row>
    <row r="2" spans="1:24" s="102" customFormat="1" x14ac:dyDescent="0.25">
      <c r="A2" s="188"/>
      <c r="B2" s="189"/>
      <c r="C2" s="196" t="s">
        <v>32</v>
      </c>
      <c r="D2" s="197"/>
      <c r="E2" s="197"/>
      <c r="F2" s="197"/>
      <c r="G2" s="197"/>
      <c r="H2" s="192" t="s">
        <v>34</v>
      </c>
      <c r="I2" s="197"/>
      <c r="J2" s="197"/>
      <c r="K2" s="197"/>
      <c r="L2" s="197"/>
      <c r="M2" s="192" t="s">
        <v>86</v>
      </c>
      <c r="N2" s="193"/>
      <c r="O2" s="192" t="s">
        <v>35</v>
      </c>
      <c r="P2" s="197"/>
      <c r="Q2" s="197"/>
      <c r="R2" s="197"/>
      <c r="S2" s="197"/>
      <c r="T2" s="197"/>
      <c r="U2" s="197"/>
      <c r="V2" s="197"/>
      <c r="W2" s="198"/>
      <c r="X2" s="116" t="s">
        <v>18</v>
      </c>
    </row>
    <row r="3" spans="1:24" s="102" customFormat="1" x14ac:dyDescent="0.25">
      <c r="A3" s="190" t="s">
        <v>21</v>
      </c>
      <c r="B3" s="191"/>
      <c r="C3" s="143" t="s">
        <v>83</v>
      </c>
      <c r="D3" s="143" t="s">
        <v>82</v>
      </c>
      <c r="E3" s="143" t="s">
        <v>82</v>
      </c>
      <c r="F3" s="143" t="s">
        <v>82</v>
      </c>
      <c r="G3" s="143" t="s">
        <v>82</v>
      </c>
      <c r="H3" s="143" t="s">
        <v>82</v>
      </c>
      <c r="I3" s="143" t="s">
        <v>82</v>
      </c>
      <c r="J3" s="143" t="s">
        <v>82</v>
      </c>
      <c r="K3" s="143" t="s">
        <v>82</v>
      </c>
      <c r="L3" s="143" t="s">
        <v>82</v>
      </c>
      <c r="M3" s="143" t="s">
        <v>82</v>
      </c>
      <c r="N3" s="143" t="s">
        <v>82</v>
      </c>
      <c r="O3" s="142" t="str">
        <f>_xlfn.TEXTJOIN(" ",TRUE,"Max",C2,":")</f>
        <v>Max UD :</v>
      </c>
      <c r="P3" s="199">
        <f>IF(OR(C4="-",D4="-",E4="-",F4="-",G4="-"),"-",SUM(C4,D4,E4,F4,G4))</f>
        <v>0</v>
      </c>
      <c r="Q3" s="200"/>
      <c r="R3" s="142" t="str">
        <f>_xlfn.TEXTJOIN(" ",TRUE,"Max",H2,":")</f>
        <v>Max SD :</v>
      </c>
      <c r="S3" s="201">
        <f>IF(OR(H4="-",I4="-",J4="-",K4="-",L4="-"),"-",SUM(H4,I4,J4,K4,L4))</f>
        <v>0</v>
      </c>
      <c r="T3" s="202"/>
      <c r="U3" s="117"/>
      <c r="V3" s="117"/>
      <c r="W3" s="117"/>
      <c r="X3" s="116" t="s">
        <v>18</v>
      </c>
    </row>
    <row r="4" spans="1:24" s="102" customFormat="1" ht="15.75" thickBot="1" x14ac:dyDescent="0.3">
      <c r="A4" s="151" t="str">
        <f>ClassInformation!C9</f>
        <v>Last Name</v>
      </c>
      <c r="B4" s="99" t="str">
        <f>ClassInformation!D9</f>
        <v>First Name</v>
      </c>
      <c r="C4" s="141"/>
      <c r="D4" s="140"/>
      <c r="E4" s="140"/>
      <c r="F4" s="140"/>
      <c r="G4" s="140"/>
      <c r="H4" s="140"/>
      <c r="I4" s="140"/>
      <c r="J4" s="140"/>
      <c r="K4" s="140"/>
      <c r="L4" s="140"/>
      <c r="M4" s="140"/>
      <c r="N4" s="140"/>
      <c r="O4" s="124" t="str">
        <f>_xlfn.TEXTJOIN(" ",TRUE,O2,C2)</f>
        <v>Overall UD</v>
      </c>
      <c r="P4" s="144" t="s">
        <v>33</v>
      </c>
      <c r="Q4" s="145" t="s">
        <v>1</v>
      </c>
      <c r="R4" s="118" t="str">
        <f>_xlfn.TEXTJOIN(" ",TRUE,O2,H2)</f>
        <v>Overall SD</v>
      </c>
      <c r="S4" s="146" t="s">
        <v>33</v>
      </c>
      <c r="T4" s="147" t="s">
        <v>1</v>
      </c>
      <c r="U4" s="119" t="s">
        <v>55</v>
      </c>
      <c r="V4" s="119" t="s">
        <v>56</v>
      </c>
      <c r="W4" s="119" t="s">
        <v>81</v>
      </c>
      <c r="X4" s="116" t="s">
        <v>18</v>
      </c>
    </row>
    <row r="5" spans="1:24" s="59" customFormat="1" x14ac:dyDescent="0.25">
      <c r="A5" s="100" t="str">
        <f>IF(ISBLANK(ClassInformation!C10),"ZZZZZ",ClassInformation!C10)</f>
        <v>A</v>
      </c>
      <c r="B5" s="101" t="str">
        <f>IF(ISBLANK(ClassInformation!D10),"ZZZZZ",ClassInformation!D10)</f>
        <v>ZZZZZ</v>
      </c>
      <c r="C5" s="110"/>
      <c r="D5" s="110"/>
      <c r="E5" s="110"/>
      <c r="F5" s="110"/>
      <c r="G5" s="110"/>
      <c r="H5" s="121"/>
      <c r="I5" s="110"/>
      <c r="J5" s="110"/>
      <c r="K5" s="110"/>
      <c r="L5" s="110"/>
      <c r="M5" s="121"/>
      <c r="N5" s="110"/>
      <c r="O5" s="152" t="str">
        <f>IF(COUNTIF(C5:G5,"*-*")&gt;0,"-",IF(COUNTBLANK(C5:G5)=5,"",IF(P$3="-","-",SUM(C5:G5))))</f>
        <v/>
      </c>
      <c r="P5" s="136" t="str">
        <f>IF(O5="","",IF(O5="-","-",O5/P$3))</f>
        <v/>
      </c>
      <c r="Q5" s="125" t="str">
        <f>IF(P5="","",VLOOKUP(P5,Table1[],2,TRUE))</f>
        <v/>
      </c>
      <c r="R5" s="131" t="str">
        <f>IF(COUNTIF(H5:L5,"*-*")&gt;0,"-",IF(COUNTBLANK(H5:L5)=5,"",IF(S$3="-","-",SUM(H5:L5))))</f>
        <v/>
      </c>
      <c r="S5" s="138" t="str">
        <f>IF(R5="","",IF(R5="-", "-",R5/S$3))</f>
        <v/>
      </c>
      <c r="T5" s="126" t="str">
        <f>IF(S5="","",VLOOKUP(S5,Table1[],2,TRUE))</f>
        <v/>
      </c>
      <c r="U5" s="134" t="str">
        <f>IF(AND(P5="",S5=""),"",IF(OR(P5="-",S5="-"),"-",IF(AND(P$3&lt;&gt;0,S$3&lt;&gt;0),VLOOKUP(AVERAGE(P5,S5),Table1[],2,TRUE),IF(AND(P$3&lt;&gt;0,S$3=0),Q5,T5))))</f>
        <v/>
      </c>
      <c r="V5" s="114"/>
      <c r="W5" s="114" t="str">
        <f>IF(ISBLANK(V5),U5,V5)</f>
        <v/>
      </c>
      <c r="X5" s="116" t="s">
        <v>18</v>
      </c>
    </row>
    <row r="6" spans="1:24" s="59" customFormat="1" x14ac:dyDescent="0.25">
      <c r="A6" s="100" t="str">
        <f>IF(ISBLANK(ClassInformation!C36),"ZZZZZ",ClassInformation!C36)</f>
        <v>AA</v>
      </c>
      <c r="B6" s="101" t="str">
        <f>IF(ISBLANK(ClassInformation!D36),"ZZZZZ",ClassInformation!D36)</f>
        <v>ZZZZZ</v>
      </c>
      <c r="C6" s="110"/>
      <c r="D6" s="110"/>
      <c r="E6" s="110"/>
      <c r="F6" s="110"/>
      <c r="G6" s="110"/>
      <c r="H6" s="121"/>
      <c r="I6" s="110"/>
      <c r="J6" s="110"/>
      <c r="K6" s="110"/>
      <c r="L6" s="110"/>
      <c r="M6" s="121"/>
      <c r="N6" s="110"/>
      <c r="O6" s="152" t="str">
        <f>IF(COUNTIF(C6:G6,"*-*")&gt;0,"-",IF(COUNTBLANK(C6:G6)=5,"",IF(P$3="-","-",SUM(C6:G6))))</f>
        <v/>
      </c>
      <c r="P6" s="136" t="str">
        <f>IF(O6="","",IF(O6="-","-",O6/P$3))</f>
        <v/>
      </c>
      <c r="Q6" s="125" t="str">
        <f>IF(O6="","",VLOOKUP(P6,Table1[],2,TRUE))</f>
        <v/>
      </c>
      <c r="R6" s="132" t="str">
        <f>IF(COUNTIF(H6:L6,"*-*")&gt;0,"-",IF(COUNTBLANK(H6:L6)=5,"",IF(S$3="-","-",SUM(H6:L6))))</f>
        <v/>
      </c>
      <c r="S6" s="138" t="str">
        <f>IF(R6="","",IF(R6="-", "-",R6/S$3))</f>
        <v/>
      </c>
      <c r="T6" s="126" t="str">
        <f>IF(R6="","",VLOOKUP(S6,Table1[],2,TRUE))</f>
        <v/>
      </c>
      <c r="U6" s="134" t="str">
        <f>IF(AND(P6="",S6=""),"",IF(OR(P6="-",S6="-"),"-",IF(AND(P$3&lt;&gt;0,S$3&lt;&gt;0),VLOOKUP(AVERAGE(P6,S6),Table1[],2,TRUE),IF(AND(P$3&lt;&gt;0,S$3=0),Q6,T6))))</f>
        <v/>
      </c>
      <c r="V6" s="114"/>
      <c r="W6" s="114" t="str">
        <f>IF(ISBLANK(V6),U6,V6)</f>
        <v/>
      </c>
      <c r="X6" s="116" t="s">
        <v>18</v>
      </c>
    </row>
    <row r="7" spans="1:24" s="59" customFormat="1" x14ac:dyDescent="0.25">
      <c r="A7" s="100" t="str">
        <f>IF(ISBLANK(ClassInformation!C11),"ZZZZZ",ClassInformation!C11)</f>
        <v>B</v>
      </c>
      <c r="B7" s="101" t="str">
        <f>IF(ISBLANK(ClassInformation!D11),"ZZZZZ",ClassInformation!D11)</f>
        <v>ZZZZZ</v>
      </c>
      <c r="C7" s="110"/>
      <c r="D7" s="110"/>
      <c r="E7" s="110"/>
      <c r="F7" s="110"/>
      <c r="G7" s="110"/>
      <c r="H7" s="121"/>
      <c r="I7" s="110"/>
      <c r="J7" s="110"/>
      <c r="K7" s="110"/>
      <c r="L7" s="110"/>
      <c r="M7" s="121"/>
      <c r="N7" s="110"/>
      <c r="O7" s="152" t="str">
        <f>IF(COUNTIF(C7:G7,"*-*")&gt;0,"-",IF(COUNTBLANK(C7:G7)=5,"",IF(P$3="-","-",SUM(C7:G7))))</f>
        <v/>
      </c>
      <c r="P7" s="136" t="str">
        <f>IF(O7="","",IF(O7="-","-",O7/P$3))</f>
        <v/>
      </c>
      <c r="Q7" s="125" t="str">
        <f>IF(O7="","",VLOOKUP(P7,Table1[],2,TRUE))</f>
        <v/>
      </c>
      <c r="R7" s="132" t="str">
        <f>IF(COUNTIF(H7:L7,"*-*")&gt;0,"-",IF(COUNTBLANK(H7:L7)=5,"",IF(S$3="-","-",SUM(H7:L7))))</f>
        <v/>
      </c>
      <c r="S7" s="138" t="str">
        <f>IF(R7="","",IF(R7="-", "-",R7/S$3))</f>
        <v/>
      </c>
      <c r="T7" s="126" t="str">
        <f>IF(R7="","",VLOOKUP(S7,Table1[],2,TRUE))</f>
        <v/>
      </c>
      <c r="U7" s="134" t="str">
        <f>IF(AND(P7="",S7=""),"",IF(OR(P7="-",S7="-"),"-",IF(AND(P$3&lt;&gt;0,S$3&lt;&gt;0),VLOOKUP(AVERAGE(P7,S7),Table1[],2,TRUE),IF(AND(P$3&lt;&gt;0,S$3=0),Q7,T7))))</f>
        <v/>
      </c>
      <c r="V7" s="114"/>
      <c r="W7" s="114" t="str">
        <f>IF(ISBLANK(V7),U7,V7)</f>
        <v/>
      </c>
      <c r="X7" s="116" t="s">
        <v>18</v>
      </c>
    </row>
    <row r="8" spans="1:24" s="59" customFormat="1" x14ac:dyDescent="0.25">
      <c r="A8" s="100" t="str">
        <f>IF(ISBLANK(ClassInformation!C37),"ZZZZZ",ClassInformation!C37)</f>
        <v>BA</v>
      </c>
      <c r="B8" s="101" t="str">
        <f>IF(ISBLANK(ClassInformation!D37),"ZZZZZ",ClassInformation!D37)</f>
        <v>ZZZZZ</v>
      </c>
      <c r="C8" s="110"/>
      <c r="D8" s="110"/>
      <c r="E8" s="110"/>
      <c r="F8" s="110"/>
      <c r="G8" s="110"/>
      <c r="H8" s="121"/>
      <c r="I8" s="110"/>
      <c r="J8" s="110"/>
      <c r="K8" s="110"/>
      <c r="L8" s="110"/>
      <c r="M8" s="121"/>
      <c r="N8" s="110"/>
      <c r="O8" s="152" t="str">
        <f>IF(COUNTIF(C8:G8,"*-*")&gt;0,"-",IF(COUNTBLANK(C8:G8)=5,"",IF(P$3="-","-",SUM(C8:G8))))</f>
        <v/>
      </c>
      <c r="P8" s="136" t="str">
        <f>IF(O8="","",IF(O8="-","-",O8/P$3))</f>
        <v/>
      </c>
      <c r="Q8" s="125" t="str">
        <f>IF(O8="","",VLOOKUP(P8,Table1[],2,TRUE))</f>
        <v/>
      </c>
      <c r="R8" s="132" t="str">
        <f>IF(COUNTIF(H8:L8,"*-*")&gt;0,"-",IF(COUNTBLANK(H8:L8)=5,"",IF(S$3="-","-",SUM(H8:L8))))</f>
        <v/>
      </c>
      <c r="S8" s="138" t="str">
        <f>IF(R8="","",IF(R8="-", "-",R8/S$3))</f>
        <v/>
      </c>
      <c r="T8" s="126" t="str">
        <f>IF(R8="","",VLOOKUP(S8,Table1[],2,TRUE))</f>
        <v/>
      </c>
      <c r="U8" s="134" t="str">
        <f>IF(AND(P8="",S8=""),"",IF(OR(P8="-",S8="-"),"-",IF(AND(P$3&lt;&gt;0,S$3&lt;&gt;0),VLOOKUP(AVERAGE(P8,S8),Table1[],2,TRUE),IF(AND(P$3&lt;&gt;0,S$3=0),Q8,T8))))</f>
        <v/>
      </c>
      <c r="V8" s="114"/>
      <c r="W8" s="114" t="str">
        <f>IF(ISBLANK(V8),U8,V8)</f>
        <v/>
      </c>
      <c r="X8" s="116" t="s">
        <v>18</v>
      </c>
    </row>
    <row r="9" spans="1:24" s="59" customFormat="1" x14ac:dyDescent="0.25">
      <c r="A9" s="100" t="str">
        <f>IF(ISBLANK(ClassInformation!C12),"ZZZZZ",ClassInformation!C12)</f>
        <v>C</v>
      </c>
      <c r="B9" s="101" t="str">
        <f>IF(ISBLANK(ClassInformation!D12),"ZZZZZ",ClassInformation!D12)</f>
        <v>ZZZZZ</v>
      </c>
      <c r="C9" s="110"/>
      <c r="D9" s="110"/>
      <c r="E9" s="110"/>
      <c r="F9" s="110"/>
      <c r="G9" s="110"/>
      <c r="H9" s="121"/>
      <c r="I9" s="110"/>
      <c r="J9" s="110"/>
      <c r="K9" s="110"/>
      <c r="L9" s="110"/>
      <c r="M9" s="121"/>
      <c r="N9" s="110"/>
      <c r="O9" s="152" t="str">
        <f>IF(COUNTIF(C9:G9,"*-*")&gt;0,"-",IF(COUNTBLANK(C9:G9)=5,"",IF(P$3="-","-",SUM(C9:G9))))</f>
        <v/>
      </c>
      <c r="P9" s="136" t="str">
        <f>IF(O9="","",IF(O9="-","-",O9/P$3))</f>
        <v/>
      </c>
      <c r="Q9" s="125" t="str">
        <f>IF(O9="","",VLOOKUP(P9,Table1[],2,TRUE))</f>
        <v/>
      </c>
      <c r="R9" s="132" t="str">
        <f>IF(COUNTIF(H9:L9,"*-*")&gt;0,"-",IF(COUNTBLANK(H9:L9)=5,"",IF(S$3="-","-",SUM(H9:L9))))</f>
        <v/>
      </c>
      <c r="S9" s="138" t="str">
        <f>IF(R9="","",IF(R9="-", "-",R9/S$3))</f>
        <v/>
      </c>
      <c r="T9" s="126" t="str">
        <f>IF(R9="","",VLOOKUP(S9,Table1[],2,TRUE))</f>
        <v/>
      </c>
      <c r="U9" s="134" t="str">
        <f>IF(AND(P9="",S9=""),"",IF(OR(P9="-",S9="-"),"-",IF(AND(P$3&lt;&gt;0,S$3&lt;&gt;0),VLOOKUP(AVERAGE(P9,S9),Table1[],2,TRUE),IF(AND(P$3&lt;&gt;0,S$3=0),Q9,T9))))</f>
        <v/>
      </c>
      <c r="V9" s="114"/>
      <c r="W9" s="114" t="str">
        <f>IF(ISBLANK(V9),U9,V9)</f>
        <v/>
      </c>
      <c r="X9" s="116" t="s">
        <v>18</v>
      </c>
    </row>
    <row r="10" spans="1:24" s="59" customFormat="1" x14ac:dyDescent="0.25">
      <c r="A10" s="100" t="str">
        <f>IF(ISBLANK(ClassInformation!C38),"ZZZZZ",ClassInformation!C38)</f>
        <v>CA</v>
      </c>
      <c r="B10" s="101" t="str">
        <f>IF(ISBLANK(ClassInformation!D38),"ZZZZZ",ClassInformation!D38)</f>
        <v>ZZZZZ</v>
      </c>
      <c r="C10" s="110"/>
      <c r="D10" s="110"/>
      <c r="E10" s="110"/>
      <c r="F10" s="110"/>
      <c r="G10" s="110"/>
      <c r="H10" s="121"/>
      <c r="I10" s="110"/>
      <c r="J10" s="110"/>
      <c r="K10" s="110"/>
      <c r="L10" s="110"/>
      <c r="M10" s="121"/>
      <c r="N10" s="110"/>
      <c r="O10" s="152" t="str">
        <f>IF(COUNTIF(C10:G10,"*-*")&gt;0,"-",IF(COUNTBLANK(C10:G10)=5,"",IF(P$3="-","-",SUM(C10:G10))))</f>
        <v/>
      </c>
      <c r="P10" s="136" t="str">
        <f>IF(O10="","",IF(O10="-","-",O10/P$3))</f>
        <v/>
      </c>
      <c r="Q10" s="125" t="str">
        <f>IF(O10="","",VLOOKUP(P10,Table1[],2,TRUE))</f>
        <v/>
      </c>
      <c r="R10" s="132" t="str">
        <f>IF(COUNTIF(H10:L10,"*-*")&gt;0,"-",IF(COUNTBLANK(H10:L10)=5,"",IF(S$3="-","-",SUM(H10:L10))))</f>
        <v/>
      </c>
      <c r="S10" s="138" t="str">
        <f>IF(R10="","",IF(R10="-", "-",R10/S$3))</f>
        <v/>
      </c>
      <c r="T10" s="126" t="str">
        <f>IF(R10="","",VLOOKUP(S10,Table1[],2,TRUE))</f>
        <v/>
      </c>
      <c r="U10" s="134" t="str">
        <f>IF(AND(P10="",S10=""),"",IF(OR(P10="-",S10="-"),"-",IF(AND(P$3&lt;&gt;0,S$3&lt;&gt;0),VLOOKUP(AVERAGE(P10,S10),Table1[],2,TRUE),IF(AND(P$3&lt;&gt;0,S$3=0),Q10,T10))))</f>
        <v/>
      </c>
      <c r="V10" s="114"/>
      <c r="W10" s="114" t="str">
        <f>IF(ISBLANK(V10),U10,V10)</f>
        <v/>
      </c>
      <c r="X10" s="116" t="s">
        <v>18</v>
      </c>
    </row>
    <row r="11" spans="1:24" s="59" customFormat="1" x14ac:dyDescent="0.25">
      <c r="A11" s="100" t="str">
        <f>IF(ISBLANK(ClassInformation!C13),"ZZZZZ",ClassInformation!C13)</f>
        <v>D</v>
      </c>
      <c r="B11" s="101" t="str">
        <f>IF(ISBLANK(ClassInformation!D13),"ZZZZZ",ClassInformation!D13)</f>
        <v>ZZZZZ</v>
      </c>
      <c r="C11" s="110"/>
      <c r="D11" s="110"/>
      <c r="E11" s="110"/>
      <c r="F11" s="110"/>
      <c r="G11" s="110"/>
      <c r="H11" s="121"/>
      <c r="I11" s="110"/>
      <c r="J11" s="110"/>
      <c r="K11" s="110"/>
      <c r="L11" s="110"/>
      <c r="M11" s="121"/>
      <c r="N11" s="110"/>
      <c r="O11" s="152" t="str">
        <f>IF(COUNTIF(C11:G11,"*-*")&gt;0,"-",IF(COUNTBLANK(C11:G11)=5,"",IF(P$3="-","-",SUM(C11:G11))))</f>
        <v/>
      </c>
      <c r="P11" s="136" t="str">
        <f>IF(O11="","",IF(O11="-","-",O11/P$3))</f>
        <v/>
      </c>
      <c r="Q11" s="125" t="str">
        <f>IF(O11="","",VLOOKUP(P11,Table1[],2,TRUE))</f>
        <v/>
      </c>
      <c r="R11" s="132" t="str">
        <f>IF(COUNTIF(H11:L11,"*-*")&gt;0,"-",IF(COUNTBLANK(H11:L11)=5,"",IF(S$3="-","-",SUM(H11:L11))))</f>
        <v/>
      </c>
      <c r="S11" s="138" t="str">
        <f>IF(R11="","",IF(R11="-", "-",R11/S$3))</f>
        <v/>
      </c>
      <c r="T11" s="126" t="str">
        <f>IF(R11="","",VLOOKUP(S11,Table1[],2,TRUE))</f>
        <v/>
      </c>
      <c r="U11" s="134" t="str">
        <f>IF(AND(P11="",S11=""),"",IF(OR(P11="-",S11="-"),"-",IF(AND(P$3&lt;&gt;0,S$3&lt;&gt;0),VLOOKUP(AVERAGE(P11,S11),Table1[],2,TRUE),IF(AND(P$3&lt;&gt;0,S$3=0),Q11,T11))))</f>
        <v/>
      </c>
      <c r="V11" s="114"/>
      <c r="W11" s="114" t="str">
        <f>IF(ISBLANK(V11),U11,V11)</f>
        <v/>
      </c>
      <c r="X11" s="116" t="s">
        <v>18</v>
      </c>
    </row>
    <row r="12" spans="1:24" s="59" customFormat="1" x14ac:dyDescent="0.25">
      <c r="A12" s="100" t="str">
        <f>IF(ISBLANK(ClassInformation!C39),"ZZZZZ",ClassInformation!C39)</f>
        <v>DA</v>
      </c>
      <c r="B12" s="101" t="str">
        <f>IF(ISBLANK(ClassInformation!D39),"ZZZZZ",ClassInformation!D39)</f>
        <v>ZZZZZ</v>
      </c>
      <c r="C12" s="110"/>
      <c r="D12" s="110"/>
      <c r="E12" s="110"/>
      <c r="F12" s="110"/>
      <c r="G12" s="110"/>
      <c r="H12" s="121"/>
      <c r="I12" s="110"/>
      <c r="J12" s="110"/>
      <c r="K12" s="110"/>
      <c r="L12" s="110"/>
      <c r="M12" s="121"/>
      <c r="N12" s="110"/>
      <c r="O12" s="152" t="str">
        <f>IF(COUNTIF(C12:G12,"*-*")&gt;0,"-",IF(COUNTBLANK(C12:G12)=5,"",IF(P$3="-","-",SUM(C12:G12))))</f>
        <v/>
      </c>
      <c r="P12" s="136" t="str">
        <f>IF(O12="","",IF(O12="-","-",O12/P$3))</f>
        <v/>
      </c>
      <c r="Q12" s="125" t="str">
        <f>IF(O12="","",VLOOKUP(P12,Table1[],2,TRUE))</f>
        <v/>
      </c>
      <c r="R12" s="132" t="str">
        <f>IF(COUNTIF(H12:L12,"*-*")&gt;0,"-",IF(COUNTBLANK(H12:L12)=5,"",IF(S$3="-","-",SUM(H12:L12))))</f>
        <v/>
      </c>
      <c r="S12" s="138" t="str">
        <f>IF(R12="","",IF(R12="-", "-",R12/S$3))</f>
        <v/>
      </c>
      <c r="T12" s="126" t="str">
        <f>IF(R12="","",VLOOKUP(S12,Table1[],2,TRUE))</f>
        <v/>
      </c>
      <c r="U12" s="134" t="str">
        <f>IF(AND(P12="",S12=""),"",IF(OR(P12="-",S12="-"),"-",IF(AND(P$3&lt;&gt;0,S$3&lt;&gt;0),VLOOKUP(AVERAGE(P12,S12),Table1[],2,TRUE),IF(AND(P$3&lt;&gt;0,S$3=0),Q12,T12))))</f>
        <v/>
      </c>
      <c r="V12" s="114"/>
      <c r="W12" s="114" t="str">
        <f>IF(ISBLANK(V12),U12,V12)</f>
        <v/>
      </c>
      <c r="X12" s="116" t="s">
        <v>18</v>
      </c>
    </row>
    <row r="13" spans="1:24" s="59" customFormat="1" x14ac:dyDescent="0.25">
      <c r="A13" s="100" t="str">
        <f>IF(ISBLANK(ClassInformation!C14),"ZZZZZ",ClassInformation!C14)</f>
        <v>E</v>
      </c>
      <c r="B13" s="101" t="str">
        <f>IF(ISBLANK(ClassInformation!D14),"ZZZZZ",ClassInformation!D14)</f>
        <v>ZZZZZ</v>
      </c>
      <c r="C13" s="110"/>
      <c r="D13" s="110"/>
      <c r="E13" s="110"/>
      <c r="F13" s="110"/>
      <c r="G13" s="110"/>
      <c r="H13" s="121"/>
      <c r="I13" s="110"/>
      <c r="J13" s="110"/>
      <c r="K13" s="110"/>
      <c r="L13" s="110"/>
      <c r="M13" s="121"/>
      <c r="N13" s="110"/>
      <c r="O13" s="152" t="str">
        <f>IF(COUNTIF(C13:G13,"*-*")&gt;0,"-",IF(COUNTBLANK(C13:G13)=5,"",IF(P$3="-","-",SUM(C13:G13))))</f>
        <v/>
      </c>
      <c r="P13" s="136" t="str">
        <f>IF(O13="","",IF(O13="-","-",O13/P$3))</f>
        <v/>
      </c>
      <c r="Q13" s="125" t="str">
        <f>IF(O13="","",VLOOKUP(P13,Table1[],2,TRUE))</f>
        <v/>
      </c>
      <c r="R13" s="132" t="str">
        <f>IF(COUNTIF(H13:L13,"*-*")&gt;0,"-",IF(COUNTBLANK(H13:L13)=5,"",IF(S$3="-","-",SUM(H13:L13))))</f>
        <v/>
      </c>
      <c r="S13" s="138" t="str">
        <f>IF(R13="","",IF(R13="-", "-",R13/S$3))</f>
        <v/>
      </c>
      <c r="T13" s="126" t="str">
        <f>IF(R13="","",VLOOKUP(S13,Table1[],2,TRUE))</f>
        <v/>
      </c>
      <c r="U13" s="134" t="str">
        <f>IF(AND(P13="",S13=""),"",IF(OR(P13="-",S13="-"),"-",IF(AND(P$3&lt;&gt;0,S$3&lt;&gt;0),VLOOKUP(AVERAGE(P13,S13),Table1[],2,TRUE),IF(AND(P$3&lt;&gt;0,S$3=0),Q13,T13))))</f>
        <v/>
      </c>
      <c r="V13" s="114"/>
      <c r="W13" s="114" t="str">
        <f>IF(ISBLANK(V13),U13,V13)</f>
        <v/>
      </c>
      <c r="X13" s="116" t="s">
        <v>18</v>
      </c>
    </row>
    <row r="14" spans="1:24" s="59" customFormat="1" x14ac:dyDescent="0.25">
      <c r="A14" s="100" t="str">
        <f>IF(ISBLANK(ClassInformation!C40),"ZZZZZ",ClassInformation!C40)</f>
        <v>EA</v>
      </c>
      <c r="B14" s="101" t="str">
        <f>IF(ISBLANK(ClassInformation!D40),"ZZZZZ",ClassInformation!D40)</f>
        <v>ZZZZZ</v>
      </c>
      <c r="C14" s="110"/>
      <c r="D14" s="110"/>
      <c r="E14" s="110"/>
      <c r="F14" s="110"/>
      <c r="G14" s="110"/>
      <c r="H14" s="121"/>
      <c r="I14" s="110"/>
      <c r="J14" s="110"/>
      <c r="K14" s="110"/>
      <c r="L14" s="110"/>
      <c r="M14" s="121"/>
      <c r="N14" s="110"/>
      <c r="O14" s="152" t="str">
        <f>IF(COUNTIF(C14:G14,"*-*")&gt;0,"-",IF(COUNTBLANK(C14:G14)=5,"",IF(P$3="-","-",SUM(C14:G14))))</f>
        <v/>
      </c>
      <c r="P14" s="136" t="str">
        <f>IF(O14="","",IF(O14="-","-",O14/P$3))</f>
        <v/>
      </c>
      <c r="Q14" s="125" t="str">
        <f>IF(O14="","",VLOOKUP(P14,Table1[],2,TRUE))</f>
        <v/>
      </c>
      <c r="R14" s="132" t="str">
        <f>IF(COUNTIF(H14:L14,"*-*")&gt;0,"-",IF(COUNTBLANK(H14:L14)=5,"",IF(S$3="-","-",SUM(H14:L14))))</f>
        <v/>
      </c>
      <c r="S14" s="138" t="str">
        <f>IF(R14="","",IF(R14="-", "-",R14/S$3))</f>
        <v/>
      </c>
      <c r="T14" s="126" t="str">
        <f>IF(R14="","",VLOOKUP(S14,Table1[],2,TRUE))</f>
        <v/>
      </c>
      <c r="U14" s="134" t="str">
        <f>IF(AND(P14="",S14=""),"",IF(OR(P14="-",S14="-"),"-",IF(AND(P$3&lt;&gt;0,S$3&lt;&gt;0),VLOOKUP(AVERAGE(P14,S14),Table1[],2,TRUE),IF(AND(P$3&lt;&gt;0,S$3=0),Q14,T14))))</f>
        <v/>
      </c>
      <c r="V14" s="114"/>
      <c r="W14" s="114" t="str">
        <f>IF(ISBLANK(V14),U14,V14)</f>
        <v/>
      </c>
      <c r="X14" s="116" t="s">
        <v>18</v>
      </c>
    </row>
    <row r="15" spans="1:24" s="59" customFormat="1" x14ac:dyDescent="0.25">
      <c r="A15" s="100" t="str">
        <f>IF(ISBLANK(ClassInformation!C15),"ZZZZZ",ClassInformation!C15)</f>
        <v>F</v>
      </c>
      <c r="B15" s="101" t="str">
        <f>IF(ISBLANK(ClassInformation!D15),"ZZZZZ",ClassInformation!D15)</f>
        <v>ZZZZZ</v>
      </c>
      <c r="C15" s="110"/>
      <c r="D15" s="110"/>
      <c r="E15" s="110"/>
      <c r="F15" s="110"/>
      <c r="G15" s="110"/>
      <c r="H15" s="121"/>
      <c r="I15" s="110"/>
      <c r="J15" s="110"/>
      <c r="K15" s="110"/>
      <c r="L15" s="110"/>
      <c r="M15" s="121"/>
      <c r="N15" s="110"/>
      <c r="O15" s="152" t="str">
        <f>IF(COUNTIF(C15:G15,"*-*")&gt;0,"-",IF(COUNTBLANK(C15:G15)=5,"",IF(P$3="-","-",SUM(C15:G15))))</f>
        <v/>
      </c>
      <c r="P15" s="136" t="str">
        <f>IF(O15="","",IF(O15="-","-",O15/P$3))</f>
        <v/>
      </c>
      <c r="Q15" s="125" t="str">
        <f>IF(O15="","",VLOOKUP(P15,Table1[],2,TRUE))</f>
        <v/>
      </c>
      <c r="R15" s="132" t="str">
        <f>IF(COUNTIF(H15:L15,"*-*")&gt;0,"-",IF(COUNTBLANK(H15:L15)=5,"",IF(S$3="-","-",SUM(H15:L15))))</f>
        <v/>
      </c>
      <c r="S15" s="138" t="str">
        <f>IF(R15="","",IF(R15="-", "-",R15/S$3))</f>
        <v/>
      </c>
      <c r="T15" s="126" t="str">
        <f>IF(R15="","",VLOOKUP(S15,Table1[],2,TRUE))</f>
        <v/>
      </c>
      <c r="U15" s="134" t="str">
        <f>IF(AND(P15="",S15=""),"",IF(OR(P15="-",S15="-"),"-",IF(AND(P$3&lt;&gt;0,S$3&lt;&gt;0),VLOOKUP(AVERAGE(P15,S15),Table1[],2,TRUE),IF(AND(P$3&lt;&gt;0,S$3=0),Q15,T15))))</f>
        <v/>
      </c>
      <c r="V15" s="114"/>
      <c r="W15" s="114" t="str">
        <f>IF(ISBLANK(V15),U15,V15)</f>
        <v/>
      </c>
      <c r="X15" s="116" t="s">
        <v>18</v>
      </c>
    </row>
    <row r="16" spans="1:24" s="59" customFormat="1" x14ac:dyDescent="0.25">
      <c r="A16" s="100" t="str">
        <f>IF(ISBLANK(ClassInformation!C41),"ZZZZZ",ClassInformation!C41)</f>
        <v>FA</v>
      </c>
      <c r="B16" s="101" t="str">
        <f>IF(ISBLANK(ClassInformation!D41),"ZZZZZ",ClassInformation!D41)</f>
        <v>ZZZZZ</v>
      </c>
      <c r="C16" s="110"/>
      <c r="D16" s="110"/>
      <c r="E16" s="110"/>
      <c r="F16" s="110"/>
      <c r="G16" s="110"/>
      <c r="H16" s="121"/>
      <c r="I16" s="110"/>
      <c r="J16" s="110"/>
      <c r="K16" s="110"/>
      <c r="L16" s="110"/>
      <c r="M16" s="121"/>
      <c r="N16" s="110"/>
      <c r="O16" s="152" t="str">
        <f>IF(COUNTIF(C16:G16,"*-*")&gt;0,"-",IF(COUNTBLANK(C16:G16)=5,"",IF(P$3="-","-",SUM(C16:G16))))</f>
        <v/>
      </c>
      <c r="P16" s="136" t="str">
        <f>IF(O16="","",IF(O16="-","-",O16/P$3))</f>
        <v/>
      </c>
      <c r="Q16" s="125" t="str">
        <f>IF(O16="","",VLOOKUP(P16,Table1[],2,TRUE))</f>
        <v/>
      </c>
      <c r="R16" s="132" t="str">
        <f>IF(COUNTIF(H16:L16,"*-*")&gt;0,"-",IF(COUNTBLANK(H16:L16)=5,"",IF(S$3="-","-",SUM(H16:L16))))</f>
        <v/>
      </c>
      <c r="S16" s="138" t="str">
        <f>IF(R16="","",IF(R16="-", "-",R16/S$3))</f>
        <v/>
      </c>
      <c r="T16" s="126" t="str">
        <f>IF(R16="","",VLOOKUP(S16,Table1[],2,TRUE))</f>
        <v/>
      </c>
      <c r="U16" s="134" t="str">
        <f>IF(AND(P16="",S16=""),"",IF(OR(P16="-",S16="-"),"-",IF(AND(P$3&lt;&gt;0,S$3&lt;&gt;0),VLOOKUP(AVERAGE(P16,S16),Table1[],2,TRUE),IF(AND(P$3&lt;&gt;0,S$3=0),Q16,T16))))</f>
        <v/>
      </c>
      <c r="V16" s="114"/>
      <c r="W16" s="114" t="str">
        <f>IF(ISBLANK(V16),U16,V16)</f>
        <v/>
      </c>
      <c r="X16" s="116" t="s">
        <v>18</v>
      </c>
    </row>
    <row r="17" spans="1:24" s="59" customFormat="1" x14ac:dyDescent="0.25">
      <c r="A17" s="100" t="str">
        <f>IF(ISBLANK(ClassInformation!C16),"ZZZZZ",ClassInformation!C16)</f>
        <v>G</v>
      </c>
      <c r="B17" s="101" t="str">
        <f>IF(ISBLANK(ClassInformation!D16),"ZZZZZ",ClassInformation!D16)</f>
        <v>ZZZZZ</v>
      </c>
      <c r="C17" s="110"/>
      <c r="D17" s="110"/>
      <c r="E17" s="110"/>
      <c r="F17" s="110"/>
      <c r="G17" s="110"/>
      <c r="H17" s="121"/>
      <c r="I17" s="110"/>
      <c r="J17" s="110"/>
      <c r="K17" s="110"/>
      <c r="L17" s="110"/>
      <c r="M17" s="121"/>
      <c r="N17" s="110"/>
      <c r="O17" s="152" t="str">
        <f>IF(COUNTIF(C17:G17,"*-*")&gt;0,"-",IF(COUNTBLANK(C17:G17)=5,"",IF(P$3="-","-",SUM(C17:G17))))</f>
        <v/>
      </c>
      <c r="P17" s="136" t="str">
        <f>IF(O17="","",IF(O17="-","-",O17/P$3))</f>
        <v/>
      </c>
      <c r="Q17" s="125" t="str">
        <f>IF(O17="","",VLOOKUP(P17,Table1[],2,TRUE))</f>
        <v/>
      </c>
      <c r="R17" s="132" t="str">
        <f>IF(COUNTIF(H17:L17,"*-*")&gt;0,"-",IF(COUNTBLANK(H17:L17)=5,"",IF(S$3="-","-",SUM(H17:L17))))</f>
        <v/>
      </c>
      <c r="S17" s="138" t="str">
        <f>IF(R17="","",IF(R17="-", "-",R17/S$3))</f>
        <v/>
      </c>
      <c r="T17" s="126" t="str">
        <f>IF(R17="","",VLOOKUP(S17,Table1[],2,TRUE))</f>
        <v/>
      </c>
      <c r="U17" s="134" t="str">
        <f>IF(AND(P17="",S17=""),"",IF(OR(P17="-",S17="-"),"-",IF(AND(P$3&lt;&gt;0,S$3&lt;&gt;0),VLOOKUP(AVERAGE(P17,S17),Table1[],2,TRUE),IF(AND(P$3&lt;&gt;0,S$3=0),Q17,T17))))</f>
        <v/>
      </c>
      <c r="V17" s="114"/>
      <c r="W17" s="114" t="str">
        <f>IF(ISBLANK(V17),U17,V17)</f>
        <v/>
      </c>
      <c r="X17" s="116" t="s">
        <v>18</v>
      </c>
    </row>
    <row r="18" spans="1:24" s="59" customFormat="1" x14ac:dyDescent="0.25">
      <c r="A18" s="100" t="str">
        <f>IF(ISBLANK(ClassInformation!C17),"ZZZZZ",ClassInformation!C17)</f>
        <v>H</v>
      </c>
      <c r="B18" s="101" t="str">
        <f>IF(ISBLANK(ClassInformation!D17),"ZZZZZ",ClassInformation!D17)</f>
        <v>ZZZZZ</v>
      </c>
      <c r="C18" s="110"/>
      <c r="D18" s="110"/>
      <c r="E18" s="110"/>
      <c r="F18" s="110"/>
      <c r="G18" s="110"/>
      <c r="H18" s="121"/>
      <c r="I18" s="110"/>
      <c r="J18" s="110"/>
      <c r="K18" s="110"/>
      <c r="L18" s="110"/>
      <c r="M18" s="121"/>
      <c r="N18" s="110"/>
      <c r="O18" s="152" t="str">
        <f>IF(COUNTIF(C18:G18,"*-*")&gt;0,"-",IF(COUNTBLANK(C18:G18)=5,"",IF(P$3="-","-",SUM(C18:G18))))</f>
        <v/>
      </c>
      <c r="P18" s="136" t="str">
        <f>IF(O18="","",IF(O18="-","-",O18/P$3))</f>
        <v/>
      </c>
      <c r="Q18" s="125" t="str">
        <f>IF(O18="","",VLOOKUP(P18,Table1[],2,TRUE))</f>
        <v/>
      </c>
      <c r="R18" s="132" t="str">
        <f>IF(COUNTIF(H18:L18,"*-*")&gt;0,"-",IF(COUNTBLANK(H18:L18)=5,"",IF(S$3="-","-",SUM(H18:L18))))</f>
        <v/>
      </c>
      <c r="S18" s="138" t="str">
        <f>IF(R18="","",IF(R18="-", "-",R18/S$3))</f>
        <v/>
      </c>
      <c r="T18" s="126" t="str">
        <f>IF(R18="","",VLOOKUP(S18,Table1[],2,TRUE))</f>
        <v/>
      </c>
      <c r="U18" s="134" t="str">
        <f>IF(AND(P18="",S18=""),"",IF(OR(P18="-",S18="-"),"-",IF(AND(P$3&lt;&gt;0,S$3&lt;&gt;0),VLOOKUP(AVERAGE(P18,S18),Table1[],2,TRUE),IF(AND(P$3&lt;&gt;0,S$3=0),Q18,T18))))</f>
        <v/>
      </c>
      <c r="V18" s="114"/>
      <c r="W18" s="114" t="str">
        <f>IF(ISBLANK(V18),U18,V18)</f>
        <v/>
      </c>
      <c r="X18" s="116" t="s">
        <v>18</v>
      </c>
    </row>
    <row r="19" spans="1:24" s="59" customFormat="1" x14ac:dyDescent="0.25">
      <c r="A19" s="100" t="str">
        <f>IF(ISBLANK(ClassInformation!C18),"ZZZZZ",ClassInformation!C18)</f>
        <v>I</v>
      </c>
      <c r="B19" s="101" t="str">
        <f>IF(ISBLANK(ClassInformation!D18),"ZZZZZ",ClassInformation!D18)</f>
        <v>ZZZZZ</v>
      </c>
      <c r="C19" s="110"/>
      <c r="D19" s="110"/>
      <c r="E19" s="110"/>
      <c r="F19" s="110"/>
      <c r="G19" s="110"/>
      <c r="H19" s="121"/>
      <c r="I19" s="110"/>
      <c r="J19" s="110"/>
      <c r="K19" s="110"/>
      <c r="L19" s="110"/>
      <c r="M19" s="121"/>
      <c r="N19" s="110"/>
      <c r="O19" s="152" t="str">
        <f>IF(COUNTIF(C19:G19,"*-*")&gt;0,"-",IF(COUNTBLANK(C19:G19)=5,"",IF(P$3="-","-",SUM(C19:G19))))</f>
        <v/>
      </c>
      <c r="P19" s="136" t="str">
        <f>IF(O19="","",IF(O19="-","-",O19/P$3))</f>
        <v/>
      </c>
      <c r="Q19" s="125" t="str">
        <f>IF(O19="","",VLOOKUP(P19,Table1[],2,TRUE))</f>
        <v/>
      </c>
      <c r="R19" s="132" t="str">
        <f>IF(COUNTIF(H19:L19,"*-*")&gt;0,"-",IF(COUNTBLANK(H19:L19)=5,"",IF(S$3="-","-",SUM(H19:L19))))</f>
        <v/>
      </c>
      <c r="S19" s="138" t="str">
        <f>IF(R19="","",IF(R19="-", "-",R19/S$3))</f>
        <v/>
      </c>
      <c r="T19" s="126" t="str">
        <f>IF(R19="","",VLOOKUP(S19,Table1[],2,TRUE))</f>
        <v/>
      </c>
      <c r="U19" s="134" t="str">
        <f>IF(AND(P19="",S19=""),"",IF(OR(P19="-",S19="-"),"-",IF(AND(P$3&lt;&gt;0,S$3&lt;&gt;0),VLOOKUP(AVERAGE(P19,S19),Table1[],2,TRUE),IF(AND(P$3&lt;&gt;0,S$3=0),Q19,T19))))</f>
        <v/>
      </c>
      <c r="V19" s="114"/>
      <c r="W19" s="114" t="str">
        <f>IF(ISBLANK(V19),U19,V19)</f>
        <v/>
      </c>
      <c r="X19" s="116" t="s">
        <v>18</v>
      </c>
    </row>
    <row r="20" spans="1:24" s="59" customFormat="1" x14ac:dyDescent="0.25">
      <c r="A20" s="100" t="str">
        <f>IF(ISBLANK(ClassInformation!C19),"ZZZZZ",ClassInformation!C19)</f>
        <v>J</v>
      </c>
      <c r="B20" s="101" t="str">
        <f>IF(ISBLANK(ClassInformation!D19),"ZZZZZ",ClassInformation!D19)</f>
        <v>ZZZZZ</v>
      </c>
      <c r="C20" s="110"/>
      <c r="D20" s="110"/>
      <c r="E20" s="110"/>
      <c r="F20" s="110"/>
      <c r="G20" s="110"/>
      <c r="H20" s="121"/>
      <c r="I20" s="110"/>
      <c r="J20" s="110"/>
      <c r="K20" s="110"/>
      <c r="L20" s="110"/>
      <c r="M20" s="121"/>
      <c r="N20" s="110"/>
      <c r="O20" s="152" t="str">
        <f>IF(COUNTIF(C20:G20,"*-*")&gt;0,"-",IF(COUNTBLANK(C20:G20)=5,"",IF(P$3="-","-",SUM(C20:G20))))</f>
        <v/>
      </c>
      <c r="P20" s="136" t="str">
        <f>IF(O20="","",IF(O20="-","-",O20/P$3))</f>
        <v/>
      </c>
      <c r="Q20" s="125" t="str">
        <f>IF(O20="","",VLOOKUP(P20,Table1[],2,TRUE))</f>
        <v/>
      </c>
      <c r="R20" s="132" t="str">
        <f>IF(COUNTIF(H20:L20,"*-*")&gt;0,"-",IF(COUNTBLANK(H20:L20)=5,"",IF(S$3="-","-",SUM(H20:L20))))</f>
        <v/>
      </c>
      <c r="S20" s="138" t="str">
        <f>IF(R20="","",IF(R20="-", "-",R20/S$3))</f>
        <v/>
      </c>
      <c r="T20" s="126" t="str">
        <f>IF(R20="","",VLOOKUP(S20,Table1[],2,TRUE))</f>
        <v/>
      </c>
      <c r="U20" s="134" t="str">
        <f>IF(AND(P20="",S20=""),"",IF(OR(P20="-",S20="-"),"-",IF(AND(P$3&lt;&gt;0,S$3&lt;&gt;0),VLOOKUP(AVERAGE(P20,S20),Table1[],2,TRUE),IF(AND(P$3&lt;&gt;0,S$3=0),Q20,T20))))</f>
        <v/>
      </c>
      <c r="V20" s="114"/>
      <c r="W20" s="114" t="str">
        <f>IF(ISBLANK(V20),U20,V20)</f>
        <v/>
      </c>
      <c r="X20" s="116" t="s">
        <v>18</v>
      </c>
    </row>
    <row r="21" spans="1:24" s="59" customFormat="1" x14ac:dyDescent="0.25">
      <c r="A21" s="100" t="str">
        <f>IF(ISBLANK(ClassInformation!C20),"ZZZZZ",ClassInformation!C20)</f>
        <v>K</v>
      </c>
      <c r="B21" s="101" t="str">
        <f>IF(ISBLANK(ClassInformation!D20),"ZZZZZ",ClassInformation!D20)</f>
        <v>ZZZZZ</v>
      </c>
      <c r="C21" s="110"/>
      <c r="D21" s="110"/>
      <c r="E21" s="110"/>
      <c r="F21" s="110"/>
      <c r="G21" s="110"/>
      <c r="H21" s="121"/>
      <c r="I21" s="110"/>
      <c r="J21" s="110"/>
      <c r="K21" s="110"/>
      <c r="L21" s="110"/>
      <c r="M21" s="121"/>
      <c r="N21" s="110"/>
      <c r="O21" s="152" t="str">
        <f>IF(COUNTIF(C21:G21,"*-*")&gt;0,"-",IF(COUNTBLANK(C21:G21)=5,"",IF(P$3="-","-",SUM(C21:G21))))</f>
        <v/>
      </c>
      <c r="P21" s="136" t="str">
        <f>IF(O21="","",IF(O21="-","-",O21/P$3))</f>
        <v/>
      </c>
      <c r="Q21" s="125" t="str">
        <f>IF(O21="","",VLOOKUP(P21,Table1[],2,TRUE))</f>
        <v/>
      </c>
      <c r="R21" s="132" t="str">
        <f>IF(COUNTIF(H21:L21,"*-*")&gt;0,"-",IF(COUNTBLANK(H21:L21)=5,"",IF(S$3="-","-",SUM(H21:L21))))</f>
        <v/>
      </c>
      <c r="S21" s="138" t="str">
        <f>IF(R21="","",IF(R21="-", "-",R21/S$3))</f>
        <v/>
      </c>
      <c r="T21" s="126" t="str">
        <f>IF(R21="","",VLOOKUP(S21,Table1[],2,TRUE))</f>
        <v/>
      </c>
      <c r="U21" s="134" t="str">
        <f>IF(AND(P21="",S21=""),"",IF(OR(P21="-",S21="-"),"-",IF(AND(P$3&lt;&gt;0,S$3&lt;&gt;0),VLOOKUP(AVERAGE(P21,S21),Table1[],2,TRUE),IF(AND(P$3&lt;&gt;0,S$3=0),Q21,T21))))</f>
        <v/>
      </c>
      <c r="V21" s="114"/>
      <c r="W21" s="114" t="str">
        <f>IF(ISBLANK(V21),U21,V21)</f>
        <v/>
      </c>
      <c r="X21" s="116" t="s">
        <v>18</v>
      </c>
    </row>
    <row r="22" spans="1:24" s="59" customFormat="1" x14ac:dyDescent="0.25">
      <c r="A22" s="100" t="str">
        <f>IF(ISBLANK(ClassInformation!C21),"ZZZZZ",ClassInformation!C21)</f>
        <v>L</v>
      </c>
      <c r="B22" s="101" t="str">
        <f>IF(ISBLANK(ClassInformation!D21),"ZZZZZ",ClassInformation!D21)</f>
        <v>ZZZZZ</v>
      </c>
      <c r="C22" s="110"/>
      <c r="D22" s="110"/>
      <c r="E22" s="110"/>
      <c r="F22" s="110"/>
      <c r="G22" s="110"/>
      <c r="H22" s="121"/>
      <c r="I22" s="110"/>
      <c r="J22" s="110"/>
      <c r="K22" s="110"/>
      <c r="L22" s="110"/>
      <c r="M22" s="121"/>
      <c r="N22" s="110"/>
      <c r="O22" s="152" t="str">
        <f>IF(COUNTIF(C22:G22,"*-*")&gt;0,"-",IF(COUNTBLANK(C22:G22)=5,"",IF(P$3="-","-",SUM(C22:G22))))</f>
        <v/>
      </c>
      <c r="P22" s="136" t="str">
        <f>IF(O22="","",IF(O22="-","-",O22/P$3))</f>
        <v/>
      </c>
      <c r="Q22" s="125" t="str">
        <f>IF(O22="","",VLOOKUP(P22,Table1[],2,TRUE))</f>
        <v/>
      </c>
      <c r="R22" s="132" t="str">
        <f>IF(COUNTIF(H22:L22,"*-*")&gt;0,"-",IF(COUNTBLANK(H22:L22)=5,"",IF(S$3="-","-",SUM(H22:L22))))</f>
        <v/>
      </c>
      <c r="S22" s="138" t="str">
        <f>IF(R22="","",IF(R22="-", "-",R22/S$3))</f>
        <v/>
      </c>
      <c r="T22" s="126" t="str">
        <f>IF(R22="","",VLOOKUP(S22,Table1[],2,TRUE))</f>
        <v/>
      </c>
      <c r="U22" s="134" t="str">
        <f>IF(AND(P22="",S22=""),"",IF(OR(P22="-",S22="-"),"-",IF(AND(P$3&lt;&gt;0,S$3&lt;&gt;0),VLOOKUP(AVERAGE(P22,S22),Table1[],2,TRUE),IF(AND(P$3&lt;&gt;0,S$3=0),Q22,T22))))</f>
        <v/>
      </c>
      <c r="V22" s="114"/>
      <c r="W22" s="114" t="str">
        <f>IF(ISBLANK(V22),U22,V22)</f>
        <v/>
      </c>
      <c r="X22" s="116" t="s">
        <v>18</v>
      </c>
    </row>
    <row r="23" spans="1:24" s="59" customFormat="1" x14ac:dyDescent="0.25">
      <c r="A23" s="100" t="str">
        <f>IF(ISBLANK(ClassInformation!C22),"ZZZZZ",ClassInformation!C22)</f>
        <v>M</v>
      </c>
      <c r="B23" s="101" t="str">
        <f>IF(ISBLANK(ClassInformation!D22),"ZZZZZ",ClassInformation!D22)</f>
        <v>ZZZZZ</v>
      </c>
      <c r="C23" s="110"/>
      <c r="D23" s="110"/>
      <c r="E23" s="110"/>
      <c r="F23" s="110"/>
      <c r="G23" s="110"/>
      <c r="H23" s="121"/>
      <c r="I23" s="110"/>
      <c r="J23" s="110"/>
      <c r="K23" s="110"/>
      <c r="L23" s="110"/>
      <c r="M23" s="121"/>
      <c r="N23" s="110"/>
      <c r="O23" s="152" t="str">
        <f>IF(COUNTIF(C23:G23,"*-*")&gt;0,"-",IF(COUNTBLANK(C23:G23)=5,"",IF(P$3="-","-",SUM(C23:G23))))</f>
        <v/>
      </c>
      <c r="P23" s="136" t="str">
        <f>IF(O23="","",IF(O23="-","-",O23/P$3))</f>
        <v/>
      </c>
      <c r="Q23" s="125" t="str">
        <f>IF(O23="","",VLOOKUP(P23,Table1[],2,TRUE))</f>
        <v/>
      </c>
      <c r="R23" s="132" t="str">
        <f>IF(COUNTIF(H23:L23,"*-*")&gt;0,"-",IF(COUNTBLANK(H23:L23)=5,"",IF(S$3="-","-",SUM(H23:L23))))</f>
        <v/>
      </c>
      <c r="S23" s="138" t="str">
        <f>IF(R23="","",IF(R23="-", "-",R23/S$3))</f>
        <v/>
      </c>
      <c r="T23" s="126" t="str">
        <f>IF(R23="","",VLOOKUP(S23,Table1[],2,TRUE))</f>
        <v/>
      </c>
      <c r="U23" s="134" t="str">
        <f>IF(AND(P23="",S23=""),"",IF(OR(P23="-",S23="-"),"-",IF(AND(P$3&lt;&gt;0,S$3&lt;&gt;0),VLOOKUP(AVERAGE(P23,S23),Table1[],2,TRUE),IF(AND(P$3&lt;&gt;0,S$3=0),Q23,T23))))</f>
        <v/>
      </c>
      <c r="V23" s="114"/>
      <c r="W23" s="114" t="str">
        <f>IF(ISBLANK(V23),U23,V23)</f>
        <v/>
      </c>
      <c r="X23" s="116" t="s">
        <v>18</v>
      </c>
    </row>
    <row r="24" spans="1:24" s="59" customFormat="1" x14ac:dyDescent="0.25">
      <c r="A24" s="100" t="str">
        <f>IF(ISBLANK(ClassInformation!C23),"ZZZZZ",ClassInformation!C23)</f>
        <v>N</v>
      </c>
      <c r="B24" s="101" t="str">
        <f>IF(ISBLANK(ClassInformation!D23),"ZZZZZ",ClassInformation!D23)</f>
        <v>ZZZZZ</v>
      </c>
      <c r="C24" s="110"/>
      <c r="D24" s="110"/>
      <c r="E24" s="110"/>
      <c r="F24" s="110"/>
      <c r="G24" s="110"/>
      <c r="H24" s="121"/>
      <c r="I24" s="110"/>
      <c r="J24" s="110"/>
      <c r="K24" s="110"/>
      <c r="L24" s="110"/>
      <c r="M24" s="121"/>
      <c r="N24" s="110"/>
      <c r="O24" s="152" t="str">
        <f>IF(COUNTIF(C24:G24,"*-*")&gt;0,"-",IF(COUNTBLANK(C24:G24)=5,"",IF(P$3="-","-",SUM(C24:G24))))</f>
        <v/>
      </c>
      <c r="P24" s="136" t="str">
        <f>IF(O24="","",IF(O24="-","-",O24/P$3))</f>
        <v/>
      </c>
      <c r="Q24" s="125" t="str">
        <f>IF(O24="","",VLOOKUP(P24,Table1[],2,TRUE))</f>
        <v/>
      </c>
      <c r="R24" s="132" t="str">
        <f>IF(COUNTIF(H24:L24,"*-*")&gt;0,"-",IF(COUNTBLANK(H24:L24)=5,"",IF(S$3="-","-",SUM(H24:L24))))</f>
        <v/>
      </c>
      <c r="S24" s="138" t="str">
        <f>IF(R24="","",IF(R24="-", "-",R24/S$3))</f>
        <v/>
      </c>
      <c r="T24" s="126" t="str">
        <f>IF(R24="","",VLOOKUP(S24,Table1[],2,TRUE))</f>
        <v/>
      </c>
      <c r="U24" s="134" t="str">
        <f>IF(AND(P24="",S24=""),"",IF(OR(P24="-",S24="-"),"-",IF(AND(P$3&lt;&gt;0,S$3&lt;&gt;0),VLOOKUP(AVERAGE(P24,S24),Table1[],2,TRUE),IF(AND(P$3&lt;&gt;0,S$3=0),Q24,T24))))</f>
        <v/>
      </c>
      <c r="V24" s="114"/>
      <c r="W24" s="114" t="str">
        <f>IF(ISBLANK(V24),U24,V24)</f>
        <v/>
      </c>
      <c r="X24" s="116" t="s">
        <v>18</v>
      </c>
    </row>
    <row r="25" spans="1:24" s="59" customFormat="1" x14ac:dyDescent="0.25">
      <c r="A25" s="100" t="str">
        <f>IF(ISBLANK(ClassInformation!C24),"ZZZZZ",ClassInformation!C24)</f>
        <v>O</v>
      </c>
      <c r="B25" s="101" t="str">
        <f>IF(ISBLANK(ClassInformation!D24),"ZZZZZ",ClassInformation!D24)</f>
        <v>ZZZZZ</v>
      </c>
      <c r="C25" s="110"/>
      <c r="D25" s="110"/>
      <c r="E25" s="110"/>
      <c r="F25" s="110"/>
      <c r="G25" s="110"/>
      <c r="H25" s="121"/>
      <c r="I25" s="110"/>
      <c r="J25" s="110"/>
      <c r="K25" s="110"/>
      <c r="L25" s="110"/>
      <c r="M25" s="121"/>
      <c r="N25" s="110"/>
      <c r="O25" s="152" t="str">
        <f>IF(COUNTIF(C25:G25,"*-*")&gt;0,"-",IF(COUNTBLANK(C25:G25)=5,"",IF(P$3="-","-",SUM(C25:G25))))</f>
        <v/>
      </c>
      <c r="P25" s="136" t="str">
        <f>IF(O25="","",IF(O25="-","-",O25/P$3))</f>
        <v/>
      </c>
      <c r="Q25" s="125" t="str">
        <f>IF(O25="","",VLOOKUP(P25,Table1[],2,TRUE))</f>
        <v/>
      </c>
      <c r="R25" s="132" t="str">
        <f>IF(COUNTIF(H25:L25,"*-*")&gt;0,"-",IF(COUNTBLANK(H25:L25)=5,"",IF(S$3="-","-",SUM(H25:L25))))</f>
        <v/>
      </c>
      <c r="S25" s="138" t="str">
        <f>IF(R25="","",IF(R25="-", "-",R25/S$3))</f>
        <v/>
      </c>
      <c r="T25" s="126" t="str">
        <f>IF(R25="","",VLOOKUP(S25,Table1[],2,TRUE))</f>
        <v/>
      </c>
      <c r="U25" s="134" t="str">
        <f>IF(AND(P25="",S25=""),"",IF(OR(P25="-",S25="-"),"-",IF(AND(P$3&lt;&gt;0,S$3&lt;&gt;0),VLOOKUP(AVERAGE(P25,S25),Table1[],2,TRUE),IF(AND(P$3&lt;&gt;0,S$3=0),Q25,T25))))</f>
        <v/>
      </c>
      <c r="V25" s="114"/>
      <c r="W25" s="114" t="str">
        <f>IF(ISBLANK(V25),U25,V25)</f>
        <v/>
      </c>
      <c r="X25" s="116" t="s">
        <v>18</v>
      </c>
    </row>
    <row r="26" spans="1:24" s="59" customFormat="1" x14ac:dyDescent="0.25">
      <c r="A26" s="100" t="str">
        <f>IF(ISBLANK(ClassInformation!C25),"ZZZZZ",ClassInformation!C25)</f>
        <v>P</v>
      </c>
      <c r="B26" s="101" t="str">
        <f>IF(ISBLANK(ClassInformation!D25),"ZZZZZ",ClassInformation!D25)</f>
        <v>ZZZZZ</v>
      </c>
      <c r="C26" s="110"/>
      <c r="D26" s="110"/>
      <c r="E26" s="110"/>
      <c r="F26" s="110"/>
      <c r="G26" s="110"/>
      <c r="H26" s="121"/>
      <c r="I26" s="110"/>
      <c r="J26" s="110"/>
      <c r="K26" s="110"/>
      <c r="L26" s="110"/>
      <c r="M26" s="121"/>
      <c r="N26" s="110"/>
      <c r="O26" s="152" t="str">
        <f>IF(COUNTIF(C26:G26,"*-*")&gt;0,"-",IF(COUNTBLANK(C26:G26)=5,"",IF(P$3="-","-",SUM(C26:G26))))</f>
        <v/>
      </c>
      <c r="P26" s="136" t="str">
        <f>IF(O26="","",IF(O26="-","-",O26/P$3))</f>
        <v/>
      </c>
      <c r="Q26" s="125" t="str">
        <f>IF(O26="","",VLOOKUP(P26,Table1[],2,TRUE))</f>
        <v/>
      </c>
      <c r="R26" s="132" t="str">
        <f>IF(COUNTIF(H26:L26,"*-*")&gt;0,"-",IF(COUNTBLANK(H26:L26)=5,"",IF(S$3="-","-",SUM(H26:L26))))</f>
        <v/>
      </c>
      <c r="S26" s="138" t="str">
        <f>IF(R26="","",IF(R26="-", "-",R26/S$3))</f>
        <v/>
      </c>
      <c r="T26" s="126" t="str">
        <f>IF(R26="","",VLOOKUP(S26,Table1[],2,TRUE))</f>
        <v/>
      </c>
      <c r="U26" s="134" t="str">
        <f>IF(AND(P26="",S26=""),"",IF(OR(P26="-",S26="-"),"-",IF(AND(P$3&lt;&gt;0,S$3&lt;&gt;0),VLOOKUP(AVERAGE(P26,S26),Table1[],2,TRUE),IF(AND(P$3&lt;&gt;0,S$3=0),Q26,T26))))</f>
        <v/>
      </c>
      <c r="V26" s="114"/>
      <c r="W26" s="114" t="str">
        <f>IF(ISBLANK(V26),U26,V26)</f>
        <v/>
      </c>
      <c r="X26" s="116" t="s">
        <v>18</v>
      </c>
    </row>
    <row r="27" spans="1:24" s="59" customFormat="1" x14ac:dyDescent="0.25">
      <c r="A27" s="100" t="str">
        <f>IF(ISBLANK(ClassInformation!C26),"ZZZZZ",ClassInformation!C26)</f>
        <v>Q</v>
      </c>
      <c r="B27" s="101" t="str">
        <f>IF(ISBLANK(ClassInformation!D26),"ZZZZZ",ClassInformation!D26)</f>
        <v>ZZZZZ</v>
      </c>
      <c r="C27" s="110"/>
      <c r="D27" s="110"/>
      <c r="E27" s="110"/>
      <c r="F27" s="110"/>
      <c r="G27" s="110"/>
      <c r="H27" s="121"/>
      <c r="I27" s="110"/>
      <c r="J27" s="110"/>
      <c r="K27" s="110"/>
      <c r="L27" s="110"/>
      <c r="M27" s="121"/>
      <c r="N27" s="110"/>
      <c r="O27" s="152" t="str">
        <f>IF(COUNTIF(C27:G27,"*-*")&gt;0,"-",IF(COUNTBLANK(C27:G27)=5,"",IF(P$3="-","-",SUM(C27:G27))))</f>
        <v/>
      </c>
      <c r="P27" s="136" t="str">
        <f>IF(O27="","",IF(O27="-","-",O27/P$3))</f>
        <v/>
      </c>
      <c r="Q27" s="125" t="str">
        <f>IF(O27="","",VLOOKUP(P27,Table1[],2,TRUE))</f>
        <v/>
      </c>
      <c r="R27" s="132" t="str">
        <f>IF(COUNTIF(H27:L27,"*-*")&gt;0,"-",IF(COUNTBLANK(H27:L27)=5,"",IF(S$3="-","-",SUM(H27:L27))))</f>
        <v/>
      </c>
      <c r="S27" s="138" t="str">
        <f>IF(R27="","",IF(R27="-", "-",R27/S$3))</f>
        <v/>
      </c>
      <c r="T27" s="126" t="str">
        <f>IF(R27="","",VLOOKUP(S27,Table1[],2,TRUE))</f>
        <v/>
      </c>
      <c r="U27" s="134" t="str">
        <f>IF(AND(P27="",S27=""),"",IF(OR(P27="-",S27="-"),"-",IF(AND(P$3&lt;&gt;0,S$3&lt;&gt;0),VLOOKUP(AVERAGE(P27,S27),Table1[],2,TRUE),IF(AND(P$3&lt;&gt;0,S$3=0),Q27,T27))))</f>
        <v/>
      </c>
      <c r="V27" s="114"/>
      <c r="W27" s="114" t="str">
        <f>IF(ISBLANK(V27),U27,V27)</f>
        <v/>
      </c>
      <c r="X27" s="116" t="s">
        <v>18</v>
      </c>
    </row>
    <row r="28" spans="1:24" s="59" customFormat="1" x14ac:dyDescent="0.25">
      <c r="A28" s="100" t="str">
        <f>IF(ISBLANK(ClassInformation!C27),"ZZZZZ",ClassInformation!C27)</f>
        <v>R</v>
      </c>
      <c r="B28" s="101" t="str">
        <f>IF(ISBLANK(ClassInformation!D27),"ZZZZZ",ClassInformation!D27)</f>
        <v>ZZZZZ</v>
      </c>
      <c r="C28" s="110"/>
      <c r="D28" s="110"/>
      <c r="E28" s="110"/>
      <c r="F28" s="110"/>
      <c r="G28" s="110"/>
      <c r="H28" s="121"/>
      <c r="I28" s="110"/>
      <c r="J28" s="110"/>
      <c r="K28" s="110"/>
      <c r="L28" s="110"/>
      <c r="M28" s="121"/>
      <c r="N28" s="110"/>
      <c r="O28" s="152" t="str">
        <f>IF(COUNTIF(C28:G28,"*-*")&gt;0,"-",IF(COUNTBLANK(C28:G28)=5,"",IF(P$3="-","-",SUM(C28:G28))))</f>
        <v/>
      </c>
      <c r="P28" s="136" t="str">
        <f>IF(O28="","",IF(O28="-","-",O28/P$3))</f>
        <v/>
      </c>
      <c r="Q28" s="125" t="str">
        <f>IF(O28="","",VLOOKUP(P28,Table1[],2,TRUE))</f>
        <v/>
      </c>
      <c r="R28" s="132" t="str">
        <f>IF(COUNTIF(H28:L28,"*-*")&gt;0,"-",IF(COUNTBLANK(H28:L28)=5,"",IF(S$3="-","-",SUM(H28:L28))))</f>
        <v/>
      </c>
      <c r="S28" s="138" t="str">
        <f>IF(R28="","",IF(R28="-", "-",R28/S$3))</f>
        <v/>
      </c>
      <c r="T28" s="126" t="str">
        <f>IF(R28="","",VLOOKUP(S28,Table1[],2,TRUE))</f>
        <v/>
      </c>
      <c r="U28" s="134" t="str">
        <f>IF(AND(P28="",S28=""),"",IF(OR(P28="-",S28="-"),"-",IF(AND(P$3&lt;&gt;0,S$3&lt;&gt;0),VLOOKUP(AVERAGE(P28,S28),Table1[],2,TRUE),IF(AND(P$3&lt;&gt;0,S$3=0),Q28,T28))))</f>
        <v/>
      </c>
      <c r="V28" s="114"/>
      <c r="W28" s="114" t="str">
        <f>IF(ISBLANK(V28),U28,V28)</f>
        <v/>
      </c>
      <c r="X28" s="116" t="s">
        <v>18</v>
      </c>
    </row>
    <row r="29" spans="1:24" s="59" customFormat="1" x14ac:dyDescent="0.25">
      <c r="A29" s="100" t="str">
        <f>IF(ISBLANK(ClassInformation!C28),"ZZZZZ",ClassInformation!C28)</f>
        <v>S</v>
      </c>
      <c r="B29" s="101" t="str">
        <f>IF(ISBLANK(ClassInformation!D28),"ZZZZZ",ClassInformation!D28)</f>
        <v>ZZZZZ</v>
      </c>
      <c r="C29" s="110"/>
      <c r="D29" s="110"/>
      <c r="E29" s="110"/>
      <c r="F29" s="110"/>
      <c r="G29" s="110"/>
      <c r="H29" s="121"/>
      <c r="I29" s="110"/>
      <c r="J29" s="110"/>
      <c r="K29" s="110"/>
      <c r="L29" s="110"/>
      <c r="M29" s="121"/>
      <c r="N29" s="110"/>
      <c r="O29" s="152" t="str">
        <f>IF(COUNTIF(C29:G29,"*-*")&gt;0,"-",IF(COUNTBLANK(C29:G29)=5,"",IF(P$3="-","-",SUM(C29:G29))))</f>
        <v/>
      </c>
      <c r="P29" s="136" t="str">
        <f>IF(O29="","",IF(O29="-","-",O29/P$3))</f>
        <v/>
      </c>
      <c r="Q29" s="125" t="str">
        <f>IF(O29="","",VLOOKUP(P29,Table1[],2,TRUE))</f>
        <v/>
      </c>
      <c r="R29" s="132" t="str">
        <f>IF(COUNTIF(H29:L29,"*-*")&gt;0,"-",IF(COUNTBLANK(H29:L29)=5,"",IF(S$3="-","-",SUM(H29:L29))))</f>
        <v/>
      </c>
      <c r="S29" s="138" t="str">
        <f>IF(R29="","",IF(R29="-", "-",R29/S$3))</f>
        <v/>
      </c>
      <c r="T29" s="126" t="str">
        <f>IF(R29="","",VLOOKUP(S29,Table1[],2,TRUE))</f>
        <v/>
      </c>
      <c r="U29" s="134" t="str">
        <f>IF(AND(P29="",S29=""),"",IF(OR(P29="-",S29="-"),"-",IF(AND(P$3&lt;&gt;0,S$3&lt;&gt;0),VLOOKUP(AVERAGE(P29,S29),Table1[],2,TRUE),IF(AND(P$3&lt;&gt;0,S$3=0),Q29,T29))))</f>
        <v/>
      </c>
      <c r="V29" s="114"/>
      <c r="W29" s="114" t="str">
        <f>IF(ISBLANK(V29),U29,V29)</f>
        <v/>
      </c>
      <c r="X29" s="116" t="s">
        <v>18</v>
      </c>
    </row>
    <row r="30" spans="1:24" s="59" customFormat="1" x14ac:dyDescent="0.25">
      <c r="A30" s="100" t="str">
        <f>IF(ISBLANK(ClassInformation!C29),"ZZZZZ",ClassInformation!C29)</f>
        <v>T</v>
      </c>
      <c r="B30" s="101" t="str">
        <f>IF(ISBLANK(ClassInformation!D29),"ZZZZZ",ClassInformation!D29)</f>
        <v>ZZZZZ</v>
      </c>
      <c r="C30" s="110"/>
      <c r="D30" s="110"/>
      <c r="E30" s="110"/>
      <c r="F30" s="110"/>
      <c r="G30" s="110"/>
      <c r="H30" s="121"/>
      <c r="I30" s="110"/>
      <c r="J30" s="110"/>
      <c r="K30" s="110"/>
      <c r="L30" s="110"/>
      <c r="M30" s="121"/>
      <c r="N30" s="110"/>
      <c r="O30" s="152" t="str">
        <f>IF(COUNTIF(C30:G30,"*-*")&gt;0,"-",IF(COUNTBLANK(C30:G30)=5,"",IF(P$3="-","-",SUM(C30:G30))))</f>
        <v/>
      </c>
      <c r="P30" s="136" t="str">
        <f>IF(O30="","",IF(O30="-","-",O30/P$3))</f>
        <v/>
      </c>
      <c r="Q30" s="125" t="str">
        <f>IF(O30="","",VLOOKUP(P30,Table1[],2,TRUE))</f>
        <v/>
      </c>
      <c r="R30" s="132" t="str">
        <f>IF(COUNTIF(H30:L30,"*-*")&gt;0,"-",IF(COUNTBLANK(H30:L30)=5,"",IF(S$3="-","-",SUM(H30:L30))))</f>
        <v/>
      </c>
      <c r="S30" s="138" t="str">
        <f>IF(R30="","",IF(R30="-", "-",R30/S$3))</f>
        <v/>
      </c>
      <c r="T30" s="126" t="str">
        <f>IF(R30="","",VLOOKUP(S30,Table1[],2,TRUE))</f>
        <v/>
      </c>
      <c r="U30" s="134" t="str">
        <f>IF(AND(P30="",S30=""),"",IF(OR(P30="-",S30="-"),"-",IF(AND(P$3&lt;&gt;0,S$3&lt;&gt;0),VLOOKUP(AVERAGE(P30,S30),Table1[],2,TRUE),IF(AND(P$3&lt;&gt;0,S$3=0),Q30,T30))))</f>
        <v/>
      </c>
      <c r="V30" s="114"/>
      <c r="W30" s="114" t="str">
        <f>IF(ISBLANK(V30),U30,V30)</f>
        <v/>
      </c>
      <c r="X30" s="116" t="s">
        <v>18</v>
      </c>
    </row>
    <row r="31" spans="1:24" s="59" customFormat="1" x14ac:dyDescent="0.25">
      <c r="A31" s="100" t="str">
        <f>IF(ISBLANK(ClassInformation!C30),"ZZZZZ",ClassInformation!C30)</f>
        <v>U</v>
      </c>
      <c r="B31" s="101" t="str">
        <f>IF(ISBLANK(ClassInformation!D30),"ZZZZZ",ClassInformation!D30)</f>
        <v>ZZZZZ</v>
      </c>
      <c r="C31" s="110"/>
      <c r="D31" s="110"/>
      <c r="E31" s="110"/>
      <c r="F31" s="110"/>
      <c r="G31" s="110"/>
      <c r="H31" s="121"/>
      <c r="I31" s="110"/>
      <c r="J31" s="110"/>
      <c r="K31" s="110"/>
      <c r="L31" s="110"/>
      <c r="M31" s="121"/>
      <c r="N31" s="110"/>
      <c r="O31" s="152" t="str">
        <f>IF(COUNTIF(C31:G31,"*-*")&gt;0,"-",IF(COUNTBLANK(C31:G31)=5,"",IF(P$3="-","-",SUM(C31:G31))))</f>
        <v/>
      </c>
      <c r="P31" s="136" t="str">
        <f>IF(O31="","",IF(O31="-","-",O31/P$3))</f>
        <v/>
      </c>
      <c r="Q31" s="125" t="str">
        <f>IF(O31="","",VLOOKUP(P31,Table1[],2,TRUE))</f>
        <v/>
      </c>
      <c r="R31" s="132" t="str">
        <f>IF(COUNTIF(H31:L31,"*-*")&gt;0,"-",IF(COUNTBLANK(H31:L31)=5,"",IF(S$3="-","-",SUM(H31:L31))))</f>
        <v/>
      </c>
      <c r="S31" s="138" t="str">
        <f>IF(R31="","",IF(R31="-", "-",R31/S$3))</f>
        <v/>
      </c>
      <c r="T31" s="126" t="str">
        <f>IF(R31="","",VLOOKUP(S31,Table1[],2,TRUE))</f>
        <v/>
      </c>
      <c r="U31" s="134" t="str">
        <f>IF(AND(P31="",S31=""),"",IF(OR(P31="-",S31="-"),"-",IF(AND(P$3&lt;&gt;0,S$3&lt;&gt;0),VLOOKUP(AVERAGE(P31,S31),Table1[],2,TRUE),IF(AND(P$3&lt;&gt;0,S$3=0),Q31,T31))))</f>
        <v/>
      </c>
      <c r="V31" s="114"/>
      <c r="W31" s="114" t="str">
        <f>IF(ISBLANK(V31),U31,V31)</f>
        <v/>
      </c>
      <c r="X31" s="116" t="s">
        <v>18</v>
      </c>
    </row>
    <row r="32" spans="1:24" s="59" customFormat="1" x14ac:dyDescent="0.25">
      <c r="A32" s="100" t="str">
        <f>IF(ISBLANK(ClassInformation!C31),"ZZZZZ",ClassInformation!C31)</f>
        <v>V</v>
      </c>
      <c r="B32" s="101" t="str">
        <f>IF(ISBLANK(ClassInformation!D31),"ZZZZZ",ClassInformation!D31)</f>
        <v>ZZZZZ</v>
      </c>
      <c r="C32" s="110"/>
      <c r="D32" s="110"/>
      <c r="E32" s="110"/>
      <c r="F32" s="110"/>
      <c r="G32" s="110"/>
      <c r="H32" s="121"/>
      <c r="I32" s="110"/>
      <c r="J32" s="110"/>
      <c r="K32" s="110"/>
      <c r="L32" s="110"/>
      <c r="M32" s="121"/>
      <c r="N32" s="110"/>
      <c r="O32" s="152" t="str">
        <f>IF(COUNTIF(C32:G32,"*-*")&gt;0,"-",IF(COUNTBLANK(C32:G32)=5,"",IF(P$3="-","-",SUM(C32:G32))))</f>
        <v/>
      </c>
      <c r="P32" s="136" t="str">
        <f>IF(O32="","",IF(O32="-","-",O32/P$3))</f>
        <v/>
      </c>
      <c r="Q32" s="125" t="str">
        <f>IF(O32="","",VLOOKUP(P32,Table1[],2,TRUE))</f>
        <v/>
      </c>
      <c r="R32" s="132" t="str">
        <f>IF(COUNTIF(H32:L32,"*-*")&gt;0,"-",IF(COUNTBLANK(H32:L32)=5,"",IF(S$3="-","-",SUM(H32:L32))))</f>
        <v/>
      </c>
      <c r="S32" s="138" t="str">
        <f>IF(R32="","",IF(R32="-", "-",R32/S$3))</f>
        <v/>
      </c>
      <c r="T32" s="126" t="str">
        <f>IF(R32="","",VLOOKUP(S32,Table1[],2,TRUE))</f>
        <v/>
      </c>
      <c r="U32" s="134" t="str">
        <f>IF(AND(P32="",S32=""),"",IF(OR(P32="-",S32="-"),"-",IF(AND(P$3&lt;&gt;0,S$3&lt;&gt;0),VLOOKUP(AVERAGE(P32,S32),Table1[],2,TRUE),IF(AND(P$3&lt;&gt;0,S$3=0),Q32,T32))))</f>
        <v/>
      </c>
      <c r="V32" s="114"/>
      <c r="W32" s="114" t="str">
        <f>IF(ISBLANK(V32),U32,V32)</f>
        <v/>
      </c>
      <c r="X32" s="116" t="s">
        <v>18</v>
      </c>
    </row>
    <row r="33" spans="1:24" s="59" customFormat="1" x14ac:dyDescent="0.25">
      <c r="A33" s="100" t="str">
        <f>IF(ISBLANK(ClassInformation!C32),"ZZZZZ",ClassInformation!C32)</f>
        <v>W</v>
      </c>
      <c r="B33" s="101" t="str">
        <f>IF(ISBLANK(ClassInformation!D32),"ZZZZZ",ClassInformation!D32)</f>
        <v>ZZZZZ</v>
      </c>
      <c r="C33" s="110"/>
      <c r="D33" s="110"/>
      <c r="E33" s="110"/>
      <c r="F33" s="110"/>
      <c r="G33" s="110"/>
      <c r="H33" s="121"/>
      <c r="I33" s="110"/>
      <c r="J33" s="110"/>
      <c r="K33" s="110"/>
      <c r="L33" s="110"/>
      <c r="M33" s="121"/>
      <c r="N33" s="110"/>
      <c r="O33" s="152" t="str">
        <f>IF(COUNTIF(C33:G33,"*-*")&gt;0,"-",IF(COUNTBLANK(C33:G33)=5,"",IF(P$3="-","-",SUM(C33:G33))))</f>
        <v/>
      </c>
      <c r="P33" s="136" t="str">
        <f>IF(O33="","",IF(O33="-","-",O33/P$3))</f>
        <v/>
      </c>
      <c r="Q33" s="125" t="str">
        <f>IF(O33="","",VLOOKUP(P33,Table1[],2,TRUE))</f>
        <v/>
      </c>
      <c r="R33" s="132" t="str">
        <f>IF(COUNTIF(H33:L33,"*-*")&gt;0,"-",IF(COUNTBLANK(H33:L33)=5,"",IF(S$3="-","-",SUM(H33:L33))))</f>
        <v/>
      </c>
      <c r="S33" s="138" t="str">
        <f>IF(R33="","",IF(R33="-", "-",R33/S$3))</f>
        <v/>
      </c>
      <c r="T33" s="126" t="str">
        <f>IF(R33="","",VLOOKUP(S33,Table1[],2,TRUE))</f>
        <v/>
      </c>
      <c r="U33" s="134" t="str">
        <f>IF(AND(P33="",S33=""),"",IF(OR(P33="-",S33="-"),"-",IF(AND(P$3&lt;&gt;0,S$3&lt;&gt;0),VLOOKUP(AVERAGE(P33,S33),Table1[],2,TRUE),IF(AND(P$3&lt;&gt;0,S$3=0),Q33,T33))))</f>
        <v/>
      </c>
      <c r="V33" s="114"/>
      <c r="W33" s="114" t="str">
        <f>IF(ISBLANK(V33),U33,V33)</f>
        <v/>
      </c>
      <c r="X33" s="116" t="s">
        <v>18</v>
      </c>
    </row>
    <row r="34" spans="1:24" s="59" customFormat="1" x14ac:dyDescent="0.25">
      <c r="A34" s="100" t="str">
        <f>IF(ISBLANK(ClassInformation!C33),"ZZZZZ",ClassInformation!C33)</f>
        <v>X</v>
      </c>
      <c r="B34" s="101" t="str">
        <f>IF(ISBLANK(ClassInformation!D33),"ZZZZZ",ClassInformation!D33)</f>
        <v>ZZZZZ</v>
      </c>
      <c r="C34" s="110"/>
      <c r="D34" s="110"/>
      <c r="E34" s="110"/>
      <c r="F34" s="110"/>
      <c r="G34" s="110"/>
      <c r="H34" s="121"/>
      <c r="I34" s="110"/>
      <c r="J34" s="110"/>
      <c r="K34" s="110"/>
      <c r="L34" s="110"/>
      <c r="M34" s="121"/>
      <c r="N34" s="110"/>
      <c r="O34" s="152" t="str">
        <f>IF(COUNTIF(C34:G34,"*-*")&gt;0,"-",IF(COUNTBLANK(C34:G34)=5,"",IF(P$3="-","-",SUM(C34:G34))))</f>
        <v/>
      </c>
      <c r="P34" s="136" t="str">
        <f>IF(O34="","",IF(O34="-","-",O34/P$3))</f>
        <v/>
      </c>
      <c r="Q34" s="125" t="str">
        <f>IF(O34="","",VLOOKUP(P34,Table1[],2,TRUE))</f>
        <v/>
      </c>
      <c r="R34" s="132" t="str">
        <f>IF(COUNTIF(H34:L34,"*-*")&gt;0,"-",IF(COUNTBLANK(H34:L34)=5,"",IF(S$3="-","-",SUM(H34:L34))))</f>
        <v/>
      </c>
      <c r="S34" s="138" t="str">
        <f>IF(R34="","",IF(R34="-", "-",R34/S$3))</f>
        <v/>
      </c>
      <c r="T34" s="126" t="str">
        <f>IF(R34="","",VLOOKUP(S34,Table1[],2,TRUE))</f>
        <v/>
      </c>
      <c r="U34" s="134" t="str">
        <f>IF(AND(P34="",S34=""),"",IF(OR(P34="-",S34="-"),"-",IF(AND(P$3&lt;&gt;0,S$3&lt;&gt;0),VLOOKUP(AVERAGE(P34,S34),Table1[],2,TRUE),IF(AND(P$3&lt;&gt;0,S$3=0),Q34,T34))))</f>
        <v/>
      </c>
      <c r="V34" s="114"/>
      <c r="W34" s="114" t="str">
        <f>IF(ISBLANK(V34),U34,V34)</f>
        <v/>
      </c>
      <c r="X34" s="116" t="s">
        <v>18</v>
      </c>
    </row>
    <row r="35" spans="1:24" s="59" customFormat="1" x14ac:dyDescent="0.25">
      <c r="A35" s="100" t="str">
        <f>IF(ISBLANK(ClassInformation!C34),"ZZZZZ",ClassInformation!C34)</f>
        <v>Y</v>
      </c>
      <c r="B35" s="101" t="str">
        <f>IF(ISBLANK(ClassInformation!D34),"ZZZZZ",ClassInformation!D34)</f>
        <v>ZZZZZ</v>
      </c>
      <c r="C35" s="110"/>
      <c r="D35" s="110"/>
      <c r="E35" s="110"/>
      <c r="F35" s="110"/>
      <c r="G35" s="110"/>
      <c r="H35" s="121"/>
      <c r="I35" s="110"/>
      <c r="J35" s="110"/>
      <c r="K35" s="110"/>
      <c r="L35" s="110"/>
      <c r="M35" s="121"/>
      <c r="N35" s="110"/>
      <c r="O35" s="152" t="str">
        <f>IF(COUNTIF(C35:G35,"*-*")&gt;0,"-",IF(COUNTBLANK(C35:G35)=5,"",IF(P$3="-","-",SUM(C35:G35))))</f>
        <v/>
      </c>
      <c r="P35" s="136" t="str">
        <f>IF(O35="","",IF(O35="-","-",O35/P$3))</f>
        <v/>
      </c>
      <c r="Q35" s="125" t="str">
        <f>IF(O35="","",VLOOKUP(P35,Table1[],2,TRUE))</f>
        <v/>
      </c>
      <c r="R35" s="132" t="str">
        <f>IF(COUNTIF(H35:L35,"*-*")&gt;0,"-",IF(COUNTBLANK(H35:L35)=5,"",IF(S$3="-","-",SUM(H35:L35))))</f>
        <v/>
      </c>
      <c r="S35" s="138" t="str">
        <f>IF(R35="","",IF(R35="-", "-",R35/S$3))</f>
        <v/>
      </c>
      <c r="T35" s="126" t="str">
        <f>IF(R35="","",VLOOKUP(S35,Table1[],2,TRUE))</f>
        <v/>
      </c>
      <c r="U35" s="134" t="str">
        <f>IF(AND(P35="",S35=""),"",IF(OR(P35="-",S35="-"),"-",IF(AND(P$3&lt;&gt;0,S$3&lt;&gt;0),VLOOKUP(AVERAGE(P35,S35),Table1[],2,TRUE),IF(AND(P$3&lt;&gt;0,S$3=0),Q35,T35))))</f>
        <v/>
      </c>
      <c r="V35" s="114"/>
      <c r="W35" s="114" t="str">
        <f>IF(ISBLANK(V35),U35,V35)</f>
        <v/>
      </c>
      <c r="X35" s="116" t="s">
        <v>18</v>
      </c>
    </row>
    <row r="36" spans="1:24" s="59" customFormat="1" x14ac:dyDescent="0.25">
      <c r="A36" s="100" t="str">
        <f>IF(ISBLANK(ClassInformation!C35),"ZZZZZ",ClassInformation!C35)</f>
        <v>Z</v>
      </c>
      <c r="B36" s="101" t="str">
        <f>IF(ISBLANK(ClassInformation!D35),"ZZZZZ",ClassInformation!D35)</f>
        <v>ZZZZZ</v>
      </c>
      <c r="C36" s="110"/>
      <c r="D36" s="110"/>
      <c r="E36" s="110"/>
      <c r="F36" s="110"/>
      <c r="G36" s="110"/>
      <c r="H36" s="121"/>
      <c r="I36" s="110"/>
      <c r="J36" s="110"/>
      <c r="K36" s="110"/>
      <c r="L36" s="110"/>
      <c r="M36" s="121"/>
      <c r="N36" s="110"/>
      <c r="O36" s="152" t="str">
        <f>IF(COUNTIF(C36:G36,"*-*")&gt;0,"-",IF(COUNTBLANK(C36:G36)=5,"",IF(P$3="-","-",SUM(C36:G36))))</f>
        <v/>
      </c>
      <c r="P36" s="136" t="str">
        <f>IF(O36="","",IF(O36="-","-",O36/P$3))</f>
        <v/>
      </c>
      <c r="Q36" s="125" t="str">
        <f>IF(O36="","",VLOOKUP(P36,Table1[],2,TRUE))</f>
        <v/>
      </c>
      <c r="R36" s="132" t="str">
        <f>IF(COUNTIF(H36:L36,"*-*")&gt;0,"-",IF(COUNTBLANK(H36:L36)=5,"",IF(S$3="-","-",SUM(H36:L36))))</f>
        <v/>
      </c>
      <c r="S36" s="138" t="str">
        <f>IF(R36="","",IF(R36="-", "-",R36/S$3))</f>
        <v/>
      </c>
      <c r="T36" s="126" t="str">
        <f>IF(R36="","",VLOOKUP(S36,Table1[],2,TRUE))</f>
        <v/>
      </c>
      <c r="U36" s="134" t="str">
        <f>IF(AND(P36="",S36=""),"",IF(OR(P36="-",S36="-"),"-",IF(AND(P$3&lt;&gt;0,S$3&lt;&gt;0),VLOOKUP(AVERAGE(P36,S36),Table1[],2,TRUE),IF(AND(P$3&lt;&gt;0,S$3=0),Q36,T36))))</f>
        <v/>
      </c>
      <c r="V36" s="114"/>
      <c r="W36" s="114" t="str">
        <f>IF(ISBLANK(V36),U36,V36)</f>
        <v/>
      </c>
      <c r="X36" s="116" t="s">
        <v>18</v>
      </c>
    </row>
    <row r="37" spans="1:24" s="59" customFormat="1" x14ac:dyDescent="0.25">
      <c r="A37" s="100" t="str">
        <f>IF(ISBLANK(ClassInformation!C42),"ZZZZZ",ClassInformation!C42)</f>
        <v>ZZZZZ</v>
      </c>
      <c r="B37" s="101" t="str">
        <f>IF(ISBLANK(ClassInformation!D42),"ZZZZZ",ClassInformation!D42)</f>
        <v>ZZZZZ</v>
      </c>
      <c r="C37" s="110"/>
      <c r="D37" s="110"/>
      <c r="E37" s="110"/>
      <c r="F37" s="110"/>
      <c r="G37" s="110"/>
      <c r="H37" s="121"/>
      <c r="I37" s="110"/>
      <c r="J37" s="110"/>
      <c r="K37" s="110"/>
      <c r="L37" s="110"/>
      <c r="M37" s="121"/>
      <c r="N37" s="110"/>
      <c r="O37" s="152" t="str">
        <f>IF(COUNTIF(C37:G37,"*-*")&gt;0,"-",IF(COUNTBLANK(C37:G37)=5,"",IF(P$3="-","-",SUM(C37:G37))))</f>
        <v/>
      </c>
      <c r="P37" s="136" t="str">
        <f>IF(O37="","",IF(O37="-","-",O37/P$3))</f>
        <v/>
      </c>
      <c r="Q37" s="125" t="str">
        <f>IF(O37="","",VLOOKUP(P37,Table1[],2,TRUE))</f>
        <v/>
      </c>
      <c r="R37" s="132" t="str">
        <f>IF(COUNTIF(H37:L37,"*-*")&gt;0,"-",IF(COUNTBLANK(H37:L37)=5,"",IF(S$3="-","-",SUM(H37:L37))))</f>
        <v/>
      </c>
      <c r="S37" s="138" t="str">
        <f>IF(R37="","",IF(R37="-", "-",R37/S$3))</f>
        <v/>
      </c>
      <c r="T37" s="126" t="str">
        <f>IF(R37="","",VLOOKUP(S37,Table1[],2,TRUE))</f>
        <v/>
      </c>
      <c r="U37" s="134" t="str">
        <f>IF(AND(P37="",S37=""),"",IF(OR(P37="-",S37="-"),"-",IF(AND(P$3&lt;&gt;0,S$3&lt;&gt;0),VLOOKUP(AVERAGE(P37,S37),Table1[],2,TRUE),IF(AND(P$3&lt;&gt;0,S$3=0),Q37,T37))))</f>
        <v/>
      </c>
      <c r="V37" s="114"/>
      <c r="W37" s="114" t="str">
        <f>IF(ISBLANK(V37),U37,V37)</f>
        <v/>
      </c>
      <c r="X37" s="116" t="s">
        <v>18</v>
      </c>
    </row>
    <row r="38" spans="1:24" s="59" customFormat="1" x14ac:dyDescent="0.25">
      <c r="A38" s="100" t="str">
        <f>IF(ISBLANK(ClassInformation!C43),"ZZZZZ",ClassInformation!C43)</f>
        <v>ZZZZZ</v>
      </c>
      <c r="B38" s="101" t="str">
        <f>IF(ISBLANK(ClassInformation!D43),"ZZZZZ",ClassInformation!D43)</f>
        <v>ZZZZZ</v>
      </c>
      <c r="C38" s="110"/>
      <c r="D38" s="110"/>
      <c r="E38" s="110"/>
      <c r="F38" s="110"/>
      <c r="G38" s="110"/>
      <c r="H38" s="121"/>
      <c r="I38" s="110"/>
      <c r="J38" s="110"/>
      <c r="K38" s="110"/>
      <c r="L38" s="110"/>
      <c r="M38" s="121"/>
      <c r="N38" s="110"/>
      <c r="O38" s="152" t="str">
        <f>IF(COUNTIF(C38:G38,"*-*")&gt;0,"-",IF(COUNTBLANK(C38:G38)=5,"",IF(P$3="-","-",SUM(C38:G38))))</f>
        <v/>
      </c>
      <c r="P38" s="136" t="str">
        <f>IF(O38="","",IF(O38="-","-",O38/P$3))</f>
        <v/>
      </c>
      <c r="Q38" s="125" t="str">
        <f>IF(O38="","",VLOOKUP(P38,Table1[],2,TRUE))</f>
        <v/>
      </c>
      <c r="R38" s="132" t="str">
        <f>IF(COUNTIF(H38:L38,"*-*")&gt;0,"-",IF(COUNTBLANK(H38:L38)=5,"",IF(S$3="-","-",SUM(H38:L38))))</f>
        <v/>
      </c>
      <c r="S38" s="138" t="str">
        <f>IF(R38="","",IF(R38="-", "-",R38/S$3))</f>
        <v/>
      </c>
      <c r="T38" s="126" t="str">
        <f>IF(R38="","",VLOOKUP(S38,Table1[],2,TRUE))</f>
        <v/>
      </c>
      <c r="U38" s="134" t="str">
        <f>IF(AND(P38="",S38=""),"",IF(OR(P38="-",S38="-"),"-",IF(AND(P$3&lt;&gt;0,S$3&lt;&gt;0),VLOOKUP(AVERAGE(P38,S38),Table1[],2,TRUE),IF(AND(P$3&lt;&gt;0,S$3=0),Q38,T38))))</f>
        <v/>
      </c>
      <c r="V38" s="114"/>
      <c r="W38" s="114" t="str">
        <f>IF(ISBLANK(V38),U38,V38)</f>
        <v/>
      </c>
      <c r="X38" s="116" t="s">
        <v>18</v>
      </c>
    </row>
    <row r="39" spans="1:24" s="59" customFormat="1" x14ac:dyDescent="0.25">
      <c r="A39" s="100" t="str">
        <f>IF(ISBLANK(ClassInformation!C44),"ZZZZZ",ClassInformation!C44)</f>
        <v>ZZZZZ</v>
      </c>
      <c r="B39" s="101" t="str">
        <f>IF(ISBLANK(ClassInformation!D44),"ZZZZZ",ClassInformation!D44)</f>
        <v>ZZZZZ</v>
      </c>
      <c r="C39" s="110"/>
      <c r="D39" s="110"/>
      <c r="E39" s="110"/>
      <c r="F39" s="110"/>
      <c r="G39" s="110"/>
      <c r="H39" s="121"/>
      <c r="I39" s="110"/>
      <c r="J39" s="110"/>
      <c r="K39" s="110"/>
      <c r="L39" s="110"/>
      <c r="M39" s="121"/>
      <c r="N39" s="110"/>
      <c r="O39" s="152" t="str">
        <f>IF(COUNTIF(C39:G39,"*-*")&gt;0,"-",IF(COUNTBLANK(C39:G39)=5,"",IF(P$3="-","-",SUM(C39:G39))))</f>
        <v/>
      </c>
      <c r="P39" s="136" t="str">
        <f>IF(O39="","",IF(O39="-","-",O39/P$3))</f>
        <v/>
      </c>
      <c r="Q39" s="125" t="str">
        <f>IF(O39="","",VLOOKUP(P39,Table1[],2,TRUE))</f>
        <v/>
      </c>
      <c r="R39" s="132" t="str">
        <f>IF(COUNTIF(H39:L39,"*-*")&gt;0,"-",IF(COUNTBLANK(H39:L39)=5,"",IF(S$3="-","-",SUM(H39:L39))))</f>
        <v/>
      </c>
      <c r="S39" s="138" t="str">
        <f>IF(R39="","",IF(R39="-", "-",R39/S$3))</f>
        <v/>
      </c>
      <c r="T39" s="126" t="str">
        <f>IF(R39="","",VLOOKUP(S39,Table1[],2,TRUE))</f>
        <v/>
      </c>
      <c r="U39" s="134" t="str">
        <f>IF(AND(P39="",S39=""),"",IF(OR(P39="-",S39="-"),"-",IF(AND(P$3&lt;&gt;0,S$3&lt;&gt;0),VLOOKUP(AVERAGE(P39,S39),Table1[],2,TRUE),IF(AND(P$3&lt;&gt;0,S$3=0),Q39,T39))))</f>
        <v/>
      </c>
      <c r="V39" s="114"/>
      <c r="W39" s="114" t="str">
        <f>IF(ISBLANK(V39),U39,V39)</f>
        <v/>
      </c>
      <c r="X39" s="116" t="s">
        <v>18</v>
      </c>
    </row>
    <row r="40" spans="1:24" s="59" customFormat="1" ht="15.75" thickBot="1" x14ac:dyDescent="0.3">
      <c r="A40" s="149" t="str">
        <f>IF(ISBLANK(ClassInformation!C45),"ZZZZZ",ClassInformation!C45)</f>
        <v>ZZZZZ</v>
      </c>
      <c r="B40" s="150" t="str">
        <f>IF(ISBLANK(ClassInformation!D45),"ZZZZZ",ClassInformation!D45)</f>
        <v>ZZZZZ</v>
      </c>
      <c r="C40" s="122"/>
      <c r="D40" s="122"/>
      <c r="E40" s="122"/>
      <c r="F40" s="122"/>
      <c r="G40" s="122"/>
      <c r="H40" s="123"/>
      <c r="I40" s="122"/>
      <c r="J40" s="122"/>
      <c r="K40" s="122"/>
      <c r="L40" s="122"/>
      <c r="M40" s="123"/>
      <c r="N40" s="148"/>
      <c r="O40" s="153" t="str">
        <f>IF(COUNTIF(C40:G40,"*-*")&gt;0,"-",IF(COUNTBLANK(C40:G40)=5,"",IF(P$3="-","-",SUM(C40:G40))))</f>
        <v/>
      </c>
      <c r="P40" s="137" t="str">
        <f>IF(O40="","",IF(O40="-","-",O40/P$3))</f>
        <v/>
      </c>
      <c r="Q40" s="127" t="str">
        <f>IF(O40="","",VLOOKUP(P40,Table1[],2,TRUE))</f>
        <v/>
      </c>
      <c r="R40" s="133" t="str">
        <f>IF(COUNTIF(H40:L40,"*-*")&gt;0,"-",IF(COUNTBLANK(H40:L40)=5,"",IF(S$3="-","-",SUM(H40:L40))))</f>
        <v/>
      </c>
      <c r="S40" s="139" t="str">
        <f>IF(R40="","",IF(R40="-", "-",R40/S$3))</f>
        <v/>
      </c>
      <c r="T40" s="128" t="str">
        <f>IF(R40="","",VLOOKUP(S40,Table1[],2,TRUE))</f>
        <v/>
      </c>
      <c r="U40" s="135" t="str">
        <f>IF(AND(P40="",S40=""),"",IF(OR(P40="-",S40="-"),"-",IF(AND(P$3&lt;&gt;0,S$3&lt;&gt;0),VLOOKUP(AVERAGE(P40,S40),Table1[],2,TRUE),IF(AND(P$3&lt;&gt;0,S$3=0),Q40,T40))))</f>
        <v/>
      </c>
      <c r="V40" s="129"/>
      <c r="W40" s="130" t="str">
        <f>IF(ISBLANK(V40),U40,V40)</f>
        <v/>
      </c>
      <c r="X40" s="120" t="s">
        <v>18</v>
      </c>
    </row>
  </sheetData>
  <sheetProtection formatCells="0" formatColumns="0" formatRows="0" insertColumns="0" deleteColumns="0"/>
  <sortState ref="A5:AT40">
    <sortCondition ref="A5"/>
  </sortState>
  <mergeCells count="9">
    <mergeCell ref="D1:X1"/>
    <mergeCell ref="C2:G2"/>
    <mergeCell ref="H2:L2"/>
    <mergeCell ref="M2:N2"/>
    <mergeCell ref="O2:W2"/>
    <mergeCell ref="P3:Q3"/>
    <mergeCell ref="S3:T3"/>
    <mergeCell ref="A1:B2"/>
    <mergeCell ref="A3:B3"/>
  </mergeCells>
  <conditionalFormatting sqref="A5:B40">
    <cfRule type="expression" dxfId="4" priority="867">
      <formula>A5="ZZZZZ"</formula>
    </cfRule>
  </conditionalFormatting>
  <conditionalFormatting sqref="T5:W40 Q5:Q40">
    <cfRule type="expression" dxfId="3" priority="170" stopIfTrue="1">
      <formula>OR(ISNUMBER(SEARCH("D",Q5)),ISNUMBER(SEARCH("E",Q5)))</formula>
    </cfRule>
  </conditionalFormatting>
  <conditionalFormatting sqref="C5:L40">
    <cfRule type="expression" dxfId="2" priority="2" stopIfTrue="1">
      <formula>NOT(ISBLANK(C5))</formula>
    </cfRule>
    <cfRule type="expression" dxfId="1" priority="3"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47625</xdr:rowOff>
                  </from>
                  <to>
                    <xdr:col>1</xdr:col>
                    <xdr:colOff>1019175</xdr:colOff>
                    <xdr:row>44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4DDF9EC8-AA55-4BD6-89D4-4197371ED738}">
            <xm:f>ClassInformation!$E10="N"</xm:f>
            <x14:dxf>
              <font>
                <strike/>
                <color theme="0" tint="-0.24994659260841701"/>
              </font>
            </x14:dxf>
          </x14:cfRule>
          <xm:sqref>A5:XFD40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B953B5A-AD82-46CB-AB73-E586229BFCA4}">
          <x14:formula1>
            <xm:f>GradeScheme!$B$2:$B$18</xm:f>
          </x14:formula1>
          <xm:sqref>V5:V40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A40"/>
  <sheetViews>
    <sheetView zoomScale="85" zoomScaleNormal="85" workbookViewId="0">
      <selection activeCell="K36" sqref="K36"/>
    </sheetView>
  </sheetViews>
  <sheetFormatPr defaultRowHeight="15" x14ac:dyDescent="0.25"/>
  <cols>
    <col min="1" max="1" width="17" style="108" bestFit="1" customWidth="1"/>
    <col min="2" max="5" width="17" style="109" bestFit="1" customWidth="1"/>
    <col min="6" max="9" width="17" style="107" bestFit="1" customWidth="1"/>
    <col min="10" max="10" width="17" style="109" bestFit="1" customWidth="1"/>
    <col min="11" max="12" width="17" style="109" customWidth="1"/>
    <col min="13" max="13" width="13.28515625" style="109" bestFit="1" customWidth="1"/>
    <col min="14" max="14" width="6.7109375" style="107" customWidth="1"/>
    <col min="15" max="15" width="6.7109375" style="109" customWidth="1"/>
    <col min="16" max="16" width="12.85546875" style="109" bestFit="1" customWidth="1"/>
    <col min="17" max="17" width="6.7109375" style="107" customWidth="1"/>
    <col min="18" max="18" width="6.5703125" style="109" customWidth="1"/>
    <col min="19" max="19" width="11" style="109" bestFit="1" customWidth="1"/>
    <col min="20" max="20" width="10.42578125" style="109" bestFit="1" customWidth="1"/>
    <col min="21" max="21" width="13.42578125" style="103" bestFit="1" customWidth="1"/>
    <col min="22" max="22" width="2.85546875" style="103" customWidth="1"/>
    <col min="23" max="16384" width="9.140625" style="103"/>
  </cols>
  <sheetData>
    <row r="1" spans="1:27" x14ac:dyDescent="0.25">
      <c r="A1" s="115" t="s">
        <v>74</v>
      </c>
      <c r="B1" s="194"/>
      <c r="C1" s="194"/>
      <c r="D1" s="194"/>
      <c r="E1" s="194"/>
      <c r="F1" s="194"/>
      <c r="G1" s="194"/>
      <c r="H1" s="194"/>
      <c r="I1" s="194"/>
      <c r="J1" s="194"/>
      <c r="K1" s="194"/>
      <c r="L1" s="194"/>
      <c r="M1" s="194"/>
      <c r="N1" s="194"/>
      <c r="O1" s="194"/>
      <c r="P1" s="194"/>
      <c r="Q1" s="194"/>
      <c r="R1" s="194"/>
      <c r="S1" s="194"/>
      <c r="T1" s="194"/>
      <c r="U1" s="194"/>
      <c r="V1" s="195"/>
      <c r="W1" s="105"/>
      <c r="X1" s="105"/>
      <c r="Y1" s="105"/>
      <c r="Z1" s="105"/>
      <c r="AA1" s="105"/>
    </row>
    <row r="2" spans="1:27" x14ac:dyDescent="0.25">
      <c r="A2" s="196" t="s">
        <v>32</v>
      </c>
      <c r="B2" s="197"/>
      <c r="C2" s="197"/>
      <c r="D2" s="197"/>
      <c r="E2" s="197"/>
      <c r="F2" s="192" t="s">
        <v>34</v>
      </c>
      <c r="G2" s="197"/>
      <c r="H2" s="197"/>
      <c r="I2" s="197"/>
      <c r="J2" s="197"/>
      <c r="K2" s="192" t="s">
        <v>86</v>
      </c>
      <c r="L2" s="193"/>
      <c r="M2" s="192" t="s">
        <v>35</v>
      </c>
      <c r="N2" s="197"/>
      <c r="O2" s="197"/>
      <c r="P2" s="197"/>
      <c r="Q2" s="197"/>
      <c r="R2" s="197"/>
      <c r="S2" s="197"/>
      <c r="T2" s="197"/>
      <c r="U2" s="198"/>
      <c r="V2" s="116" t="s">
        <v>18</v>
      </c>
      <c r="X2" s="106"/>
      <c r="Y2" s="106"/>
      <c r="Z2" s="106"/>
      <c r="AA2" s="106"/>
    </row>
    <row r="3" spans="1:27" x14ac:dyDescent="0.25">
      <c r="A3" s="143" t="s">
        <v>83</v>
      </c>
      <c r="B3" s="143" t="s">
        <v>82</v>
      </c>
      <c r="C3" s="143" t="s">
        <v>82</v>
      </c>
      <c r="D3" s="143" t="s">
        <v>82</v>
      </c>
      <c r="E3" s="143" t="s">
        <v>82</v>
      </c>
      <c r="F3" s="143" t="s">
        <v>82</v>
      </c>
      <c r="G3" s="143" t="s">
        <v>82</v>
      </c>
      <c r="H3" s="143" t="s">
        <v>82</v>
      </c>
      <c r="I3" s="143" t="s">
        <v>82</v>
      </c>
      <c r="J3" s="143" t="s">
        <v>82</v>
      </c>
      <c r="K3" s="143" t="s">
        <v>82</v>
      </c>
      <c r="L3" s="143" t="s">
        <v>82</v>
      </c>
      <c r="M3" s="142" t="str">
        <f>_xlfn.TEXTJOIN(" ",TRUE,"Max",A2,":")</f>
        <v>Max UD :</v>
      </c>
      <c r="N3" s="199">
        <f>IF(OR(A4="-",B4="-",C4="-",D4="-",E4="-"),"-",SUM(A4,B4,C4,D4,E4))</f>
        <v>0</v>
      </c>
      <c r="O3" s="200"/>
      <c r="P3" s="142" t="str">
        <f>_xlfn.TEXTJOIN(" ",TRUE,"Max",F2,":")</f>
        <v>Max SD :</v>
      </c>
      <c r="Q3" s="201">
        <f>IF(OR(F4="-",G4="-",H4="-",I4="-",J4="-"),"-",SUM(F4,G4,H4,I4,J4))</f>
        <v>0</v>
      </c>
      <c r="R3" s="202"/>
      <c r="S3" s="117"/>
      <c r="T3" s="117"/>
      <c r="U3" s="117"/>
      <c r="V3" s="116" t="s">
        <v>18</v>
      </c>
    </row>
    <row r="4" spans="1:27" x14ac:dyDescent="0.25">
      <c r="A4" s="141"/>
      <c r="B4" s="140"/>
      <c r="C4" s="140"/>
      <c r="D4" s="140"/>
      <c r="E4" s="140"/>
      <c r="F4" s="140"/>
      <c r="G4" s="140"/>
      <c r="H4" s="140"/>
      <c r="I4" s="140"/>
      <c r="J4" s="140"/>
      <c r="K4" s="140"/>
      <c r="L4" s="140"/>
      <c r="M4" s="124" t="str">
        <f>_xlfn.TEXTJOIN(" ",TRUE,M2,A2)</f>
        <v>Overall UD</v>
      </c>
      <c r="N4" s="144" t="s">
        <v>33</v>
      </c>
      <c r="O4" s="145" t="s">
        <v>1</v>
      </c>
      <c r="P4" s="118" t="str">
        <f>_xlfn.TEXTJOIN(" ",TRUE,M2,F2)</f>
        <v>Overall SD</v>
      </c>
      <c r="Q4" s="146" t="s">
        <v>33</v>
      </c>
      <c r="R4" s="147" t="s">
        <v>1</v>
      </c>
      <c r="S4" s="119" t="s">
        <v>55</v>
      </c>
      <c r="T4" s="119" t="s">
        <v>56</v>
      </c>
      <c r="U4" s="119" t="s">
        <v>81</v>
      </c>
      <c r="V4" s="116" t="s">
        <v>18</v>
      </c>
    </row>
    <row r="5" spans="1:27" x14ac:dyDescent="0.25">
      <c r="A5" s="110"/>
      <c r="B5" s="110"/>
      <c r="C5" s="110"/>
      <c r="D5" s="110"/>
      <c r="E5" s="110"/>
      <c r="F5" s="121"/>
      <c r="G5" s="110"/>
      <c r="H5" s="110"/>
      <c r="I5" s="110"/>
      <c r="J5" s="110"/>
      <c r="K5" s="121"/>
      <c r="L5" s="110"/>
      <c r="M5" s="152" t="str">
        <f t="shared" ref="M5:M40" si="0">IF(COUNTIF(A5:E5,"*-*")&gt;0,"-",IF(COUNTBLANK(A5:E5)=5,"",IF(N$3="-","-",SUM(A5:E5))))</f>
        <v/>
      </c>
      <c r="N5" s="136" t="str">
        <f>IF(M5="","",IF(M5="-","-",M5/N$3))</f>
        <v/>
      </c>
      <c r="O5" s="125" t="str">
        <f>IF(N5="","",VLOOKUP(N5,Table1[],2,TRUE))</f>
        <v/>
      </c>
      <c r="P5" s="131" t="str">
        <f t="shared" ref="P5:P40" si="1">IF(COUNTIF(F5:J5,"*-*")&gt;0,"-",IF(COUNTBLANK(F5:J5)=5,"",IF(Q$3="-","-",SUM(F5:J5))))</f>
        <v/>
      </c>
      <c r="Q5" s="138" t="str">
        <f>IF(P5="","",IF(P5="-", "-",P5/Q$3))</f>
        <v/>
      </c>
      <c r="R5" s="126" t="str">
        <f>IF(Q5="","",VLOOKUP(Q5,Table1[],2,TRUE))</f>
        <v/>
      </c>
      <c r="S5" s="134" t="str">
        <f>IF(AND(N5="",Q5=""),"",IF(OR(N5="-",Q5="-"),"-",IF(AND(N$3&lt;&gt;0,Q$3&lt;&gt;0),VLOOKUP(AVERAGE(N5,Q5),Table1[],2,TRUE),IF(AND(N$3&lt;&gt;0,Q$3=0),O5,R5))))</f>
        <v/>
      </c>
      <c r="T5" s="114"/>
      <c r="U5" s="114" t="str">
        <f>IF(ISBLANK(T5),S5,T5)</f>
        <v/>
      </c>
      <c r="V5" s="116" t="s">
        <v>18</v>
      </c>
    </row>
    <row r="6" spans="1:27" x14ac:dyDescent="0.25">
      <c r="A6" s="110"/>
      <c r="B6" s="110"/>
      <c r="C6" s="110"/>
      <c r="D6" s="110"/>
      <c r="E6" s="110"/>
      <c r="F6" s="121"/>
      <c r="G6" s="110"/>
      <c r="H6" s="110"/>
      <c r="I6" s="110"/>
      <c r="J6" s="110"/>
      <c r="K6" s="121"/>
      <c r="L6" s="110"/>
      <c r="M6" s="152" t="str">
        <f t="shared" si="0"/>
        <v/>
      </c>
      <c r="N6" s="136" t="str">
        <f t="shared" ref="N6:N39" si="2">IF(M6="","",IF(M6="-","-",M6/N$3))</f>
        <v/>
      </c>
      <c r="O6" s="125" t="str">
        <f>IF(M6="","",VLOOKUP(N6,Table1[],2,TRUE))</f>
        <v/>
      </c>
      <c r="P6" s="132" t="str">
        <f t="shared" si="1"/>
        <v/>
      </c>
      <c r="Q6" s="138" t="str">
        <f>IF(P6="","",IF(P6="-", "-",P6/Q$3))</f>
        <v/>
      </c>
      <c r="R6" s="126" t="str">
        <f>IF(P6="","",VLOOKUP(Q6,Table1[],2,TRUE))</f>
        <v/>
      </c>
      <c r="S6" s="134" t="str">
        <f>IF(AND(N6="",Q6=""),"",IF(OR(N6="-",Q6="-"),"-",IF(AND(N$3&lt;&gt;0,Q$3&lt;&gt;0),VLOOKUP(AVERAGE(N6,Q6),Table1[],2,TRUE),IF(AND(N$3&lt;&gt;0,Q$3=0),O6,R6))))</f>
        <v/>
      </c>
      <c r="T6" s="114"/>
      <c r="U6" s="114" t="str">
        <f t="shared" ref="U6:U40" si="3">IF(ISBLANK(T6),S6,T6)</f>
        <v/>
      </c>
      <c r="V6" s="116" t="s">
        <v>18</v>
      </c>
    </row>
    <row r="7" spans="1:27" x14ac:dyDescent="0.25">
      <c r="A7" s="110"/>
      <c r="B7" s="110"/>
      <c r="C7" s="110"/>
      <c r="D7" s="110"/>
      <c r="E7" s="110"/>
      <c r="F7" s="121"/>
      <c r="G7" s="110"/>
      <c r="H7" s="110"/>
      <c r="I7" s="110"/>
      <c r="J7" s="110"/>
      <c r="K7" s="121"/>
      <c r="L7" s="110"/>
      <c r="M7" s="152" t="str">
        <f t="shared" si="0"/>
        <v/>
      </c>
      <c r="N7" s="136" t="str">
        <f t="shared" si="2"/>
        <v/>
      </c>
      <c r="O7" s="125" t="str">
        <f>IF(M7="","",VLOOKUP(N7,Table1[],2,TRUE))</f>
        <v/>
      </c>
      <c r="P7" s="132" t="str">
        <f t="shared" si="1"/>
        <v/>
      </c>
      <c r="Q7" s="138" t="str">
        <f t="shared" ref="Q7:Q39" si="4">IF(P7="","",IF(P7="-", "-",P7/Q$3))</f>
        <v/>
      </c>
      <c r="R7" s="126" t="str">
        <f>IF(P7="","",VLOOKUP(Q7,Table1[],2,TRUE))</f>
        <v/>
      </c>
      <c r="S7" s="134" t="str">
        <f>IF(AND(N7="",Q7=""),"",IF(OR(N7="-",Q7="-"),"-",IF(AND(N$3&lt;&gt;0,Q$3&lt;&gt;0),VLOOKUP(AVERAGE(N7,Q7),Table1[],2,TRUE),IF(AND(N$3&lt;&gt;0,Q$3=0),O7,R7))))</f>
        <v/>
      </c>
      <c r="T7" s="114"/>
      <c r="U7" s="114" t="str">
        <f t="shared" si="3"/>
        <v/>
      </c>
      <c r="V7" s="116" t="s">
        <v>18</v>
      </c>
    </row>
    <row r="8" spans="1:27" x14ac:dyDescent="0.25">
      <c r="A8" s="110"/>
      <c r="B8" s="110"/>
      <c r="C8" s="110"/>
      <c r="D8" s="110"/>
      <c r="E8" s="110"/>
      <c r="F8" s="121"/>
      <c r="G8" s="110"/>
      <c r="H8" s="110"/>
      <c r="I8" s="110"/>
      <c r="J8" s="110"/>
      <c r="K8" s="121"/>
      <c r="L8" s="110"/>
      <c r="M8" s="152" t="str">
        <f t="shared" si="0"/>
        <v/>
      </c>
      <c r="N8" s="136" t="str">
        <f t="shared" si="2"/>
        <v/>
      </c>
      <c r="O8" s="125" t="str">
        <f>IF(M8="","",VLOOKUP(N8,Table1[],2,TRUE))</f>
        <v/>
      </c>
      <c r="P8" s="132" t="str">
        <f t="shared" si="1"/>
        <v/>
      </c>
      <c r="Q8" s="138" t="str">
        <f t="shared" si="4"/>
        <v/>
      </c>
      <c r="R8" s="126" t="str">
        <f>IF(P8="","",VLOOKUP(Q8,Table1[],2,TRUE))</f>
        <v/>
      </c>
      <c r="S8" s="134" t="str">
        <f>IF(AND(N8="",Q8=""),"",IF(OR(N8="-",Q8="-"),"-",IF(AND(N$3&lt;&gt;0,Q$3&lt;&gt;0),VLOOKUP(AVERAGE(N8,Q8),Table1[],2,TRUE),IF(AND(N$3&lt;&gt;0,Q$3=0),O8,R8))))</f>
        <v/>
      </c>
      <c r="T8" s="114"/>
      <c r="U8" s="114" t="str">
        <f t="shared" si="3"/>
        <v/>
      </c>
      <c r="V8" s="116" t="s">
        <v>18</v>
      </c>
    </row>
    <row r="9" spans="1:27" x14ac:dyDescent="0.25">
      <c r="A9" s="110"/>
      <c r="B9" s="110"/>
      <c r="C9" s="110"/>
      <c r="D9" s="110"/>
      <c r="E9" s="110"/>
      <c r="F9" s="121"/>
      <c r="G9" s="110"/>
      <c r="H9" s="110"/>
      <c r="I9" s="110"/>
      <c r="J9" s="110"/>
      <c r="K9" s="121"/>
      <c r="L9" s="110"/>
      <c r="M9" s="152" t="str">
        <f t="shared" si="0"/>
        <v/>
      </c>
      <c r="N9" s="136" t="str">
        <f t="shared" si="2"/>
        <v/>
      </c>
      <c r="O9" s="125" t="str">
        <f>IF(M9="","",VLOOKUP(N9,Table1[],2,TRUE))</f>
        <v/>
      </c>
      <c r="P9" s="132" t="str">
        <f t="shared" si="1"/>
        <v/>
      </c>
      <c r="Q9" s="138" t="str">
        <f t="shared" si="4"/>
        <v/>
      </c>
      <c r="R9" s="126" t="str">
        <f>IF(P9="","",VLOOKUP(Q9,Table1[],2,TRUE))</f>
        <v/>
      </c>
      <c r="S9" s="134" t="str">
        <f>IF(AND(N9="",Q9=""),"",IF(OR(N9="-",Q9="-"),"-",IF(AND(N$3&lt;&gt;0,Q$3&lt;&gt;0),VLOOKUP(AVERAGE(N9,Q9),Table1[],2,TRUE),IF(AND(N$3&lt;&gt;0,Q$3=0),O9,R9))))</f>
        <v/>
      </c>
      <c r="T9" s="114"/>
      <c r="U9" s="114" t="str">
        <f t="shared" si="3"/>
        <v/>
      </c>
      <c r="V9" s="116" t="s">
        <v>18</v>
      </c>
    </row>
    <row r="10" spans="1:27" x14ac:dyDescent="0.25">
      <c r="A10" s="110"/>
      <c r="B10" s="110"/>
      <c r="C10" s="110"/>
      <c r="D10" s="110"/>
      <c r="E10" s="110"/>
      <c r="F10" s="121"/>
      <c r="G10" s="110"/>
      <c r="H10" s="110"/>
      <c r="I10" s="110"/>
      <c r="J10" s="110"/>
      <c r="K10" s="121"/>
      <c r="L10" s="110"/>
      <c r="M10" s="152" t="str">
        <f t="shared" si="0"/>
        <v/>
      </c>
      <c r="N10" s="136" t="str">
        <f t="shared" si="2"/>
        <v/>
      </c>
      <c r="O10" s="125" t="str">
        <f>IF(M10="","",VLOOKUP(N10,Table1[],2,TRUE))</f>
        <v/>
      </c>
      <c r="P10" s="132" t="str">
        <f t="shared" si="1"/>
        <v/>
      </c>
      <c r="Q10" s="138" t="str">
        <f t="shared" si="4"/>
        <v/>
      </c>
      <c r="R10" s="126" t="str">
        <f>IF(P10="","",VLOOKUP(Q10,Table1[],2,TRUE))</f>
        <v/>
      </c>
      <c r="S10" s="134" t="str">
        <f>IF(AND(N10="",Q10=""),"",IF(OR(N10="-",Q10="-"),"-",IF(AND(N$3&lt;&gt;0,Q$3&lt;&gt;0),VLOOKUP(AVERAGE(N10,Q10),Table1[],2,TRUE),IF(AND(N$3&lt;&gt;0,Q$3=0),O10,R10))))</f>
        <v/>
      </c>
      <c r="T10" s="114"/>
      <c r="U10" s="114" t="str">
        <f t="shared" si="3"/>
        <v/>
      </c>
      <c r="V10" s="116" t="s">
        <v>18</v>
      </c>
    </row>
    <row r="11" spans="1:27" x14ac:dyDescent="0.25">
      <c r="A11" s="110"/>
      <c r="B11" s="110"/>
      <c r="C11" s="110"/>
      <c r="D11" s="110"/>
      <c r="E11" s="110"/>
      <c r="F11" s="121"/>
      <c r="G11" s="110"/>
      <c r="H11" s="110"/>
      <c r="I11" s="110"/>
      <c r="J11" s="110"/>
      <c r="K11" s="121"/>
      <c r="L11" s="110"/>
      <c r="M11" s="152" t="str">
        <f t="shared" si="0"/>
        <v/>
      </c>
      <c r="N11" s="136" t="str">
        <f t="shared" si="2"/>
        <v/>
      </c>
      <c r="O11" s="125" t="str">
        <f>IF(M11="","",VLOOKUP(N11,Table1[],2,TRUE))</f>
        <v/>
      </c>
      <c r="P11" s="132" t="str">
        <f t="shared" si="1"/>
        <v/>
      </c>
      <c r="Q11" s="138" t="str">
        <f t="shared" si="4"/>
        <v/>
      </c>
      <c r="R11" s="126" t="str">
        <f>IF(P11="","",VLOOKUP(Q11,Table1[],2,TRUE))</f>
        <v/>
      </c>
      <c r="S11" s="134" t="str">
        <f>IF(AND(N11="",Q11=""),"",IF(OR(N11="-",Q11="-"),"-",IF(AND(N$3&lt;&gt;0,Q$3&lt;&gt;0),VLOOKUP(AVERAGE(N11,Q11),Table1[],2,TRUE),IF(AND(N$3&lt;&gt;0,Q$3=0),O11,R11))))</f>
        <v/>
      </c>
      <c r="T11" s="114"/>
      <c r="U11" s="114" t="str">
        <f t="shared" si="3"/>
        <v/>
      </c>
      <c r="V11" s="116" t="s">
        <v>18</v>
      </c>
    </row>
    <row r="12" spans="1:27" x14ac:dyDescent="0.25">
      <c r="A12" s="110"/>
      <c r="B12" s="110"/>
      <c r="C12" s="110"/>
      <c r="D12" s="110"/>
      <c r="E12" s="110"/>
      <c r="F12" s="121"/>
      <c r="G12" s="110"/>
      <c r="H12" s="110"/>
      <c r="I12" s="110"/>
      <c r="J12" s="110"/>
      <c r="K12" s="121"/>
      <c r="L12" s="110"/>
      <c r="M12" s="152" t="str">
        <f t="shared" si="0"/>
        <v/>
      </c>
      <c r="N12" s="136" t="str">
        <f t="shared" si="2"/>
        <v/>
      </c>
      <c r="O12" s="125" t="str">
        <f>IF(M12="","",VLOOKUP(N12,Table1[],2,TRUE))</f>
        <v/>
      </c>
      <c r="P12" s="132" t="str">
        <f t="shared" si="1"/>
        <v/>
      </c>
      <c r="Q12" s="138" t="str">
        <f t="shared" si="4"/>
        <v/>
      </c>
      <c r="R12" s="126" t="str">
        <f>IF(P12="","",VLOOKUP(Q12,Table1[],2,TRUE))</f>
        <v/>
      </c>
      <c r="S12" s="134" t="str">
        <f>IF(AND(N12="",Q12=""),"",IF(OR(N12="-",Q12="-"),"-",IF(AND(N$3&lt;&gt;0,Q$3&lt;&gt;0),VLOOKUP(AVERAGE(N12,Q12),Table1[],2,TRUE),IF(AND(N$3&lt;&gt;0,Q$3=0),O12,R12))))</f>
        <v/>
      </c>
      <c r="T12" s="114"/>
      <c r="U12" s="114" t="str">
        <f t="shared" si="3"/>
        <v/>
      </c>
      <c r="V12" s="116" t="s">
        <v>18</v>
      </c>
    </row>
    <row r="13" spans="1:27" x14ac:dyDescent="0.25">
      <c r="A13" s="110"/>
      <c r="B13" s="110"/>
      <c r="C13" s="110"/>
      <c r="D13" s="110"/>
      <c r="E13" s="110"/>
      <c r="F13" s="121"/>
      <c r="G13" s="110"/>
      <c r="H13" s="110"/>
      <c r="I13" s="110"/>
      <c r="J13" s="110"/>
      <c r="K13" s="121"/>
      <c r="L13" s="110"/>
      <c r="M13" s="152" t="str">
        <f t="shared" si="0"/>
        <v/>
      </c>
      <c r="N13" s="136" t="str">
        <f t="shared" si="2"/>
        <v/>
      </c>
      <c r="O13" s="125" t="str">
        <f>IF(M13="","",VLOOKUP(N13,Table1[],2,TRUE))</f>
        <v/>
      </c>
      <c r="P13" s="132" t="str">
        <f t="shared" si="1"/>
        <v/>
      </c>
      <c r="Q13" s="138" t="str">
        <f t="shared" si="4"/>
        <v/>
      </c>
      <c r="R13" s="126" t="str">
        <f>IF(P13="","",VLOOKUP(Q13,Table1[],2,TRUE))</f>
        <v/>
      </c>
      <c r="S13" s="134" t="str">
        <f>IF(AND(N13="",Q13=""),"",IF(OR(N13="-",Q13="-"),"-",IF(AND(N$3&lt;&gt;0,Q$3&lt;&gt;0),VLOOKUP(AVERAGE(N13,Q13),Table1[],2,TRUE),IF(AND(N$3&lt;&gt;0,Q$3=0),O13,R13))))</f>
        <v/>
      </c>
      <c r="T13" s="114"/>
      <c r="U13" s="114" t="str">
        <f t="shared" si="3"/>
        <v/>
      </c>
      <c r="V13" s="116" t="s">
        <v>18</v>
      </c>
    </row>
    <row r="14" spans="1:27" x14ac:dyDescent="0.25">
      <c r="A14" s="110"/>
      <c r="B14" s="110"/>
      <c r="C14" s="110"/>
      <c r="D14" s="110"/>
      <c r="E14" s="110"/>
      <c r="F14" s="121"/>
      <c r="G14" s="110"/>
      <c r="H14" s="110"/>
      <c r="I14" s="110"/>
      <c r="J14" s="110"/>
      <c r="K14" s="121"/>
      <c r="L14" s="110"/>
      <c r="M14" s="152" t="str">
        <f t="shared" si="0"/>
        <v/>
      </c>
      <c r="N14" s="136" t="str">
        <f t="shared" si="2"/>
        <v/>
      </c>
      <c r="O14" s="125" t="str">
        <f>IF(M14="","",VLOOKUP(N14,Table1[],2,TRUE))</f>
        <v/>
      </c>
      <c r="P14" s="132" t="str">
        <f t="shared" si="1"/>
        <v/>
      </c>
      <c r="Q14" s="138" t="str">
        <f t="shared" si="4"/>
        <v/>
      </c>
      <c r="R14" s="126" t="str">
        <f>IF(P14="","",VLOOKUP(Q14,Table1[],2,TRUE))</f>
        <v/>
      </c>
      <c r="S14" s="134" t="str">
        <f>IF(AND(N14="",Q14=""),"",IF(OR(N14="-",Q14="-"),"-",IF(AND(N$3&lt;&gt;0,Q$3&lt;&gt;0),VLOOKUP(AVERAGE(N14,Q14),Table1[],2,TRUE),IF(AND(N$3&lt;&gt;0,Q$3=0),O14,R14))))</f>
        <v/>
      </c>
      <c r="T14" s="114"/>
      <c r="U14" s="114" t="str">
        <f t="shared" si="3"/>
        <v/>
      </c>
      <c r="V14" s="116" t="s">
        <v>18</v>
      </c>
    </row>
    <row r="15" spans="1:27" x14ac:dyDescent="0.25">
      <c r="A15" s="110"/>
      <c r="B15" s="110"/>
      <c r="C15" s="110"/>
      <c r="D15" s="110"/>
      <c r="E15" s="110"/>
      <c r="F15" s="121"/>
      <c r="G15" s="110"/>
      <c r="H15" s="110"/>
      <c r="I15" s="110"/>
      <c r="J15" s="110"/>
      <c r="K15" s="121"/>
      <c r="L15" s="110"/>
      <c r="M15" s="152" t="str">
        <f t="shared" si="0"/>
        <v/>
      </c>
      <c r="N15" s="136" t="str">
        <f t="shared" si="2"/>
        <v/>
      </c>
      <c r="O15" s="125" t="str">
        <f>IF(M15="","",VLOOKUP(N15,Table1[],2,TRUE))</f>
        <v/>
      </c>
      <c r="P15" s="132" t="str">
        <f t="shared" si="1"/>
        <v/>
      </c>
      <c r="Q15" s="138" t="str">
        <f t="shared" si="4"/>
        <v/>
      </c>
      <c r="R15" s="126" t="str">
        <f>IF(P15="","",VLOOKUP(Q15,Table1[],2,TRUE))</f>
        <v/>
      </c>
      <c r="S15" s="134" t="str">
        <f>IF(AND(N15="",Q15=""),"",IF(OR(N15="-",Q15="-"),"-",IF(AND(N$3&lt;&gt;0,Q$3&lt;&gt;0),VLOOKUP(AVERAGE(N15,Q15),Table1[],2,TRUE),IF(AND(N$3&lt;&gt;0,Q$3=0),O15,R15))))</f>
        <v/>
      </c>
      <c r="T15" s="114"/>
      <c r="U15" s="114" t="str">
        <f t="shared" si="3"/>
        <v/>
      </c>
      <c r="V15" s="116" t="s">
        <v>18</v>
      </c>
    </row>
    <row r="16" spans="1:27" x14ac:dyDescent="0.25">
      <c r="A16" s="110"/>
      <c r="B16" s="110"/>
      <c r="C16" s="110"/>
      <c r="D16" s="110"/>
      <c r="E16" s="110"/>
      <c r="F16" s="121"/>
      <c r="G16" s="110"/>
      <c r="H16" s="110"/>
      <c r="I16" s="110"/>
      <c r="J16" s="110"/>
      <c r="K16" s="121"/>
      <c r="L16" s="110"/>
      <c r="M16" s="152" t="str">
        <f t="shared" si="0"/>
        <v/>
      </c>
      <c r="N16" s="136" t="str">
        <f t="shared" si="2"/>
        <v/>
      </c>
      <c r="O16" s="125" t="str">
        <f>IF(M16="","",VLOOKUP(N16,Table1[],2,TRUE))</f>
        <v/>
      </c>
      <c r="P16" s="132" t="str">
        <f t="shared" si="1"/>
        <v/>
      </c>
      <c r="Q16" s="138" t="str">
        <f t="shared" si="4"/>
        <v/>
      </c>
      <c r="R16" s="126" t="str">
        <f>IF(P16="","",VLOOKUP(Q16,Table1[],2,TRUE))</f>
        <v/>
      </c>
      <c r="S16" s="134" t="str">
        <f>IF(AND(N16="",Q16=""),"",IF(OR(N16="-",Q16="-"),"-",IF(AND(N$3&lt;&gt;0,Q$3&lt;&gt;0),VLOOKUP(AVERAGE(N16,Q16),Table1[],2,TRUE),IF(AND(N$3&lt;&gt;0,Q$3=0),O16,R16))))</f>
        <v/>
      </c>
      <c r="T16" s="114"/>
      <c r="U16" s="114" t="str">
        <f t="shared" si="3"/>
        <v/>
      </c>
      <c r="V16" s="116" t="s">
        <v>18</v>
      </c>
    </row>
    <row r="17" spans="1:22" x14ac:dyDescent="0.25">
      <c r="A17" s="110"/>
      <c r="B17" s="110"/>
      <c r="C17" s="110"/>
      <c r="D17" s="110"/>
      <c r="E17" s="110"/>
      <c r="F17" s="121"/>
      <c r="G17" s="110"/>
      <c r="H17" s="110"/>
      <c r="I17" s="110"/>
      <c r="J17" s="110"/>
      <c r="K17" s="121"/>
      <c r="L17" s="110"/>
      <c r="M17" s="152" t="str">
        <f t="shared" si="0"/>
        <v/>
      </c>
      <c r="N17" s="136" t="str">
        <f t="shared" si="2"/>
        <v/>
      </c>
      <c r="O17" s="125" t="str">
        <f>IF(M17="","",VLOOKUP(N17,Table1[],2,TRUE))</f>
        <v/>
      </c>
      <c r="P17" s="132" t="str">
        <f t="shared" si="1"/>
        <v/>
      </c>
      <c r="Q17" s="138" t="str">
        <f t="shared" si="4"/>
        <v/>
      </c>
      <c r="R17" s="126" t="str">
        <f>IF(P17="","",VLOOKUP(Q17,Table1[],2,TRUE))</f>
        <v/>
      </c>
      <c r="S17" s="134" t="str">
        <f>IF(AND(N17="",Q17=""),"",IF(OR(N17="-",Q17="-"),"-",IF(AND(N$3&lt;&gt;0,Q$3&lt;&gt;0),VLOOKUP(AVERAGE(N17,Q17),Table1[],2,TRUE),IF(AND(N$3&lt;&gt;0,Q$3=0),O17,R17))))</f>
        <v/>
      </c>
      <c r="T17" s="114"/>
      <c r="U17" s="114" t="str">
        <f t="shared" si="3"/>
        <v/>
      </c>
      <c r="V17" s="116" t="s">
        <v>18</v>
      </c>
    </row>
    <row r="18" spans="1:22" x14ac:dyDescent="0.25">
      <c r="A18" s="110"/>
      <c r="B18" s="110"/>
      <c r="C18" s="110"/>
      <c r="D18" s="110"/>
      <c r="E18" s="110"/>
      <c r="F18" s="121"/>
      <c r="G18" s="110"/>
      <c r="H18" s="110"/>
      <c r="I18" s="110"/>
      <c r="J18" s="110"/>
      <c r="K18" s="121"/>
      <c r="L18" s="110"/>
      <c r="M18" s="152" t="str">
        <f t="shared" si="0"/>
        <v/>
      </c>
      <c r="N18" s="136" t="str">
        <f t="shared" si="2"/>
        <v/>
      </c>
      <c r="O18" s="125" t="str">
        <f>IF(M18="","",VLOOKUP(N18,Table1[],2,TRUE))</f>
        <v/>
      </c>
      <c r="P18" s="132" t="str">
        <f t="shared" si="1"/>
        <v/>
      </c>
      <c r="Q18" s="138" t="str">
        <f t="shared" si="4"/>
        <v/>
      </c>
      <c r="R18" s="126" t="str">
        <f>IF(P18="","",VLOOKUP(Q18,Table1[],2,TRUE))</f>
        <v/>
      </c>
      <c r="S18" s="134" t="str">
        <f>IF(AND(N18="",Q18=""),"",IF(OR(N18="-",Q18="-"),"-",IF(AND(N$3&lt;&gt;0,Q$3&lt;&gt;0),VLOOKUP(AVERAGE(N18,Q18),Table1[],2,TRUE),IF(AND(N$3&lt;&gt;0,Q$3=0),O18,R18))))</f>
        <v/>
      </c>
      <c r="T18" s="114"/>
      <c r="U18" s="114" t="str">
        <f t="shared" si="3"/>
        <v/>
      </c>
      <c r="V18" s="116" t="s">
        <v>18</v>
      </c>
    </row>
    <row r="19" spans="1:22" x14ac:dyDescent="0.25">
      <c r="A19" s="110"/>
      <c r="B19" s="110"/>
      <c r="C19" s="110"/>
      <c r="D19" s="110"/>
      <c r="E19" s="110"/>
      <c r="F19" s="121"/>
      <c r="G19" s="110"/>
      <c r="H19" s="110"/>
      <c r="I19" s="110"/>
      <c r="J19" s="110"/>
      <c r="K19" s="121"/>
      <c r="L19" s="110"/>
      <c r="M19" s="152" t="str">
        <f t="shared" si="0"/>
        <v/>
      </c>
      <c r="N19" s="136" t="str">
        <f t="shared" si="2"/>
        <v/>
      </c>
      <c r="O19" s="125" t="str">
        <f>IF(M19="","",VLOOKUP(N19,Table1[],2,TRUE))</f>
        <v/>
      </c>
      <c r="P19" s="132" t="str">
        <f t="shared" si="1"/>
        <v/>
      </c>
      <c r="Q19" s="138" t="str">
        <f t="shared" si="4"/>
        <v/>
      </c>
      <c r="R19" s="126" t="str">
        <f>IF(P19="","",VLOOKUP(Q19,Table1[],2,TRUE))</f>
        <v/>
      </c>
      <c r="S19" s="134" t="str">
        <f>IF(AND(N19="",Q19=""),"",IF(OR(N19="-",Q19="-"),"-",IF(AND(N$3&lt;&gt;0,Q$3&lt;&gt;0),VLOOKUP(AVERAGE(N19,Q19),Table1[],2,TRUE),IF(AND(N$3&lt;&gt;0,Q$3=0),O19,R19))))</f>
        <v/>
      </c>
      <c r="T19" s="114"/>
      <c r="U19" s="114" t="str">
        <f t="shared" si="3"/>
        <v/>
      </c>
      <c r="V19" s="116" t="s">
        <v>18</v>
      </c>
    </row>
    <row r="20" spans="1:22" x14ac:dyDescent="0.25">
      <c r="A20" s="110"/>
      <c r="B20" s="110"/>
      <c r="C20" s="110"/>
      <c r="D20" s="110"/>
      <c r="E20" s="110"/>
      <c r="F20" s="121"/>
      <c r="G20" s="110"/>
      <c r="H20" s="110"/>
      <c r="I20" s="110"/>
      <c r="J20" s="110"/>
      <c r="K20" s="121"/>
      <c r="L20" s="110"/>
      <c r="M20" s="152" t="str">
        <f t="shared" si="0"/>
        <v/>
      </c>
      <c r="N20" s="136" t="str">
        <f t="shared" si="2"/>
        <v/>
      </c>
      <c r="O20" s="125" t="str">
        <f>IF(M20="","",VLOOKUP(N20,Table1[],2,TRUE))</f>
        <v/>
      </c>
      <c r="P20" s="132" t="str">
        <f t="shared" si="1"/>
        <v/>
      </c>
      <c r="Q20" s="138" t="str">
        <f t="shared" si="4"/>
        <v/>
      </c>
      <c r="R20" s="126" t="str">
        <f>IF(P20="","",VLOOKUP(Q20,Table1[],2,TRUE))</f>
        <v/>
      </c>
      <c r="S20" s="134" t="str">
        <f>IF(AND(N20="",Q20=""),"",IF(OR(N20="-",Q20="-"),"-",IF(AND(N$3&lt;&gt;0,Q$3&lt;&gt;0),VLOOKUP(AVERAGE(N20,Q20),Table1[],2,TRUE),IF(AND(N$3&lt;&gt;0,Q$3=0),O20,R20))))</f>
        <v/>
      </c>
      <c r="T20" s="114"/>
      <c r="U20" s="114" t="str">
        <f t="shared" si="3"/>
        <v/>
      </c>
      <c r="V20" s="116" t="s">
        <v>18</v>
      </c>
    </row>
    <row r="21" spans="1:22" x14ac:dyDescent="0.25">
      <c r="A21" s="110"/>
      <c r="B21" s="110"/>
      <c r="C21" s="110"/>
      <c r="D21" s="110"/>
      <c r="E21" s="110"/>
      <c r="F21" s="121"/>
      <c r="G21" s="110"/>
      <c r="H21" s="110"/>
      <c r="I21" s="110"/>
      <c r="J21" s="110"/>
      <c r="K21" s="121"/>
      <c r="L21" s="110"/>
      <c r="M21" s="152" t="str">
        <f t="shared" si="0"/>
        <v/>
      </c>
      <c r="N21" s="136" t="str">
        <f t="shared" si="2"/>
        <v/>
      </c>
      <c r="O21" s="125" t="str">
        <f>IF(M21="","",VLOOKUP(N21,Table1[],2,TRUE))</f>
        <v/>
      </c>
      <c r="P21" s="132" t="str">
        <f t="shared" si="1"/>
        <v/>
      </c>
      <c r="Q21" s="138" t="str">
        <f t="shared" si="4"/>
        <v/>
      </c>
      <c r="R21" s="126" t="str">
        <f>IF(P21="","",VLOOKUP(Q21,Table1[],2,TRUE))</f>
        <v/>
      </c>
      <c r="S21" s="134" t="str">
        <f>IF(AND(N21="",Q21=""),"",IF(OR(N21="-",Q21="-"),"-",IF(AND(N$3&lt;&gt;0,Q$3&lt;&gt;0),VLOOKUP(AVERAGE(N21,Q21),Table1[],2,TRUE),IF(AND(N$3&lt;&gt;0,Q$3=0),O21,R21))))</f>
        <v/>
      </c>
      <c r="T21" s="114"/>
      <c r="U21" s="114" t="str">
        <f t="shared" si="3"/>
        <v/>
      </c>
      <c r="V21" s="116" t="s">
        <v>18</v>
      </c>
    </row>
    <row r="22" spans="1:22" x14ac:dyDescent="0.25">
      <c r="A22" s="110"/>
      <c r="B22" s="110"/>
      <c r="C22" s="110"/>
      <c r="D22" s="110"/>
      <c r="E22" s="110"/>
      <c r="F22" s="121"/>
      <c r="G22" s="110"/>
      <c r="H22" s="110"/>
      <c r="I22" s="110"/>
      <c r="J22" s="110"/>
      <c r="K22" s="121"/>
      <c r="L22" s="110"/>
      <c r="M22" s="152" t="str">
        <f t="shared" si="0"/>
        <v/>
      </c>
      <c r="N22" s="136" t="str">
        <f t="shared" si="2"/>
        <v/>
      </c>
      <c r="O22" s="125" t="str">
        <f>IF(M22="","",VLOOKUP(N22,Table1[],2,TRUE))</f>
        <v/>
      </c>
      <c r="P22" s="132" t="str">
        <f t="shared" si="1"/>
        <v/>
      </c>
      <c r="Q22" s="138" t="str">
        <f t="shared" si="4"/>
        <v/>
      </c>
      <c r="R22" s="126" t="str">
        <f>IF(P22="","",VLOOKUP(Q22,Table1[],2,TRUE))</f>
        <v/>
      </c>
      <c r="S22" s="134" t="str">
        <f>IF(AND(N22="",Q22=""),"",IF(OR(N22="-",Q22="-"),"-",IF(AND(N$3&lt;&gt;0,Q$3&lt;&gt;0),VLOOKUP(AVERAGE(N22,Q22),Table1[],2,TRUE),IF(AND(N$3&lt;&gt;0,Q$3=0),O22,R22))))</f>
        <v/>
      </c>
      <c r="T22" s="114"/>
      <c r="U22" s="114" t="str">
        <f t="shared" si="3"/>
        <v/>
      </c>
      <c r="V22" s="116" t="s">
        <v>18</v>
      </c>
    </row>
    <row r="23" spans="1:22" x14ac:dyDescent="0.25">
      <c r="A23" s="110"/>
      <c r="B23" s="110"/>
      <c r="C23" s="110"/>
      <c r="D23" s="110"/>
      <c r="E23" s="110"/>
      <c r="F23" s="121"/>
      <c r="G23" s="110"/>
      <c r="H23" s="110"/>
      <c r="I23" s="110"/>
      <c r="J23" s="110"/>
      <c r="K23" s="121"/>
      <c r="L23" s="110"/>
      <c r="M23" s="152" t="str">
        <f t="shared" si="0"/>
        <v/>
      </c>
      <c r="N23" s="136" t="str">
        <f t="shared" si="2"/>
        <v/>
      </c>
      <c r="O23" s="125" t="str">
        <f>IF(M23="","",VLOOKUP(N23,Table1[],2,TRUE))</f>
        <v/>
      </c>
      <c r="P23" s="132" t="str">
        <f t="shared" si="1"/>
        <v/>
      </c>
      <c r="Q23" s="138" t="str">
        <f t="shared" si="4"/>
        <v/>
      </c>
      <c r="R23" s="126" t="str">
        <f>IF(P23="","",VLOOKUP(Q23,Table1[],2,TRUE))</f>
        <v/>
      </c>
      <c r="S23" s="134" t="str">
        <f>IF(AND(N23="",Q23=""),"",IF(OR(N23="-",Q23="-"),"-",IF(AND(N$3&lt;&gt;0,Q$3&lt;&gt;0),VLOOKUP(AVERAGE(N23,Q23),Table1[],2,TRUE),IF(AND(N$3&lt;&gt;0,Q$3=0),O23,R23))))</f>
        <v/>
      </c>
      <c r="T23" s="114"/>
      <c r="U23" s="114" t="str">
        <f t="shared" si="3"/>
        <v/>
      </c>
      <c r="V23" s="116" t="s">
        <v>18</v>
      </c>
    </row>
    <row r="24" spans="1:22" x14ac:dyDescent="0.25">
      <c r="A24" s="110"/>
      <c r="B24" s="110"/>
      <c r="C24" s="110"/>
      <c r="D24" s="110"/>
      <c r="E24" s="110"/>
      <c r="F24" s="121"/>
      <c r="G24" s="110"/>
      <c r="H24" s="110"/>
      <c r="I24" s="110"/>
      <c r="J24" s="110"/>
      <c r="K24" s="121"/>
      <c r="L24" s="110"/>
      <c r="M24" s="152" t="str">
        <f t="shared" si="0"/>
        <v/>
      </c>
      <c r="N24" s="136" t="str">
        <f t="shared" si="2"/>
        <v/>
      </c>
      <c r="O24" s="125" t="str">
        <f>IF(M24="","",VLOOKUP(N24,Table1[],2,TRUE))</f>
        <v/>
      </c>
      <c r="P24" s="132" t="str">
        <f t="shared" si="1"/>
        <v/>
      </c>
      <c r="Q24" s="138" t="str">
        <f t="shared" si="4"/>
        <v/>
      </c>
      <c r="R24" s="126" t="str">
        <f>IF(P24="","",VLOOKUP(Q24,Table1[],2,TRUE))</f>
        <v/>
      </c>
      <c r="S24" s="134" t="str">
        <f>IF(AND(N24="",Q24=""),"",IF(OR(N24="-",Q24="-"),"-",IF(AND(N$3&lt;&gt;0,Q$3&lt;&gt;0),VLOOKUP(AVERAGE(N24,Q24),Table1[],2,TRUE),IF(AND(N$3&lt;&gt;0,Q$3=0),O24,R24))))</f>
        <v/>
      </c>
      <c r="T24" s="114"/>
      <c r="U24" s="114" t="str">
        <f t="shared" si="3"/>
        <v/>
      </c>
      <c r="V24" s="116" t="s">
        <v>18</v>
      </c>
    </row>
    <row r="25" spans="1:22" x14ac:dyDescent="0.25">
      <c r="A25" s="110"/>
      <c r="B25" s="110"/>
      <c r="C25" s="110"/>
      <c r="D25" s="110"/>
      <c r="E25" s="110"/>
      <c r="F25" s="121"/>
      <c r="G25" s="110"/>
      <c r="H25" s="110"/>
      <c r="I25" s="110"/>
      <c r="J25" s="110"/>
      <c r="K25" s="121"/>
      <c r="L25" s="110"/>
      <c r="M25" s="152" t="str">
        <f t="shared" si="0"/>
        <v/>
      </c>
      <c r="N25" s="136" t="str">
        <f t="shared" si="2"/>
        <v/>
      </c>
      <c r="O25" s="125" t="str">
        <f>IF(M25="","",VLOOKUP(N25,Table1[],2,TRUE))</f>
        <v/>
      </c>
      <c r="P25" s="132" t="str">
        <f t="shared" si="1"/>
        <v/>
      </c>
      <c r="Q25" s="138" t="str">
        <f t="shared" si="4"/>
        <v/>
      </c>
      <c r="R25" s="126" t="str">
        <f>IF(P25="","",VLOOKUP(Q25,Table1[],2,TRUE))</f>
        <v/>
      </c>
      <c r="S25" s="134" t="str">
        <f>IF(AND(N25="",Q25=""),"",IF(OR(N25="-",Q25="-"),"-",IF(AND(N$3&lt;&gt;0,Q$3&lt;&gt;0),VLOOKUP(AVERAGE(N25,Q25),Table1[],2,TRUE),IF(AND(N$3&lt;&gt;0,Q$3=0),O25,R25))))</f>
        <v/>
      </c>
      <c r="T25" s="114"/>
      <c r="U25" s="114" t="str">
        <f t="shared" si="3"/>
        <v/>
      </c>
      <c r="V25" s="116" t="s">
        <v>18</v>
      </c>
    </row>
    <row r="26" spans="1:22" x14ac:dyDescent="0.25">
      <c r="A26" s="110"/>
      <c r="B26" s="110"/>
      <c r="C26" s="110"/>
      <c r="D26" s="110"/>
      <c r="E26" s="110"/>
      <c r="F26" s="121"/>
      <c r="G26" s="110"/>
      <c r="H26" s="110"/>
      <c r="I26" s="110"/>
      <c r="J26" s="110"/>
      <c r="K26" s="121"/>
      <c r="L26" s="110"/>
      <c r="M26" s="152" t="str">
        <f t="shared" si="0"/>
        <v/>
      </c>
      <c r="N26" s="136" t="str">
        <f t="shared" si="2"/>
        <v/>
      </c>
      <c r="O26" s="125" t="str">
        <f>IF(M26="","",VLOOKUP(N26,Table1[],2,TRUE))</f>
        <v/>
      </c>
      <c r="P26" s="132" t="str">
        <f t="shared" si="1"/>
        <v/>
      </c>
      <c r="Q26" s="138" t="str">
        <f t="shared" si="4"/>
        <v/>
      </c>
      <c r="R26" s="126" t="str">
        <f>IF(P26="","",VLOOKUP(Q26,Table1[],2,TRUE))</f>
        <v/>
      </c>
      <c r="S26" s="134" t="str">
        <f>IF(AND(N26="",Q26=""),"",IF(OR(N26="-",Q26="-"),"-",IF(AND(N$3&lt;&gt;0,Q$3&lt;&gt;0),VLOOKUP(AVERAGE(N26,Q26),Table1[],2,TRUE),IF(AND(N$3&lt;&gt;0,Q$3=0),O26,R26))))</f>
        <v/>
      </c>
      <c r="T26" s="114"/>
      <c r="U26" s="114" t="str">
        <f t="shared" si="3"/>
        <v/>
      </c>
      <c r="V26" s="116" t="s">
        <v>18</v>
      </c>
    </row>
    <row r="27" spans="1:22" x14ac:dyDescent="0.25">
      <c r="A27" s="110"/>
      <c r="B27" s="110"/>
      <c r="C27" s="110"/>
      <c r="D27" s="110"/>
      <c r="E27" s="110"/>
      <c r="F27" s="121"/>
      <c r="G27" s="110"/>
      <c r="H27" s="110"/>
      <c r="I27" s="110"/>
      <c r="J27" s="110"/>
      <c r="K27" s="121"/>
      <c r="L27" s="110"/>
      <c r="M27" s="152" t="str">
        <f t="shared" si="0"/>
        <v/>
      </c>
      <c r="N27" s="136" t="str">
        <f t="shared" si="2"/>
        <v/>
      </c>
      <c r="O27" s="125" t="str">
        <f>IF(M27="","",VLOOKUP(N27,Table1[],2,TRUE))</f>
        <v/>
      </c>
      <c r="P27" s="132" t="str">
        <f t="shared" si="1"/>
        <v/>
      </c>
      <c r="Q27" s="138" t="str">
        <f t="shared" si="4"/>
        <v/>
      </c>
      <c r="R27" s="126" t="str">
        <f>IF(P27="","",VLOOKUP(Q27,Table1[],2,TRUE))</f>
        <v/>
      </c>
      <c r="S27" s="134" t="str">
        <f>IF(AND(N27="",Q27=""),"",IF(OR(N27="-",Q27="-"),"-",IF(AND(N$3&lt;&gt;0,Q$3&lt;&gt;0),VLOOKUP(AVERAGE(N27,Q27),Table1[],2,TRUE),IF(AND(N$3&lt;&gt;0,Q$3=0),O27,R27))))</f>
        <v/>
      </c>
      <c r="T27" s="114"/>
      <c r="U27" s="114" t="str">
        <f t="shared" si="3"/>
        <v/>
      </c>
      <c r="V27" s="116" t="s">
        <v>18</v>
      </c>
    </row>
    <row r="28" spans="1:22" x14ac:dyDescent="0.25">
      <c r="A28" s="110"/>
      <c r="B28" s="110"/>
      <c r="C28" s="110"/>
      <c r="D28" s="110"/>
      <c r="E28" s="110"/>
      <c r="F28" s="121"/>
      <c r="G28" s="110"/>
      <c r="H28" s="110"/>
      <c r="I28" s="110"/>
      <c r="J28" s="110"/>
      <c r="K28" s="121"/>
      <c r="L28" s="110"/>
      <c r="M28" s="152" t="str">
        <f t="shared" si="0"/>
        <v/>
      </c>
      <c r="N28" s="136" t="str">
        <f t="shared" si="2"/>
        <v/>
      </c>
      <c r="O28" s="125" t="str">
        <f>IF(M28="","",VLOOKUP(N28,Table1[],2,TRUE))</f>
        <v/>
      </c>
      <c r="P28" s="132" t="str">
        <f t="shared" si="1"/>
        <v/>
      </c>
      <c r="Q28" s="138" t="str">
        <f t="shared" si="4"/>
        <v/>
      </c>
      <c r="R28" s="126" t="str">
        <f>IF(P28="","",VLOOKUP(Q28,Table1[],2,TRUE))</f>
        <v/>
      </c>
      <c r="S28" s="134" t="str">
        <f>IF(AND(N28="",Q28=""),"",IF(OR(N28="-",Q28="-"),"-",IF(AND(N$3&lt;&gt;0,Q$3&lt;&gt;0),VLOOKUP(AVERAGE(N28,Q28),Table1[],2,TRUE),IF(AND(N$3&lt;&gt;0,Q$3=0),O28,R28))))</f>
        <v/>
      </c>
      <c r="T28" s="114"/>
      <c r="U28" s="114" t="str">
        <f t="shared" si="3"/>
        <v/>
      </c>
      <c r="V28" s="116" t="s">
        <v>18</v>
      </c>
    </row>
    <row r="29" spans="1:22" x14ac:dyDescent="0.25">
      <c r="A29" s="110"/>
      <c r="B29" s="110"/>
      <c r="C29" s="110"/>
      <c r="D29" s="110"/>
      <c r="E29" s="110"/>
      <c r="F29" s="121"/>
      <c r="G29" s="110"/>
      <c r="H29" s="110"/>
      <c r="I29" s="110"/>
      <c r="J29" s="110"/>
      <c r="K29" s="121"/>
      <c r="L29" s="110"/>
      <c r="M29" s="152" t="str">
        <f t="shared" si="0"/>
        <v/>
      </c>
      <c r="N29" s="136" t="str">
        <f t="shared" si="2"/>
        <v/>
      </c>
      <c r="O29" s="125" t="str">
        <f>IF(M29="","",VLOOKUP(N29,Table1[],2,TRUE))</f>
        <v/>
      </c>
      <c r="P29" s="132" t="str">
        <f t="shared" si="1"/>
        <v/>
      </c>
      <c r="Q29" s="138" t="str">
        <f t="shared" si="4"/>
        <v/>
      </c>
      <c r="R29" s="126" t="str">
        <f>IF(P29="","",VLOOKUP(Q29,Table1[],2,TRUE))</f>
        <v/>
      </c>
      <c r="S29" s="134" t="str">
        <f>IF(AND(N29="",Q29=""),"",IF(OR(N29="-",Q29="-"),"-",IF(AND(N$3&lt;&gt;0,Q$3&lt;&gt;0),VLOOKUP(AVERAGE(N29,Q29),Table1[],2,TRUE),IF(AND(N$3&lt;&gt;0,Q$3=0),O29,R29))))</f>
        <v/>
      </c>
      <c r="T29" s="114"/>
      <c r="U29" s="114" t="str">
        <f t="shared" si="3"/>
        <v/>
      </c>
      <c r="V29" s="116" t="s">
        <v>18</v>
      </c>
    </row>
    <row r="30" spans="1:22" x14ac:dyDescent="0.25">
      <c r="A30" s="110"/>
      <c r="B30" s="110"/>
      <c r="C30" s="110"/>
      <c r="D30" s="110"/>
      <c r="E30" s="110"/>
      <c r="F30" s="121"/>
      <c r="G30" s="110"/>
      <c r="H30" s="110"/>
      <c r="I30" s="110"/>
      <c r="J30" s="110"/>
      <c r="K30" s="121"/>
      <c r="L30" s="110"/>
      <c r="M30" s="152" t="str">
        <f t="shared" si="0"/>
        <v/>
      </c>
      <c r="N30" s="136" t="str">
        <f t="shared" si="2"/>
        <v/>
      </c>
      <c r="O30" s="125" t="str">
        <f>IF(M30="","",VLOOKUP(N30,Table1[],2,TRUE))</f>
        <v/>
      </c>
      <c r="P30" s="132" t="str">
        <f t="shared" si="1"/>
        <v/>
      </c>
      <c r="Q30" s="138" t="str">
        <f t="shared" si="4"/>
        <v/>
      </c>
      <c r="R30" s="126" t="str">
        <f>IF(P30="","",VLOOKUP(Q30,Table1[],2,TRUE))</f>
        <v/>
      </c>
      <c r="S30" s="134" t="str">
        <f>IF(AND(N30="",Q30=""),"",IF(OR(N30="-",Q30="-"),"-",IF(AND(N$3&lt;&gt;0,Q$3&lt;&gt;0),VLOOKUP(AVERAGE(N30,Q30),Table1[],2,TRUE),IF(AND(N$3&lt;&gt;0,Q$3=0),O30,R30))))</f>
        <v/>
      </c>
      <c r="T30" s="114"/>
      <c r="U30" s="114" t="str">
        <f t="shared" si="3"/>
        <v/>
      </c>
      <c r="V30" s="116" t="s">
        <v>18</v>
      </c>
    </row>
    <row r="31" spans="1:22" x14ac:dyDescent="0.25">
      <c r="A31" s="110"/>
      <c r="B31" s="110"/>
      <c r="C31" s="110"/>
      <c r="D31" s="110"/>
      <c r="E31" s="110"/>
      <c r="F31" s="121"/>
      <c r="G31" s="110"/>
      <c r="H31" s="110"/>
      <c r="I31" s="110"/>
      <c r="J31" s="110"/>
      <c r="K31" s="121"/>
      <c r="L31" s="110"/>
      <c r="M31" s="152" t="str">
        <f t="shared" si="0"/>
        <v/>
      </c>
      <c r="N31" s="136" t="str">
        <f t="shared" si="2"/>
        <v/>
      </c>
      <c r="O31" s="125" t="str">
        <f>IF(M31="","",VLOOKUP(N31,Table1[],2,TRUE))</f>
        <v/>
      </c>
      <c r="P31" s="132" t="str">
        <f t="shared" si="1"/>
        <v/>
      </c>
      <c r="Q31" s="138" t="str">
        <f t="shared" si="4"/>
        <v/>
      </c>
      <c r="R31" s="126" t="str">
        <f>IF(P31="","",VLOOKUP(Q31,Table1[],2,TRUE))</f>
        <v/>
      </c>
      <c r="S31" s="134" t="str">
        <f>IF(AND(N31="",Q31=""),"",IF(OR(N31="-",Q31="-"),"-",IF(AND(N$3&lt;&gt;0,Q$3&lt;&gt;0),VLOOKUP(AVERAGE(N31,Q31),Table1[],2,TRUE),IF(AND(N$3&lt;&gt;0,Q$3=0),O31,R31))))</f>
        <v/>
      </c>
      <c r="T31" s="114"/>
      <c r="U31" s="114" t="str">
        <f t="shared" si="3"/>
        <v/>
      </c>
      <c r="V31" s="116" t="s">
        <v>18</v>
      </c>
    </row>
    <row r="32" spans="1:22" x14ac:dyDescent="0.25">
      <c r="A32" s="110"/>
      <c r="B32" s="110"/>
      <c r="C32" s="110"/>
      <c r="D32" s="110"/>
      <c r="E32" s="110"/>
      <c r="F32" s="121"/>
      <c r="G32" s="110"/>
      <c r="H32" s="110"/>
      <c r="I32" s="110"/>
      <c r="J32" s="110"/>
      <c r="K32" s="121"/>
      <c r="L32" s="110"/>
      <c r="M32" s="152" t="str">
        <f t="shared" si="0"/>
        <v/>
      </c>
      <c r="N32" s="136" t="str">
        <f t="shared" si="2"/>
        <v/>
      </c>
      <c r="O32" s="125" t="str">
        <f>IF(M32="","",VLOOKUP(N32,Table1[],2,TRUE))</f>
        <v/>
      </c>
      <c r="P32" s="132" t="str">
        <f t="shared" si="1"/>
        <v/>
      </c>
      <c r="Q32" s="138" t="str">
        <f t="shared" si="4"/>
        <v/>
      </c>
      <c r="R32" s="126" t="str">
        <f>IF(P32="","",VLOOKUP(Q32,Table1[],2,TRUE))</f>
        <v/>
      </c>
      <c r="S32" s="134" t="str">
        <f>IF(AND(N32="",Q32=""),"",IF(OR(N32="-",Q32="-"),"-",IF(AND(N$3&lt;&gt;0,Q$3&lt;&gt;0),VLOOKUP(AVERAGE(N32,Q32),Table1[],2,TRUE),IF(AND(N$3&lt;&gt;0,Q$3=0),O32,R32))))</f>
        <v/>
      </c>
      <c r="T32" s="114"/>
      <c r="U32" s="114" t="str">
        <f t="shared" si="3"/>
        <v/>
      </c>
      <c r="V32" s="116" t="s">
        <v>18</v>
      </c>
    </row>
    <row r="33" spans="1:22" x14ac:dyDescent="0.25">
      <c r="A33" s="110"/>
      <c r="B33" s="110"/>
      <c r="C33" s="110"/>
      <c r="D33" s="110"/>
      <c r="E33" s="110"/>
      <c r="F33" s="121"/>
      <c r="G33" s="110"/>
      <c r="H33" s="110"/>
      <c r="I33" s="110"/>
      <c r="J33" s="110"/>
      <c r="K33" s="121"/>
      <c r="L33" s="110"/>
      <c r="M33" s="152" t="str">
        <f t="shared" si="0"/>
        <v/>
      </c>
      <c r="N33" s="136" t="str">
        <f t="shared" si="2"/>
        <v/>
      </c>
      <c r="O33" s="125" t="str">
        <f>IF(M33="","",VLOOKUP(N33,Table1[],2,TRUE))</f>
        <v/>
      </c>
      <c r="P33" s="132" t="str">
        <f t="shared" si="1"/>
        <v/>
      </c>
      <c r="Q33" s="138" t="str">
        <f t="shared" si="4"/>
        <v/>
      </c>
      <c r="R33" s="126" t="str">
        <f>IF(P33="","",VLOOKUP(Q33,Table1[],2,TRUE))</f>
        <v/>
      </c>
      <c r="S33" s="134" t="str">
        <f>IF(AND(N33="",Q33=""),"",IF(OR(N33="-",Q33="-"),"-",IF(AND(N$3&lt;&gt;0,Q$3&lt;&gt;0),VLOOKUP(AVERAGE(N33,Q33),Table1[],2,TRUE),IF(AND(N$3&lt;&gt;0,Q$3=0),O33,R33))))</f>
        <v/>
      </c>
      <c r="T33" s="114"/>
      <c r="U33" s="114" t="str">
        <f t="shared" si="3"/>
        <v/>
      </c>
      <c r="V33" s="116" t="s">
        <v>18</v>
      </c>
    </row>
    <row r="34" spans="1:22" x14ac:dyDescent="0.25">
      <c r="A34" s="110"/>
      <c r="B34" s="110"/>
      <c r="C34" s="110"/>
      <c r="D34" s="110"/>
      <c r="E34" s="110"/>
      <c r="F34" s="121"/>
      <c r="G34" s="110"/>
      <c r="H34" s="110"/>
      <c r="I34" s="110"/>
      <c r="J34" s="110"/>
      <c r="K34" s="121"/>
      <c r="L34" s="110"/>
      <c r="M34" s="152" t="str">
        <f t="shared" si="0"/>
        <v/>
      </c>
      <c r="N34" s="136" t="str">
        <f t="shared" si="2"/>
        <v/>
      </c>
      <c r="O34" s="125" t="str">
        <f>IF(M34="","",VLOOKUP(N34,Table1[],2,TRUE))</f>
        <v/>
      </c>
      <c r="P34" s="132" t="str">
        <f t="shared" si="1"/>
        <v/>
      </c>
      <c r="Q34" s="138" t="str">
        <f t="shared" si="4"/>
        <v/>
      </c>
      <c r="R34" s="126" t="str">
        <f>IF(P34="","",VLOOKUP(Q34,Table1[],2,TRUE))</f>
        <v/>
      </c>
      <c r="S34" s="134" t="str">
        <f>IF(AND(N34="",Q34=""),"",IF(OR(N34="-",Q34="-"),"-",IF(AND(N$3&lt;&gt;0,Q$3&lt;&gt;0),VLOOKUP(AVERAGE(N34,Q34),Table1[],2,TRUE),IF(AND(N$3&lt;&gt;0,Q$3=0),O34,R34))))</f>
        <v/>
      </c>
      <c r="T34" s="114"/>
      <c r="U34" s="114" t="str">
        <f t="shared" si="3"/>
        <v/>
      </c>
      <c r="V34" s="116" t="s">
        <v>18</v>
      </c>
    </row>
    <row r="35" spans="1:22" x14ac:dyDescent="0.25">
      <c r="A35" s="110"/>
      <c r="B35" s="110"/>
      <c r="C35" s="110"/>
      <c r="D35" s="110"/>
      <c r="E35" s="110"/>
      <c r="F35" s="121"/>
      <c r="G35" s="110"/>
      <c r="H35" s="110"/>
      <c r="I35" s="110"/>
      <c r="J35" s="110"/>
      <c r="K35" s="121"/>
      <c r="L35" s="110"/>
      <c r="M35" s="152" t="str">
        <f t="shared" si="0"/>
        <v/>
      </c>
      <c r="N35" s="136" t="str">
        <f t="shared" si="2"/>
        <v/>
      </c>
      <c r="O35" s="125" t="str">
        <f>IF(M35="","",VLOOKUP(N35,Table1[],2,TRUE))</f>
        <v/>
      </c>
      <c r="P35" s="132" t="str">
        <f t="shared" si="1"/>
        <v/>
      </c>
      <c r="Q35" s="138" t="str">
        <f t="shared" si="4"/>
        <v/>
      </c>
      <c r="R35" s="126" t="str">
        <f>IF(P35="","",VLOOKUP(Q35,Table1[],2,TRUE))</f>
        <v/>
      </c>
      <c r="S35" s="134" t="str">
        <f>IF(AND(N35="",Q35=""),"",IF(OR(N35="-",Q35="-"),"-",IF(AND(N$3&lt;&gt;0,Q$3&lt;&gt;0),VLOOKUP(AVERAGE(N35,Q35),Table1[],2,TRUE),IF(AND(N$3&lt;&gt;0,Q$3=0),O35,R35))))</f>
        <v/>
      </c>
      <c r="T35" s="114"/>
      <c r="U35" s="114" t="str">
        <f t="shared" si="3"/>
        <v/>
      </c>
      <c r="V35" s="116" t="s">
        <v>18</v>
      </c>
    </row>
    <row r="36" spans="1:22" x14ac:dyDescent="0.25">
      <c r="A36" s="110"/>
      <c r="B36" s="110"/>
      <c r="C36" s="110"/>
      <c r="D36" s="110"/>
      <c r="E36" s="110"/>
      <c r="F36" s="121"/>
      <c r="G36" s="110"/>
      <c r="H36" s="110"/>
      <c r="I36" s="110"/>
      <c r="J36" s="110"/>
      <c r="K36" s="121"/>
      <c r="L36" s="110"/>
      <c r="M36" s="152" t="str">
        <f t="shared" si="0"/>
        <v/>
      </c>
      <c r="N36" s="136" t="str">
        <f t="shared" si="2"/>
        <v/>
      </c>
      <c r="O36" s="125" t="str">
        <f>IF(M36="","",VLOOKUP(N36,Table1[],2,TRUE))</f>
        <v/>
      </c>
      <c r="P36" s="132" t="str">
        <f t="shared" si="1"/>
        <v/>
      </c>
      <c r="Q36" s="138" t="str">
        <f t="shared" si="4"/>
        <v/>
      </c>
      <c r="R36" s="126" t="str">
        <f>IF(P36="","",VLOOKUP(Q36,Table1[],2,TRUE))</f>
        <v/>
      </c>
      <c r="S36" s="134" t="str">
        <f>IF(AND(N36="",Q36=""),"",IF(OR(N36="-",Q36="-"),"-",IF(AND(N$3&lt;&gt;0,Q$3&lt;&gt;0),VLOOKUP(AVERAGE(N36,Q36),Table1[],2,TRUE),IF(AND(N$3&lt;&gt;0,Q$3=0),O36,R36))))</f>
        <v/>
      </c>
      <c r="T36" s="114"/>
      <c r="U36" s="114" t="str">
        <f t="shared" si="3"/>
        <v/>
      </c>
      <c r="V36" s="116" t="s">
        <v>18</v>
      </c>
    </row>
    <row r="37" spans="1:22" x14ac:dyDescent="0.25">
      <c r="A37" s="110"/>
      <c r="B37" s="110"/>
      <c r="C37" s="110"/>
      <c r="D37" s="110"/>
      <c r="E37" s="110"/>
      <c r="F37" s="121"/>
      <c r="G37" s="110"/>
      <c r="H37" s="110"/>
      <c r="I37" s="110"/>
      <c r="J37" s="110"/>
      <c r="K37" s="121"/>
      <c r="L37" s="110"/>
      <c r="M37" s="152" t="str">
        <f t="shared" si="0"/>
        <v/>
      </c>
      <c r="N37" s="136" t="str">
        <f t="shared" si="2"/>
        <v/>
      </c>
      <c r="O37" s="125" t="str">
        <f>IF(M37="","",VLOOKUP(N37,Table1[],2,TRUE))</f>
        <v/>
      </c>
      <c r="P37" s="132" t="str">
        <f t="shared" si="1"/>
        <v/>
      </c>
      <c r="Q37" s="138" t="str">
        <f t="shared" si="4"/>
        <v/>
      </c>
      <c r="R37" s="126" t="str">
        <f>IF(P37="","",VLOOKUP(Q37,Table1[],2,TRUE))</f>
        <v/>
      </c>
      <c r="S37" s="134" t="str">
        <f>IF(AND(N37="",Q37=""),"",IF(OR(N37="-",Q37="-"),"-",IF(AND(N$3&lt;&gt;0,Q$3&lt;&gt;0),VLOOKUP(AVERAGE(N37,Q37),Table1[],2,TRUE),IF(AND(N$3&lt;&gt;0,Q$3=0),O37,R37))))</f>
        <v/>
      </c>
      <c r="T37" s="114"/>
      <c r="U37" s="114" t="str">
        <f t="shared" si="3"/>
        <v/>
      </c>
      <c r="V37" s="116" t="s">
        <v>18</v>
      </c>
    </row>
    <row r="38" spans="1:22" x14ac:dyDescent="0.25">
      <c r="A38" s="110"/>
      <c r="B38" s="110"/>
      <c r="C38" s="110"/>
      <c r="D38" s="110"/>
      <c r="E38" s="110"/>
      <c r="F38" s="121"/>
      <c r="G38" s="110"/>
      <c r="H38" s="110"/>
      <c r="I38" s="110"/>
      <c r="J38" s="110"/>
      <c r="K38" s="121"/>
      <c r="L38" s="110"/>
      <c r="M38" s="152" t="str">
        <f t="shared" si="0"/>
        <v/>
      </c>
      <c r="N38" s="136" t="str">
        <f t="shared" si="2"/>
        <v/>
      </c>
      <c r="O38" s="125" t="str">
        <f>IF(M38="","",VLOOKUP(N38,Table1[],2,TRUE))</f>
        <v/>
      </c>
      <c r="P38" s="132" t="str">
        <f t="shared" si="1"/>
        <v/>
      </c>
      <c r="Q38" s="138" t="str">
        <f t="shared" si="4"/>
        <v/>
      </c>
      <c r="R38" s="126" t="str">
        <f>IF(P38="","",VLOOKUP(Q38,Table1[],2,TRUE))</f>
        <v/>
      </c>
      <c r="S38" s="134" t="str">
        <f>IF(AND(N38="",Q38=""),"",IF(OR(N38="-",Q38="-"),"-",IF(AND(N$3&lt;&gt;0,Q$3&lt;&gt;0),VLOOKUP(AVERAGE(N38,Q38),Table1[],2,TRUE),IF(AND(N$3&lt;&gt;0,Q$3=0),O38,R38))))</f>
        <v/>
      </c>
      <c r="T38" s="114"/>
      <c r="U38" s="114" t="str">
        <f t="shared" si="3"/>
        <v/>
      </c>
      <c r="V38" s="116" t="s">
        <v>18</v>
      </c>
    </row>
    <row r="39" spans="1:22" x14ac:dyDescent="0.25">
      <c r="A39" s="110"/>
      <c r="B39" s="110"/>
      <c r="C39" s="110"/>
      <c r="D39" s="110"/>
      <c r="E39" s="110"/>
      <c r="F39" s="121"/>
      <c r="G39" s="110"/>
      <c r="H39" s="110"/>
      <c r="I39" s="110"/>
      <c r="J39" s="110"/>
      <c r="K39" s="121"/>
      <c r="L39" s="110"/>
      <c r="M39" s="152" t="str">
        <f t="shared" si="0"/>
        <v/>
      </c>
      <c r="N39" s="136" t="str">
        <f t="shared" si="2"/>
        <v/>
      </c>
      <c r="O39" s="125" t="str">
        <f>IF(M39="","",VLOOKUP(N39,Table1[],2,TRUE))</f>
        <v/>
      </c>
      <c r="P39" s="132" t="str">
        <f t="shared" si="1"/>
        <v/>
      </c>
      <c r="Q39" s="138" t="str">
        <f t="shared" si="4"/>
        <v/>
      </c>
      <c r="R39" s="126" t="str">
        <f>IF(P39="","",VLOOKUP(Q39,Table1[],2,TRUE))</f>
        <v/>
      </c>
      <c r="S39" s="134" t="str">
        <f>IF(AND(N39="",Q39=""),"",IF(OR(N39="-",Q39="-"),"-",IF(AND(N$3&lt;&gt;0,Q$3&lt;&gt;0),VLOOKUP(AVERAGE(N39,Q39),Table1[],2,TRUE),IF(AND(N$3&lt;&gt;0,Q$3=0),O39,R39))))</f>
        <v/>
      </c>
      <c r="T39" s="114"/>
      <c r="U39" s="114" t="str">
        <f t="shared" si="3"/>
        <v/>
      </c>
      <c r="V39" s="116" t="s">
        <v>18</v>
      </c>
    </row>
    <row r="40" spans="1:22" ht="15.75" thickBot="1" x14ac:dyDescent="0.3">
      <c r="A40" s="122"/>
      <c r="B40" s="122"/>
      <c r="C40" s="122"/>
      <c r="D40" s="122"/>
      <c r="E40" s="122"/>
      <c r="F40" s="123"/>
      <c r="G40" s="122"/>
      <c r="H40" s="122"/>
      <c r="I40" s="122"/>
      <c r="J40" s="122"/>
      <c r="K40" s="123"/>
      <c r="L40" s="148"/>
      <c r="M40" s="153" t="str">
        <f t="shared" si="0"/>
        <v/>
      </c>
      <c r="N40" s="137" t="str">
        <f>IF(M40="","",IF(M40="-","-",M40/N$3))</f>
        <v/>
      </c>
      <c r="O40" s="127" t="str">
        <f>IF(M40="","",VLOOKUP(N40,Table1[],2,TRUE))</f>
        <v/>
      </c>
      <c r="P40" s="133" t="str">
        <f t="shared" si="1"/>
        <v/>
      </c>
      <c r="Q40" s="139" t="str">
        <f>IF(P40="","",IF(P40="-", "-",P40/Q$3))</f>
        <v/>
      </c>
      <c r="R40" s="128" t="str">
        <f>IF(P40="","",VLOOKUP(Q40,Table1[],2,TRUE))</f>
        <v/>
      </c>
      <c r="S40" s="135" t="str">
        <f>IF(AND(N40="",Q40=""),"",IF(OR(N40="-",Q40="-"),"-",IF(AND(N$3&lt;&gt;0,Q$3&lt;&gt;0),VLOOKUP(AVERAGE(N40,Q40),Table1[],2,TRUE),IF(AND(N$3&lt;&gt;0,Q$3=0),O40,R40))))</f>
        <v/>
      </c>
      <c r="T40" s="129"/>
      <c r="U40" s="130" t="str">
        <f t="shared" si="3"/>
        <v/>
      </c>
      <c r="V40" s="120" t="s">
        <v>18</v>
      </c>
    </row>
  </sheetData>
  <mergeCells count="7">
    <mergeCell ref="N3:O3"/>
    <mergeCell ref="Q3:R3"/>
    <mergeCell ref="K2:L2"/>
    <mergeCell ref="B1:V1"/>
    <mergeCell ref="A2:E2"/>
    <mergeCell ref="F2:J2"/>
    <mergeCell ref="M2:U2"/>
  </mergeCells>
  <conditionalFormatting sqref="R5:U40 O5:O40">
    <cfRule type="expression" dxfId="27" priority="7" stopIfTrue="1">
      <formula>OR(ISNUMBER(SEARCH("D",O5)),ISNUMBER(SEARCH("E",O5)))</formula>
    </cfRule>
  </conditionalFormatting>
  <conditionalFormatting sqref="A5:J40">
    <cfRule type="expression" dxfId="26" priority="1" stopIfTrue="1">
      <formula>NOT(ISBLANK(A5))</formula>
    </cfRule>
    <cfRule type="expression" dxfId="25" priority="2" stopIfTrue="1">
      <formula>NOT($A5="ZZZZZ")</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T5:T40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4EB66-A5C0-4A58-B2A0-104EAE08D183}">
  <sheetPr codeName="Sheet5">
    <tabColor theme="9" tint="0.59999389629810485"/>
  </sheetPr>
  <dimension ref="A1:B40"/>
  <sheetViews>
    <sheetView zoomScaleNormal="100" workbookViewId="0">
      <pane xSplit="2" ySplit="4" topLeftCell="C5" activePane="bottomRight" state="frozenSplit"/>
      <selection pane="topRight" activeCell="AE1" sqref="AE1"/>
      <selection pane="bottomLeft" activeCell="A23" sqref="A23"/>
      <selection pane="bottomRight" activeCell="J19" sqref="J19"/>
    </sheetView>
  </sheetViews>
  <sheetFormatPr defaultRowHeight="15" x14ac:dyDescent="0.25"/>
  <cols>
    <col min="1" max="2" width="15.7109375" style="103" customWidth="1"/>
    <col min="3" max="16384" width="9.140625" style="104"/>
  </cols>
  <sheetData>
    <row r="1" spans="1:2" s="102" customFormat="1" x14ac:dyDescent="0.25">
      <c r="A1" s="188" t="str">
        <f>_xlfn.CONCAT("Year ",ClassInformation!D4,ClassInformation!E4," ",ClassInformation!D5," - ","Semester 1 ",ClassInformation!D6)</f>
        <v>Year 7A [Subject] - Semester 1 2018</v>
      </c>
      <c r="B1" s="189"/>
    </row>
    <row r="2" spans="1:2" s="102" customFormat="1" x14ac:dyDescent="0.25">
      <c r="A2" s="188"/>
      <c r="B2" s="189"/>
    </row>
    <row r="3" spans="1:2" s="102" customFormat="1" x14ac:dyDescent="0.25">
      <c r="A3" s="190" t="s">
        <v>21</v>
      </c>
      <c r="B3" s="191"/>
    </row>
    <row r="4" spans="1:2" s="102" customFormat="1" ht="15.75" thickBot="1" x14ac:dyDescent="0.3">
      <c r="A4" s="151" t="str">
        <f>ClassInformation!C9</f>
        <v>Last Name</v>
      </c>
      <c r="B4" s="99" t="str">
        <f>ClassInformation!D9</f>
        <v>First Name</v>
      </c>
    </row>
    <row r="5" spans="1:2" s="59" customFormat="1" x14ac:dyDescent="0.25">
      <c r="A5" s="100" t="str">
        <f>IF(ISBLANK(ClassInformation!C10),"ZZZZZ",ClassInformation!C10)</f>
        <v>A</v>
      </c>
      <c r="B5" s="101" t="str">
        <f>IF(ISBLANK(ClassInformation!D10),"ZZZZZ",ClassInformation!D10)</f>
        <v>ZZZZZ</v>
      </c>
    </row>
    <row r="6" spans="1:2" s="59" customFormat="1" x14ac:dyDescent="0.25">
      <c r="A6" s="100" t="str">
        <f>IF(ISBLANK(ClassInformation!C11),"ZZZZZ",ClassInformation!C11)</f>
        <v>B</v>
      </c>
      <c r="B6" s="101" t="str">
        <f>IF(ISBLANK(ClassInformation!D11),"ZZZZZ",ClassInformation!D11)</f>
        <v>ZZZZZ</v>
      </c>
    </row>
    <row r="7" spans="1:2" s="59" customFormat="1" x14ac:dyDescent="0.25">
      <c r="A7" s="100" t="str">
        <f>IF(ISBLANK(ClassInformation!C12),"ZZZZZ",ClassInformation!C12)</f>
        <v>C</v>
      </c>
      <c r="B7" s="101" t="str">
        <f>IF(ISBLANK(ClassInformation!D12),"ZZZZZ",ClassInformation!D12)</f>
        <v>ZZZZZ</v>
      </c>
    </row>
    <row r="8" spans="1:2" s="59" customFormat="1" x14ac:dyDescent="0.25">
      <c r="A8" s="100" t="str">
        <f>IF(ISBLANK(ClassInformation!C13),"ZZZZZ",ClassInformation!C13)</f>
        <v>D</v>
      </c>
      <c r="B8" s="101" t="str">
        <f>IF(ISBLANK(ClassInformation!D13),"ZZZZZ",ClassInformation!D13)</f>
        <v>ZZZZZ</v>
      </c>
    </row>
    <row r="9" spans="1:2" s="59" customFormat="1" x14ac:dyDescent="0.25">
      <c r="A9" s="100" t="str">
        <f>IF(ISBLANK(ClassInformation!C14),"ZZZZZ",ClassInformation!C14)</f>
        <v>E</v>
      </c>
      <c r="B9" s="101" t="str">
        <f>IF(ISBLANK(ClassInformation!D14),"ZZZZZ",ClassInformation!D14)</f>
        <v>ZZZZZ</v>
      </c>
    </row>
    <row r="10" spans="1:2" s="59" customFormat="1" x14ac:dyDescent="0.25">
      <c r="A10" s="100" t="str">
        <f>IF(ISBLANK(ClassInformation!C15),"ZZZZZ",ClassInformation!C15)</f>
        <v>F</v>
      </c>
      <c r="B10" s="101" t="str">
        <f>IF(ISBLANK(ClassInformation!D15),"ZZZZZ",ClassInformation!D15)</f>
        <v>ZZZZZ</v>
      </c>
    </row>
    <row r="11" spans="1:2" s="59" customFormat="1" x14ac:dyDescent="0.25">
      <c r="A11" s="100" t="str">
        <f>IF(ISBLANK(ClassInformation!C16),"ZZZZZ",ClassInformation!C16)</f>
        <v>G</v>
      </c>
      <c r="B11" s="101" t="str">
        <f>IF(ISBLANK(ClassInformation!D16),"ZZZZZ",ClassInformation!D16)</f>
        <v>ZZZZZ</v>
      </c>
    </row>
    <row r="12" spans="1:2" s="59" customFormat="1" x14ac:dyDescent="0.25">
      <c r="A12" s="100" t="str">
        <f>IF(ISBLANK(ClassInformation!C17),"ZZZZZ",ClassInformation!C17)</f>
        <v>H</v>
      </c>
      <c r="B12" s="101" t="str">
        <f>IF(ISBLANK(ClassInformation!D17),"ZZZZZ",ClassInformation!D17)</f>
        <v>ZZZZZ</v>
      </c>
    </row>
    <row r="13" spans="1:2" s="59" customFormat="1" x14ac:dyDescent="0.25">
      <c r="A13" s="100" t="str">
        <f>IF(ISBLANK(ClassInformation!C18),"ZZZZZ",ClassInformation!C18)</f>
        <v>I</v>
      </c>
      <c r="B13" s="101" t="str">
        <f>IF(ISBLANK(ClassInformation!D18),"ZZZZZ",ClassInformation!D18)</f>
        <v>ZZZZZ</v>
      </c>
    </row>
    <row r="14" spans="1:2" s="59" customFormat="1" x14ac:dyDescent="0.25">
      <c r="A14" s="100" t="str">
        <f>IF(ISBLANK(ClassInformation!C19),"ZZZZZ",ClassInformation!C19)</f>
        <v>J</v>
      </c>
      <c r="B14" s="101" t="str">
        <f>IF(ISBLANK(ClassInformation!D19),"ZZZZZ",ClassInformation!D19)</f>
        <v>ZZZZZ</v>
      </c>
    </row>
    <row r="15" spans="1:2" s="59" customFormat="1" x14ac:dyDescent="0.25">
      <c r="A15" s="100" t="str">
        <f>IF(ISBLANK(ClassInformation!C20),"ZZZZZ",ClassInformation!C20)</f>
        <v>K</v>
      </c>
      <c r="B15" s="101" t="str">
        <f>IF(ISBLANK(ClassInformation!D20),"ZZZZZ",ClassInformation!D20)</f>
        <v>ZZZZZ</v>
      </c>
    </row>
    <row r="16" spans="1:2" s="59" customFormat="1" x14ac:dyDescent="0.25">
      <c r="A16" s="100" t="str">
        <f>IF(ISBLANK(ClassInformation!C21),"ZZZZZ",ClassInformation!C21)</f>
        <v>L</v>
      </c>
      <c r="B16" s="101" t="str">
        <f>IF(ISBLANK(ClassInformation!D21),"ZZZZZ",ClassInformation!D21)</f>
        <v>ZZZZZ</v>
      </c>
    </row>
    <row r="17" spans="1:2" s="59" customFormat="1" x14ac:dyDescent="0.25">
      <c r="A17" s="100" t="str">
        <f>IF(ISBLANK(ClassInformation!C22),"ZZZZZ",ClassInformation!C22)</f>
        <v>M</v>
      </c>
      <c r="B17" s="101" t="str">
        <f>IF(ISBLANK(ClassInformation!D22),"ZZZZZ",ClassInformation!D22)</f>
        <v>ZZZZZ</v>
      </c>
    </row>
    <row r="18" spans="1:2" s="59" customFormat="1" x14ac:dyDescent="0.25">
      <c r="A18" s="100" t="str">
        <f>IF(ISBLANK(ClassInformation!C23),"ZZZZZ",ClassInformation!C23)</f>
        <v>N</v>
      </c>
      <c r="B18" s="101" t="str">
        <f>IF(ISBLANK(ClassInformation!D23),"ZZZZZ",ClassInformation!D23)</f>
        <v>ZZZZZ</v>
      </c>
    </row>
    <row r="19" spans="1:2" s="59" customFormat="1" x14ac:dyDescent="0.25">
      <c r="A19" s="100" t="str">
        <f>IF(ISBLANK(ClassInformation!C24),"ZZZZZ",ClassInformation!C24)</f>
        <v>O</v>
      </c>
      <c r="B19" s="101" t="str">
        <f>IF(ISBLANK(ClassInformation!D24),"ZZZZZ",ClassInformation!D24)</f>
        <v>ZZZZZ</v>
      </c>
    </row>
    <row r="20" spans="1:2" s="59" customFormat="1" x14ac:dyDescent="0.25">
      <c r="A20" s="100" t="str">
        <f>IF(ISBLANK(ClassInformation!C25),"ZZZZZ",ClassInformation!C25)</f>
        <v>P</v>
      </c>
      <c r="B20" s="101" t="str">
        <f>IF(ISBLANK(ClassInformation!D25),"ZZZZZ",ClassInformation!D25)</f>
        <v>ZZZZZ</v>
      </c>
    </row>
    <row r="21" spans="1:2" s="59" customFormat="1" x14ac:dyDescent="0.25">
      <c r="A21" s="100" t="str">
        <f>IF(ISBLANK(ClassInformation!C26),"ZZZZZ",ClassInformation!C26)</f>
        <v>Q</v>
      </c>
      <c r="B21" s="101" t="str">
        <f>IF(ISBLANK(ClassInformation!D26),"ZZZZZ",ClassInformation!D26)</f>
        <v>ZZZZZ</v>
      </c>
    </row>
    <row r="22" spans="1:2" s="59" customFormat="1" x14ac:dyDescent="0.25">
      <c r="A22" s="100" t="str">
        <f>IF(ISBLANK(ClassInformation!C27),"ZZZZZ",ClassInformation!C27)</f>
        <v>R</v>
      </c>
      <c r="B22" s="101" t="str">
        <f>IF(ISBLANK(ClassInformation!D27),"ZZZZZ",ClassInformation!D27)</f>
        <v>ZZZZZ</v>
      </c>
    </row>
    <row r="23" spans="1:2" s="59" customFormat="1" x14ac:dyDescent="0.25">
      <c r="A23" s="100" t="str">
        <f>IF(ISBLANK(ClassInformation!C28),"ZZZZZ",ClassInformation!C28)</f>
        <v>S</v>
      </c>
      <c r="B23" s="101" t="str">
        <f>IF(ISBLANK(ClassInformation!D28),"ZZZZZ",ClassInformation!D28)</f>
        <v>ZZZZZ</v>
      </c>
    </row>
    <row r="24" spans="1:2" s="59" customFormat="1" x14ac:dyDescent="0.25">
      <c r="A24" s="100" t="str">
        <f>IF(ISBLANK(ClassInformation!C29),"ZZZZZ",ClassInformation!C29)</f>
        <v>T</v>
      </c>
      <c r="B24" s="101" t="str">
        <f>IF(ISBLANK(ClassInformation!D29),"ZZZZZ",ClassInformation!D29)</f>
        <v>ZZZZZ</v>
      </c>
    </row>
    <row r="25" spans="1:2" s="59" customFormat="1" x14ac:dyDescent="0.25">
      <c r="A25" s="100" t="str">
        <f>IF(ISBLANK(ClassInformation!C30),"ZZZZZ",ClassInformation!C30)</f>
        <v>U</v>
      </c>
      <c r="B25" s="101" t="str">
        <f>IF(ISBLANK(ClassInformation!D30),"ZZZZZ",ClassInformation!D30)</f>
        <v>ZZZZZ</v>
      </c>
    </row>
    <row r="26" spans="1:2" s="59" customFormat="1" x14ac:dyDescent="0.25">
      <c r="A26" s="100" t="str">
        <f>IF(ISBLANK(ClassInformation!C31),"ZZZZZ",ClassInformation!C31)</f>
        <v>V</v>
      </c>
      <c r="B26" s="101" t="str">
        <f>IF(ISBLANK(ClassInformation!D31),"ZZZZZ",ClassInformation!D31)</f>
        <v>ZZZZZ</v>
      </c>
    </row>
    <row r="27" spans="1:2" s="59" customFormat="1" x14ac:dyDescent="0.25">
      <c r="A27" s="100" t="str">
        <f>IF(ISBLANK(ClassInformation!C32),"ZZZZZ",ClassInformation!C32)</f>
        <v>W</v>
      </c>
      <c r="B27" s="101" t="str">
        <f>IF(ISBLANK(ClassInformation!D32),"ZZZZZ",ClassInformation!D32)</f>
        <v>ZZZZZ</v>
      </c>
    </row>
    <row r="28" spans="1:2" s="59" customFormat="1" x14ac:dyDescent="0.25">
      <c r="A28" s="100" t="str">
        <f>IF(ISBLANK(ClassInformation!C33),"ZZZZZ",ClassInformation!C33)</f>
        <v>X</v>
      </c>
      <c r="B28" s="101" t="str">
        <f>IF(ISBLANK(ClassInformation!D33),"ZZZZZ",ClassInformation!D33)</f>
        <v>ZZZZZ</v>
      </c>
    </row>
    <row r="29" spans="1:2" s="59" customFormat="1" x14ac:dyDescent="0.25">
      <c r="A29" s="100" t="str">
        <f>IF(ISBLANK(ClassInformation!C34),"ZZZZZ",ClassInformation!C34)</f>
        <v>Y</v>
      </c>
      <c r="B29" s="101" t="str">
        <f>IF(ISBLANK(ClassInformation!D34),"ZZZZZ",ClassInformation!D34)</f>
        <v>ZZZZZ</v>
      </c>
    </row>
    <row r="30" spans="1:2" s="59" customFormat="1" x14ac:dyDescent="0.25">
      <c r="A30" s="100" t="str">
        <f>IF(ISBLANK(ClassInformation!C35),"ZZZZZ",ClassInformation!C35)</f>
        <v>Z</v>
      </c>
      <c r="B30" s="101" t="str">
        <f>IF(ISBLANK(ClassInformation!D35),"ZZZZZ",ClassInformation!D35)</f>
        <v>ZZZZZ</v>
      </c>
    </row>
    <row r="31" spans="1:2" s="59" customFormat="1" x14ac:dyDescent="0.25">
      <c r="A31" s="100" t="str">
        <f>IF(ISBLANK(ClassInformation!C36),"ZZZZZ",ClassInformation!C36)</f>
        <v>AA</v>
      </c>
      <c r="B31" s="101" t="str">
        <f>IF(ISBLANK(ClassInformation!D36),"ZZZZZ",ClassInformation!D36)</f>
        <v>ZZZZZ</v>
      </c>
    </row>
    <row r="32" spans="1:2" s="59" customFormat="1" x14ac:dyDescent="0.25">
      <c r="A32" s="100" t="str">
        <f>IF(ISBLANK(ClassInformation!C37),"ZZZZZ",ClassInformation!C37)</f>
        <v>BA</v>
      </c>
      <c r="B32" s="101" t="str">
        <f>IF(ISBLANK(ClassInformation!D37),"ZZZZZ",ClassInformation!D37)</f>
        <v>ZZZZZ</v>
      </c>
    </row>
    <row r="33" spans="1:2" s="59" customFormat="1" x14ac:dyDescent="0.25">
      <c r="A33" s="100" t="str">
        <f>IF(ISBLANK(ClassInformation!C38),"ZZZZZ",ClassInformation!C38)</f>
        <v>CA</v>
      </c>
      <c r="B33" s="101" t="str">
        <f>IF(ISBLANK(ClassInformation!D38),"ZZZZZ",ClassInformation!D38)</f>
        <v>ZZZZZ</v>
      </c>
    </row>
    <row r="34" spans="1:2" s="59" customFormat="1" x14ac:dyDescent="0.25">
      <c r="A34" s="100" t="str">
        <f>IF(ISBLANK(ClassInformation!C39),"ZZZZZ",ClassInformation!C39)</f>
        <v>DA</v>
      </c>
      <c r="B34" s="101" t="str">
        <f>IF(ISBLANK(ClassInformation!D39),"ZZZZZ",ClassInformation!D39)</f>
        <v>ZZZZZ</v>
      </c>
    </row>
    <row r="35" spans="1:2" s="59" customFormat="1" x14ac:dyDescent="0.25">
      <c r="A35" s="100" t="str">
        <f>IF(ISBLANK(ClassInformation!C40),"ZZZZZ",ClassInformation!C40)</f>
        <v>EA</v>
      </c>
      <c r="B35" s="101" t="str">
        <f>IF(ISBLANK(ClassInformation!D40),"ZZZZZ",ClassInformation!D40)</f>
        <v>ZZZZZ</v>
      </c>
    </row>
    <row r="36" spans="1:2" s="59" customFormat="1" x14ac:dyDescent="0.25">
      <c r="A36" s="100" t="str">
        <f>IF(ISBLANK(ClassInformation!C41),"ZZZZZ",ClassInformation!C41)</f>
        <v>FA</v>
      </c>
      <c r="B36" s="101" t="str">
        <f>IF(ISBLANK(ClassInformation!D41),"ZZZZZ",ClassInformation!D41)</f>
        <v>ZZZZZ</v>
      </c>
    </row>
    <row r="37" spans="1:2" s="59" customFormat="1" x14ac:dyDescent="0.25">
      <c r="A37" s="100" t="str">
        <f>IF(ISBLANK(ClassInformation!C42),"ZZZZZ",ClassInformation!C42)</f>
        <v>ZZZZZ</v>
      </c>
      <c r="B37" s="101" t="str">
        <f>IF(ISBLANK(ClassInformation!D42),"ZZZZZ",ClassInformation!D42)</f>
        <v>ZZZZZ</v>
      </c>
    </row>
    <row r="38" spans="1:2" s="59" customFormat="1" x14ac:dyDescent="0.25">
      <c r="A38" s="100" t="str">
        <f>IF(ISBLANK(ClassInformation!C43),"ZZZZZ",ClassInformation!C43)</f>
        <v>ZZZZZ</v>
      </c>
      <c r="B38" s="101" t="str">
        <f>IF(ISBLANK(ClassInformation!D43),"ZZZZZ",ClassInformation!D43)</f>
        <v>ZZZZZ</v>
      </c>
    </row>
    <row r="39" spans="1:2" s="59" customFormat="1" x14ac:dyDescent="0.25">
      <c r="A39" s="100" t="str">
        <f>IF(ISBLANK(ClassInformation!C44),"ZZZZZ",ClassInformation!C44)</f>
        <v>ZZZZZ</v>
      </c>
      <c r="B39" s="101" t="str">
        <f>IF(ISBLANK(ClassInformation!D44),"ZZZZZ",ClassInformation!D44)</f>
        <v>ZZZZZ</v>
      </c>
    </row>
    <row r="40" spans="1:2" s="59" customFormat="1" ht="15.75" thickBot="1" x14ac:dyDescent="0.3">
      <c r="A40" s="149" t="str">
        <f>IF(ISBLANK(ClassInformation!C45),"ZZZZZ",ClassInformation!C45)</f>
        <v>ZZZZZ</v>
      </c>
      <c r="B40" s="150" t="str">
        <f>IF(ISBLANK(ClassInformation!D45),"ZZZZZ",ClassInformation!D45)</f>
        <v>ZZZZZ</v>
      </c>
    </row>
  </sheetData>
  <sheetProtection formatCells="0" formatColumns="0" formatRows="0" insertColumns="0" deleteColumns="0"/>
  <mergeCells count="2">
    <mergeCell ref="A3:B3"/>
    <mergeCell ref="A1:B2"/>
  </mergeCells>
  <conditionalFormatting sqref="A5:B40">
    <cfRule type="expression" dxfId="24" priority="4">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Group Box 1">
              <controlPr defaultSize="0" autoFill="0" autoPict="0">
                <anchor moveWithCells="1">
                  <from>
                    <xdr:col>0</xdr:col>
                    <xdr:colOff>28575</xdr:colOff>
                    <xdr:row>40</xdr:row>
                    <xdr:rowOff>47625</xdr:rowOff>
                  </from>
                  <to>
                    <xdr:col>1</xdr:col>
                    <xdr:colOff>1019175</xdr:colOff>
                    <xdr:row>44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A6FABC68-69C2-4A8C-B1D2-E95A798A287C}">
            <xm:f>ClassInformation!$E10="N"</xm:f>
            <x14:dxf>
              <font>
                <strike/>
              </font>
            </x14:dxf>
          </x14:cfRule>
          <xm:sqref>A5:B40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AR741"/>
  <sheetViews>
    <sheetView zoomScale="70" zoomScaleNormal="70" workbookViewId="0">
      <selection activeCell="I61" sqref="I61"/>
    </sheetView>
  </sheetViews>
  <sheetFormatPr defaultRowHeight="15" x14ac:dyDescent="0.25"/>
  <cols>
    <col min="1" max="1" width="17" style="9" bestFit="1" customWidth="1"/>
    <col min="2" max="2" width="4.7109375" style="9" customWidth="1"/>
    <col min="3" max="3" width="17" style="9" bestFit="1" customWidth="1"/>
    <col min="4" max="4" width="4.7109375" style="9" customWidth="1"/>
    <col min="5" max="5" width="17" style="9" bestFit="1" customWidth="1"/>
    <col min="6" max="6" width="4.7109375" style="18" customWidth="1"/>
    <col min="7" max="7" width="17" style="18" bestFit="1" customWidth="1"/>
    <col min="8" max="8" width="4.7109375" style="18" customWidth="1"/>
    <col min="9" max="9" width="17" style="18" bestFit="1" customWidth="1"/>
    <col min="10" max="10" width="4.7109375" style="18" customWidth="1"/>
    <col min="11" max="11" width="17" style="9" hidden="1" customWidth="1"/>
    <col min="12" max="12" width="4.7109375" style="18" hidden="1" customWidth="1"/>
    <col min="13" max="13" width="13.28515625" style="9" bestFit="1" customWidth="1"/>
    <col min="14" max="14" width="5.5703125" style="18" customWidth="1"/>
    <col min="15" max="15" width="6.140625" style="9" customWidth="1"/>
    <col min="16" max="16" width="12.85546875" style="9" bestFit="1" customWidth="1"/>
    <col min="17" max="17" width="5.5703125" style="18" bestFit="1" customWidth="1"/>
    <col min="18" max="18" width="6.28515625" style="9" bestFit="1" customWidth="1"/>
    <col min="19" max="19" width="11" style="9" bestFit="1" customWidth="1"/>
    <col min="20" max="20" width="10.42578125" style="37" bestFit="1" customWidth="1"/>
    <col min="21" max="21" width="13.42578125" style="31" bestFit="1" customWidth="1"/>
    <col min="22" max="22" width="3.42578125" style="31" customWidth="1"/>
    <col min="23" max="23" width="18.85546875" style="31" bestFit="1" customWidth="1"/>
    <col min="24" max="24" width="3.140625" style="31" bestFit="1" customWidth="1"/>
    <col min="25" max="25" width="17" style="31" hidden="1" customWidth="1"/>
    <col min="26" max="26" width="9.140625" style="31" hidden="1" customWidth="1"/>
    <col min="27" max="27" width="17" style="31" hidden="1" customWidth="1"/>
    <col min="28" max="28" width="9.140625" style="31" hidden="1" customWidth="1"/>
    <col min="29" max="29" width="17" style="31" hidden="1" customWidth="1"/>
    <col min="30" max="30" width="9.140625" style="31" hidden="1" customWidth="1"/>
    <col min="31" max="31" width="17" style="31" hidden="1" customWidth="1"/>
    <col min="32" max="32" width="9.140625" style="31" hidden="1" customWidth="1"/>
    <col min="33" max="33" width="17" style="31" hidden="1" customWidth="1"/>
    <col min="34" max="34" width="9.140625" style="31" hidden="1" customWidth="1"/>
    <col min="35" max="35" width="18.85546875" style="31" customWidth="1"/>
    <col min="36" max="36" width="5.7109375" style="31" customWidth="1"/>
    <col min="37" max="37" width="6.42578125" style="31" hidden="1" customWidth="1"/>
    <col min="38" max="38" width="13.42578125" style="31" hidden="1" customWidth="1"/>
    <col min="39" max="39" width="2.7109375" style="31" hidden="1" customWidth="1"/>
    <col min="40" max="40" width="6.42578125" style="31" hidden="1" customWidth="1"/>
    <col min="41" max="41" width="11" style="31" hidden="1" customWidth="1"/>
    <col min="42" max="42" width="10.42578125" style="31" hidden="1" customWidth="1"/>
    <col min="43" max="43" width="13.42578125" style="31" bestFit="1" customWidth="1"/>
    <col min="44" max="44" width="2.7109375" style="31" customWidth="1"/>
    <col min="45" max="16384" width="9.140625" style="31"/>
  </cols>
  <sheetData>
    <row r="1" spans="1:44" x14ac:dyDescent="0.25">
      <c r="A1" s="19" t="s">
        <v>31</v>
      </c>
      <c r="B1" s="203" t="s">
        <v>54</v>
      </c>
      <c r="C1" s="204"/>
      <c r="D1" s="204"/>
      <c r="E1" s="204"/>
      <c r="F1" s="204"/>
      <c r="G1" s="204"/>
      <c r="H1" s="204"/>
      <c r="I1" s="204"/>
      <c r="J1" s="204"/>
      <c r="K1" s="204"/>
      <c r="L1" s="204"/>
      <c r="M1" s="204"/>
      <c r="N1" s="204"/>
      <c r="O1" s="204"/>
      <c r="P1" s="204"/>
      <c r="Q1" s="204"/>
      <c r="R1" s="204"/>
      <c r="S1" s="204"/>
      <c r="T1" s="204"/>
      <c r="U1" s="204"/>
      <c r="V1" s="205"/>
      <c r="W1" s="19" t="s">
        <v>31</v>
      </c>
      <c r="X1" s="203" t="s">
        <v>57</v>
      </c>
      <c r="Y1" s="204"/>
      <c r="Z1" s="204"/>
      <c r="AA1" s="204"/>
      <c r="AB1" s="204"/>
      <c r="AC1" s="204"/>
      <c r="AD1" s="204"/>
      <c r="AE1" s="204"/>
      <c r="AF1" s="204"/>
      <c r="AG1" s="204"/>
      <c r="AH1" s="204"/>
      <c r="AI1" s="204"/>
      <c r="AJ1" s="204"/>
      <c r="AK1" s="204"/>
      <c r="AL1" s="204"/>
      <c r="AM1" s="204"/>
      <c r="AN1" s="204"/>
      <c r="AO1" s="204"/>
      <c r="AP1" s="204"/>
      <c r="AQ1" s="204"/>
      <c r="AR1" s="205"/>
    </row>
    <row r="2" spans="1:44" x14ac:dyDescent="0.25">
      <c r="A2" s="212" t="s">
        <v>32</v>
      </c>
      <c r="B2" s="207"/>
      <c r="C2" s="207"/>
      <c r="D2" s="207"/>
      <c r="E2" s="207"/>
      <c r="F2" s="213"/>
      <c r="G2" s="206" t="s">
        <v>34</v>
      </c>
      <c r="H2" s="207"/>
      <c r="I2" s="207"/>
      <c r="J2" s="207"/>
      <c r="K2" s="207"/>
      <c r="L2" s="213"/>
      <c r="M2" s="206" t="s">
        <v>35</v>
      </c>
      <c r="N2" s="207"/>
      <c r="O2" s="207"/>
      <c r="P2" s="207"/>
      <c r="Q2" s="207"/>
      <c r="R2" s="207"/>
      <c r="S2" s="207"/>
      <c r="T2" s="207"/>
      <c r="U2" s="207"/>
      <c r="V2" s="86"/>
      <c r="W2" s="212" t="s">
        <v>58</v>
      </c>
      <c r="X2" s="207"/>
      <c r="Y2" s="207"/>
      <c r="Z2" s="207"/>
      <c r="AA2" s="207"/>
      <c r="AB2" s="213"/>
      <c r="AC2" s="206" t="s">
        <v>34</v>
      </c>
      <c r="AD2" s="207"/>
      <c r="AE2" s="207"/>
      <c r="AF2" s="207"/>
      <c r="AG2" s="207"/>
      <c r="AH2" s="213"/>
      <c r="AI2" s="206" t="s">
        <v>35</v>
      </c>
      <c r="AJ2" s="207"/>
      <c r="AK2" s="207"/>
      <c r="AL2" s="207"/>
      <c r="AM2" s="207"/>
      <c r="AN2" s="207"/>
      <c r="AO2" s="207"/>
      <c r="AP2" s="207"/>
      <c r="AQ2" s="207"/>
      <c r="AR2" s="37"/>
    </row>
    <row r="3" spans="1:44" ht="15" customHeight="1" x14ac:dyDescent="0.25">
      <c r="A3" s="17" t="str">
        <f>_xlfn.CONCAT("Max ",A4," Mark:")</f>
        <v>Max SU Mark:</v>
      </c>
      <c r="B3" s="20">
        <v>12</v>
      </c>
      <c r="C3" s="17" t="str">
        <f>_xlfn.CONCAT("Max ",C4," Mark:")</f>
        <v>Max SHE Mark:</v>
      </c>
      <c r="D3" s="20">
        <v>8</v>
      </c>
      <c r="E3" s="17" t="str">
        <f>_xlfn.CONCAT("Max ",E4," Mark:")</f>
        <v>Max [Mark] Mark:</v>
      </c>
      <c r="F3" s="20"/>
      <c r="G3" s="17" t="str">
        <f>_xlfn.CONCAT("Max ",G4," Mark:")</f>
        <v>Max PADI Mark:</v>
      </c>
      <c r="H3" s="20">
        <v>6</v>
      </c>
      <c r="I3" s="17" t="str">
        <f>_xlfn.CONCAT("Max ",I4," Mark:")</f>
        <v>Max SD Mark:</v>
      </c>
      <c r="J3" s="21">
        <v>8</v>
      </c>
      <c r="K3" s="17" t="str">
        <f>_xlfn.CONCAT("Max ",K4," Mark:")</f>
        <v>Max [Mark] Mark:</v>
      </c>
      <c r="L3" s="21"/>
      <c r="M3" s="22" t="str">
        <f>_xlfn.CONCAT("Max ",A2," Mark:")</f>
        <v>Max UD Mark:</v>
      </c>
      <c r="N3" s="214">
        <f>B3+D3+F3</f>
        <v>20</v>
      </c>
      <c r="O3" s="215"/>
      <c r="P3" s="41" t="str">
        <f>_xlfn.CONCAT("Max ",G2," Mark:")</f>
        <v>Max SD Mark:</v>
      </c>
      <c r="Q3" s="216">
        <f>H3+J3+L3</f>
        <v>14</v>
      </c>
      <c r="R3" s="217"/>
      <c r="S3" s="208" t="s">
        <v>55</v>
      </c>
      <c r="T3" s="208" t="s">
        <v>56</v>
      </c>
      <c r="U3" s="208" t="str">
        <f>_xlfn.CONCAT(M2," Grade")</f>
        <v>Overall Grade</v>
      </c>
      <c r="V3" s="86"/>
      <c r="W3" s="17" t="str">
        <f>_xlfn.CONCAT("Max ",W4," Mark:")</f>
        <v>Max Spelling Mark:</v>
      </c>
      <c r="X3" s="20">
        <v>12</v>
      </c>
      <c r="Y3" s="17" t="str">
        <f>_xlfn.CONCAT("Max ",Y4," Mark:")</f>
        <v>Max [Mark] Mark:</v>
      </c>
      <c r="Z3" s="20"/>
      <c r="AA3" s="17" t="str">
        <f>_xlfn.CONCAT("Max ",AA4," Mark:")</f>
        <v>Max [Mark] Mark:</v>
      </c>
      <c r="AB3" s="20"/>
      <c r="AC3" s="17" t="str">
        <f>_xlfn.CONCAT("Max ",AC4," Mark:")</f>
        <v>Max [Mark] Mark:</v>
      </c>
      <c r="AD3" s="20"/>
      <c r="AE3" s="17" t="str">
        <f>_xlfn.CONCAT("Max ",AE4," Mark:")</f>
        <v>Max [Mark] Mark:</v>
      </c>
      <c r="AF3" s="21"/>
      <c r="AG3" s="17" t="str">
        <f>_xlfn.CONCAT("Max ",AG4," Mark:")</f>
        <v>Max [Mark] Mark:</v>
      </c>
      <c r="AH3" s="21"/>
      <c r="AI3" s="22" t="str">
        <f>_xlfn.CONCAT("Max ",W2," Mark:")</f>
        <v>Max Spelling Mark:</v>
      </c>
      <c r="AJ3" s="214">
        <f>X3+Z3+AB3</f>
        <v>12</v>
      </c>
      <c r="AK3" s="215"/>
      <c r="AL3" s="41" t="str">
        <f>_xlfn.CONCAT("Max ",AC2," Mark:")</f>
        <v>Max SD Mark:</v>
      </c>
      <c r="AM3" s="216">
        <f>AD3+AF3+AH3</f>
        <v>0</v>
      </c>
      <c r="AN3" s="217"/>
      <c r="AO3" s="208" t="s">
        <v>55</v>
      </c>
      <c r="AP3" s="208" t="s">
        <v>56</v>
      </c>
      <c r="AQ3" s="208" t="str">
        <f>_xlfn.CONCAT(AI2," Grade")</f>
        <v>Overall Grade</v>
      </c>
      <c r="AR3" s="37"/>
    </row>
    <row r="4" spans="1:44" ht="15" customHeight="1" x14ac:dyDescent="0.25">
      <c r="A4" s="210" t="s">
        <v>41</v>
      </c>
      <c r="B4" s="211"/>
      <c r="C4" s="210" t="s">
        <v>42</v>
      </c>
      <c r="D4" s="211"/>
      <c r="E4" s="210" t="s">
        <v>40</v>
      </c>
      <c r="F4" s="211"/>
      <c r="G4" s="210" t="s">
        <v>43</v>
      </c>
      <c r="H4" s="211"/>
      <c r="I4" s="210" t="s">
        <v>34</v>
      </c>
      <c r="J4" s="211"/>
      <c r="K4" s="210" t="s">
        <v>40</v>
      </c>
      <c r="L4" s="211"/>
      <c r="M4" s="44" t="str">
        <f>_xlfn.CONCAT(M2," ",A2)</f>
        <v>Overall UD</v>
      </c>
      <c r="N4" s="45" t="s">
        <v>33</v>
      </c>
      <c r="O4" s="46" t="s">
        <v>1</v>
      </c>
      <c r="P4" s="47" t="str">
        <f>_xlfn.CONCAT(M2," ",G2)</f>
        <v>Overall SD</v>
      </c>
      <c r="Q4" s="48" t="s">
        <v>33</v>
      </c>
      <c r="R4" s="49" t="s">
        <v>1</v>
      </c>
      <c r="S4" s="209"/>
      <c r="T4" s="209"/>
      <c r="U4" s="209"/>
      <c r="V4" s="86"/>
      <c r="W4" s="210" t="s">
        <v>58</v>
      </c>
      <c r="X4" s="211"/>
      <c r="Y4" s="210" t="s">
        <v>40</v>
      </c>
      <c r="Z4" s="211"/>
      <c r="AA4" s="210" t="s">
        <v>40</v>
      </c>
      <c r="AB4" s="211"/>
      <c r="AC4" s="210" t="s">
        <v>40</v>
      </c>
      <c r="AD4" s="211"/>
      <c r="AE4" s="210" t="s">
        <v>40</v>
      </c>
      <c r="AF4" s="211"/>
      <c r="AG4" s="210" t="s">
        <v>40</v>
      </c>
      <c r="AH4" s="211"/>
      <c r="AI4" s="44" t="str">
        <f>_xlfn.CONCAT(AI2," ",W2)</f>
        <v>Overall Spelling</v>
      </c>
      <c r="AJ4" s="45" t="s">
        <v>33</v>
      </c>
      <c r="AK4" s="46" t="s">
        <v>1</v>
      </c>
      <c r="AL4" s="47" t="str">
        <f>_xlfn.CONCAT(AI2," ",AC2)</f>
        <v>Overall SD</v>
      </c>
      <c r="AM4" s="48" t="s">
        <v>33</v>
      </c>
      <c r="AN4" s="49" t="s">
        <v>1</v>
      </c>
      <c r="AO4" s="209"/>
      <c r="AP4" s="209"/>
      <c r="AQ4" s="209"/>
      <c r="AR4" s="37"/>
    </row>
    <row r="5" spans="1:44" ht="15" customHeight="1" x14ac:dyDescent="0.25">
      <c r="A5" s="26">
        <v>9</v>
      </c>
      <c r="B5" s="27"/>
      <c r="C5" s="27">
        <v>7.5</v>
      </c>
      <c r="D5" s="27"/>
      <c r="E5" s="50"/>
      <c r="F5" s="27"/>
      <c r="G5" s="27">
        <v>2.5</v>
      </c>
      <c r="H5" s="27"/>
      <c r="I5" s="27">
        <v>5</v>
      </c>
      <c r="J5" s="27"/>
      <c r="K5" s="27"/>
      <c r="L5" s="27"/>
      <c r="M5" s="28">
        <f>IF(OR(A5="-",C5="-",E5="-"),"-",IF(AND(ISBLANK(C5),ISBLANK(A5),ISBLANK(E5)),"",A5+C5+E5))</f>
        <v>16.5</v>
      </c>
      <c r="N5" s="29">
        <f>IF(M5="","",IF(M5="-","-",M5/N$3))</f>
        <v>0.82499999999999996</v>
      </c>
      <c r="O5" s="28" t="str">
        <f>IF(N5="","",VLOOKUP(N5,Table1[],2,TRUE))</f>
        <v>A-</v>
      </c>
      <c r="P5" s="38">
        <f>IF(OR(G5="-",I5="-",K5="-"),"-",IF(AND(ISBLANK(I5),ISBLANK(G5),ISBLANK(K5)),"",G5+I5+K5))</f>
        <v>7.5</v>
      </c>
      <c r="Q5" s="39">
        <f>IF(P5="","",IF(P5="-", "-",P5/Q$3))</f>
        <v>0.5357142857142857</v>
      </c>
      <c r="R5" s="40" t="str">
        <f>IF(Q5="","",VLOOKUP(Q5,Table1[],2,TRUE))</f>
        <v>C</v>
      </c>
      <c r="S5" s="25" t="str">
        <f>IF(AND(N5="",Q5=""),"",IF(OR(N5="-",Q5="-"),"-",IF(AND(N$3&lt;&gt;0,Q$3&lt;&gt;0),VLOOKUP(AVERAGE(N5,Q5),Table1[],2,TRUE),IF(AND(N$3&lt;&gt;0,Q$3=0),O5,R5))))</f>
        <v>B-</v>
      </c>
      <c r="T5" s="85" t="s">
        <v>15</v>
      </c>
      <c r="U5" s="81" t="str">
        <f>IF(ISBLANK(T5),S5,T5)</f>
        <v>A-</v>
      </c>
      <c r="V5" s="87"/>
      <c r="W5" s="26">
        <v>5</v>
      </c>
      <c r="X5" s="27"/>
      <c r="Y5" s="27"/>
      <c r="Z5" s="27"/>
      <c r="AA5" s="27"/>
      <c r="AB5" s="27"/>
      <c r="AC5" s="27"/>
      <c r="AD5" s="27"/>
      <c r="AE5" s="27"/>
      <c r="AF5" s="27"/>
      <c r="AG5" s="27"/>
      <c r="AH5" s="27"/>
      <c r="AI5" s="28">
        <f>IF(OR(W5="-",Y5="-",AA5="-"),"-",IF(AND(ISBLANK(Y5),ISBLANK(W5),ISBLANK(AA5)),"",W5+Y5+AA5))</f>
        <v>5</v>
      </c>
      <c r="AJ5" s="29">
        <f>IF(AI5="","",IF(AI5="-","-",AI5/AJ$3))</f>
        <v>0.41666666666666669</v>
      </c>
      <c r="AK5" s="28" t="str">
        <f>IF(AJ5="","",VLOOKUP(AJ5,Table1[],2,TRUE))</f>
        <v>D+</v>
      </c>
      <c r="AL5" s="38" t="str">
        <f>IF(OR(AC5="-",AE5="-",AG5="-"),"-",IF(AND(ISBLANK(AE5),ISBLANK(AC5),ISBLANK(AG5)),"",AC5+AE5+AG5))</f>
        <v/>
      </c>
      <c r="AM5" s="39" t="str">
        <f>IF(AL5="","",IF(AL5="-", "-",AL5/AM$3))</f>
        <v/>
      </c>
      <c r="AN5" s="40" t="str">
        <f>IF(AM5="","",VLOOKUP(AM5,Table1[],2,TRUE))</f>
        <v/>
      </c>
      <c r="AO5" s="25" t="str">
        <f>IF(AND(AJ5="",AM5=""),"",IF(OR(AJ5="-",AM5="-"),"-",IF(AND(AJ$3&lt;&gt;0,AM$3&lt;&gt;0),VLOOKUP(AVERAGE(AJ5,AM5),Table1[],2,TRUE),IF(AND(AJ$3&lt;&gt;0,AM$3=0),AK5,AN5))))</f>
        <v>D+</v>
      </c>
      <c r="AP5" s="85"/>
      <c r="AQ5" s="81" t="str">
        <f>IF(ISBLANK(AP5),AO5,AP5)</f>
        <v>D+</v>
      </c>
      <c r="AR5" s="83"/>
    </row>
    <row r="6" spans="1:44" ht="15" customHeight="1" x14ac:dyDescent="0.25">
      <c r="A6" s="26">
        <v>4</v>
      </c>
      <c r="B6" s="27"/>
      <c r="C6" s="27">
        <v>4</v>
      </c>
      <c r="D6" s="27"/>
      <c r="E6" s="50"/>
      <c r="F6" s="27"/>
      <c r="G6" s="27">
        <v>3</v>
      </c>
      <c r="H6" s="27"/>
      <c r="I6" s="27">
        <v>3</v>
      </c>
      <c r="J6" s="27"/>
      <c r="K6" s="27"/>
      <c r="L6" s="27"/>
      <c r="M6" s="28">
        <f>IF(OR(A6="-",C6="-",E6="-"),"-",IF(AND(ISBLANK(C6),ISBLANK(A6),ISBLANK(E6)),"",A6+C6+E6))</f>
        <v>8</v>
      </c>
      <c r="N6" s="29">
        <f t="shared" ref="N6:N40" si="0">IF(OR(N$3="",M6=""),"",IF(M6="-","-",M6/N$3))</f>
        <v>0.4</v>
      </c>
      <c r="O6" s="28" t="str">
        <f>IF(M6="","",VLOOKUP(N6,Table1[],2,TRUE))</f>
        <v>D+</v>
      </c>
      <c r="P6" s="38">
        <f t="shared" ref="P6:P40" si="1">IF(OR(G6="-",I6="-",K6="-"),"-",IF(AND(ISBLANK(I6),ISBLANK(G6),ISBLANK(K6)),"",G6+I6+K6))</f>
        <v>6</v>
      </c>
      <c r="Q6" s="39">
        <f t="shared" ref="Q6:Q40" si="2">IF(OR(Q$3="",P6=""),"",IF(P6="-", "-",P6/Q$3))</f>
        <v>0.42857142857142855</v>
      </c>
      <c r="R6" s="40" t="str">
        <f>IF(P6="","",VLOOKUP(Q6,Table1[],2,TRUE))</f>
        <v>D+</v>
      </c>
      <c r="S6" s="25" t="str">
        <f>IF(AND(N6="",Q6=""),"",IF(OR(N6="-",Q6="-"),"-",IF(AND(N$3&lt;&gt;0,Q$3&lt;&gt;0),VLOOKUP(AVERAGE(N6,Q6),Table1[],2,TRUE),IF(AND(N$3&lt;&gt;0,Q$3=0),O6,R6))))</f>
        <v>D+</v>
      </c>
      <c r="T6" s="25"/>
      <c r="U6" s="82" t="str">
        <f t="shared" ref="U6:U40" si="3">IF(ISBLANK(T6),S6,T6)</f>
        <v>D+</v>
      </c>
      <c r="V6" s="87"/>
      <c r="W6" s="26">
        <v>6</v>
      </c>
      <c r="X6" s="27"/>
      <c r="Y6" s="27"/>
      <c r="Z6" s="27"/>
      <c r="AA6" s="27"/>
      <c r="AB6" s="27"/>
      <c r="AC6" s="27"/>
      <c r="AD6" s="27"/>
      <c r="AE6" s="27"/>
      <c r="AF6" s="27"/>
      <c r="AG6" s="27"/>
      <c r="AH6" s="27"/>
      <c r="AI6" s="28">
        <f>IF(OR(W6="-",Y6="-",AA6="-"),"-",IF(AND(ISBLANK(Y6),ISBLANK(W6),ISBLANK(AA6)),"",W6+Y6+AA6))</f>
        <v>6</v>
      </c>
      <c r="AJ6" s="29">
        <f t="shared" ref="AJ6:AJ40" si="4">IF(OR(AJ$3="",AI6=""),"",IF(AI6="-","-",AI6/AJ$3))</f>
        <v>0.5</v>
      </c>
      <c r="AK6" s="28" t="str">
        <f>IF(AI6="","",VLOOKUP(AJ6,Table1[],2,TRUE))</f>
        <v>C-</v>
      </c>
      <c r="AL6" s="38" t="str">
        <f t="shared" ref="AL6:AL40" si="5">IF(OR(AC6="-",AE6="-",AG6="-"),"-",IF(AND(ISBLANK(AE6),ISBLANK(AC6),ISBLANK(AG6)),"",AC6+AE6+AG6))</f>
        <v/>
      </c>
      <c r="AM6" s="39" t="str">
        <f t="shared" ref="AM6:AM40" si="6">IF(OR(AM$3="",AL6=""),"",IF(AL6="-", "-",AL6/AM$3))</f>
        <v/>
      </c>
      <c r="AN6" s="40" t="str">
        <f>IF(AL6="","",VLOOKUP(AM6,Table1[],2,TRUE))</f>
        <v/>
      </c>
      <c r="AO6" s="25" t="str">
        <f>IF(AND(AJ6="",AM6=""),"",IF(OR(AJ6="-",AM6="-"),"-",IF(AND(AJ$3&lt;&gt;0,AM$3&lt;&gt;0),VLOOKUP(AVERAGE(AJ6,AM6),Table1[],2,TRUE),IF(AND(AJ$3&lt;&gt;0,AM$3=0),AK6,AN6))))</f>
        <v>C-</v>
      </c>
      <c r="AP6" s="25"/>
      <c r="AQ6" s="82" t="str">
        <f t="shared" ref="AQ6:AQ40" si="7">IF(ISBLANK(AP6),AO6,AP6)</f>
        <v>C-</v>
      </c>
      <c r="AR6" s="83"/>
    </row>
    <row r="7" spans="1:44" ht="15" customHeight="1" x14ac:dyDescent="0.25">
      <c r="A7" s="26">
        <v>10</v>
      </c>
      <c r="B7" s="27"/>
      <c r="C7" s="27">
        <v>7</v>
      </c>
      <c r="D7" s="27"/>
      <c r="E7" s="50"/>
      <c r="F7" s="27"/>
      <c r="G7" s="27">
        <v>5.5</v>
      </c>
      <c r="H7" s="27"/>
      <c r="I7" s="27">
        <v>5.5</v>
      </c>
      <c r="J7" s="27"/>
      <c r="K7" s="27"/>
      <c r="L7" s="27"/>
      <c r="M7" s="28">
        <f t="shared" ref="M7:M40" si="8">IF(OR(A7="-",C7="-",E7="-"),"-",IF(AND(ISBLANK(C7),ISBLANK(A7),ISBLANK(E7)),"",A7+C7+E7))</f>
        <v>17</v>
      </c>
      <c r="N7" s="29">
        <f t="shared" si="0"/>
        <v>0.85</v>
      </c>
      <c r="O7" s="28" t="str">
        <f>IF(M7="","",VLOOKUP(N7,Table1[],2,TRUE))</f>
        <v>A-</v>
      </c>
      <c r="P7" s="38">
        <f t="shared" si="1"/>
        <v>11</v>
      </c>
      <c r="Q7" s="39">
        <f t="shared" si="2"/>
        <v>0.7857142857142857</v>
      </c>
      <c r="R7" s="40" t="str">
        <f>IF(P7="","",VLOOKUP(Q7,Table1[],2,TRUE))</f>
        <v>B+</v>
      </c>
      <c r="S7" s="25" t="str">
        <f>IF(AND(N7="",Q7=""),"",IF(OR(N7="-",Q7="-"),"-",IF(AND(N$3&lt;&gt;0,Q$3&lt;&gt;0),VLOOKUP(AVERAGE(N7,Q7),Table1[],2,TRUE),IF(AND(N$3&lt;&gt;0,Q$3=0),O7,R7))))</f>
        <v>A-</v>
      </c>
      <c r="T7" s="25"/>
      <c r="U7" s="82" t="str">
        <f t="shared" si="3"/>
        <v>A-</v>
      </c>
      <c r="V7" s="87"/>
      <c r="W7" s="26">
        <v>10</v>
      </c>
      <c r="X7" s="27"/>
      <c r="Y7" s="27"/>
      <c r="Z7" s="27"/>
      <c r="AA7" s="27"/>
      <c r="AB7" s="27"/>
      <c r="AC7" s="27"/>
      <c r="AD7" s="27"/>
      <c r="AE7" s="27"/>
      <c r="AF7" s="27"/>
      <c r="AG7" s="27"/>
      <c r="AH7" s="27"/>
      <c r="AI7" s="28">
        <f t="shared" ref="AI7:AI40" si="9">IF(OR(W7="-",Y7="-",AA7="-"),"-",IF(AND(ISBLANK(Y7),ISBLANK(W7),ISBLANK(AA7)),"",W7+Y7+AA7))</f>
        <v>10</v>
      </c>
      <c r="AJ7" s="29">
        <f t="shared" si="4"/>
        <v>0.83333333333333337</v>
      </c>
      <c r="AK7" s="28" t="str">
        <f>IF(AI7="","",VLOOKUP(AJ7,Table1[],2,TRUE))</f>
        <v>A-</v>
      </c>
      <c r="AL7" s="38" t="str">
        <f t="shared" si="5"/>
        <v/>
      </c>
      <c r="AM7" s="39" t="str">
        <f t="shared" si="6"/>
        <v/>
      </c>
      <c r="AN7" s="40" t="str">
        <f>IF(AL7="","",VLOOKUP(AM7,Table1[],2,TRUE))</f>
        <v/>
      </c>
      <c r="AO7" s="25" t="str">
        <f>IF(AND(AJ7="",AM7=""),"",IF(OR(AJ7="-",AM7="-"),"-",IF(AND(AJ$3&lt;&gt;0,AM$3&lt;&gt;0),VLOOKUP(AVERAGE(AJ7,AM7),Table1[],2,TRUE),IF(AND(AJ$3&lt;&gt;0,AM$3=0),AK7,AN7))))</f>
        <v>A-</v>
      </c>
      <c r="AP7" s="25"/>
      <c r="AQ7" s="82" t="str">
        <f t="shared" si="7"/>
        <v>A-</v>
      </c>
      <c r="AR7" s="83"/>
    </row>
    <row r="8" spans="1:44" ht="15" customHeight="1" x14ac:dyDescent="0.25">
      <c r="A8" s="26">
        <v>7.5</v>
      </c>
      <c r="B8" s="27"/>
      <c r="C8" s="27">
        <v>6</v>
      </c>
      <c r="D8" s="27"/>
      <c r="E8" s="50"/>
      <c r="F8" s="27"/>
      <c r="G8" s="50"/>
      <c r="H8" s="27"/>
      <c r="I8" s="50"/>
      <c r="J8" s="27"/>
      <c r="K8" s="27"/>
      <c r="L8" s="27"/>
      <c r="M8" s="28">
        <f t="shared" si="8"/>
        <v>13.5</v>
      </c>
      <c r="N8" s="29">
        <f t="shared" si="0"/>
        <v>0.67500000000000004</v>
      </c>
      <c r="O8" s="28" t="str">
        <f>IF(M8="","",VLOOKUP(N8,Table1[],2,TRUE))</f>
        <v>B-</v>
      </c>
      <c r="P8" s="38" t="str">
        <f t="shared" si="1"/>
        <v/>
      </c>
      <c r="Q8" s="39" t="str">
        <f t="shared" si="2"/>
        <v/>
      </c>
      <c r="R8" s="40" t="str">
        <f>IF(P8="","",VLOOKUP(Q8,Table1[],2,TRUE))</f>
        <v/>
      </c>
      <c r="S8" s="25" t="str">
        <f>IF(AND(N8="",Q8=""),"",IF(OR(N8="-",Q8="-"),"-",IF(AND(N$3&lt;&gt;0,Q$3&lt;&gt;0),VLOOKUP(AVERAGE(N8,Q8),Table1[],2,TRUE),IF(AND(N$3&lt;&gt;0,Q$3=0),O8,R8))))</f>
        <v>B-</v>
      </c>
      <c r="T8" s="25"/>
      <c r="U8" s="82" t="str">
        <f t="shared" si="3"/>
        <v>B-</v>
      </c>
      <c r="V8" s="87"/>
      <c r="W8" s="26">
        <v>8</v>
      </c>
      <c r="X8" s="27"/>
      <c r="Y8" s="27"/>
      <c r="Z8" s="27"/>
      <c r="AA8" s="27"/>
      <c r="AB8" s="27"/>
      <c r="AC8" s="27"/>
      <c r="AD8" s="27"/>
      <c r="AE8" s="27"/>
      <c r="AF8" s="27"/>
      <c r="AG8" s="27"/>
      <c r="AH8" s="27"/>
      <c r="AI8" s="28">
        <f t="shared" si="9"/>
        <v>8</v>
      </c>
      <c r="AJ8" s="29">
        <f t="shared" si="4"/>
        <v>0.66666666666666663</v>
      </c>
      <c r="AK8" s="28" t="str">
        <f>IF(AI8="","",VLOOKUP(AJ8,Table1[],2,TRUE))</f>
        <v>B-</v>
      </c>
      <c r="AL8" s="38" t="str">
        <f t="shared" si="5"/>
        <v/>
      </c>
      <c r="AM8" s="39" t="str">
        <f t="shared" si="6"/>
        <v/>
      </c>
      <c r="AN8" s="40" t="str">
        <f>IF(AL8="","",VLOOKUP(AM8,Table1[],2,TRUE))</f>
        <v/>
      </c>
      <c r="AO8" s="25" t="str">
        <f>IF(AND(AJ8="",AM8=""),"",IF(OR(AJ8="-",AM8="-"),"-",IF(AND(AJ$3&lt;&gt;0,AM$3&lt;&gt;0),VLOOKUP(AVERAGE(AJ8,AM8),Table1[],2,TRUE),IF(AND(AJ$3&lt;&gt;0,AM$3=0),AK8,AN8))))</f>
        <v>B-</v>
      </c>
      <c r="AP8" s="25"/>
      <c r="AQ8" s="82" t="str">
        <f t="shared" si="7"/>
        <v>B-</v>
      </c>
      <c r="AR8" s="83"/>
    </row>
    <row r="9" spans="1:44" ht="15" customHeight="1" x14ac:dyDescent="0.25">
      <c r="A9" s="26" t="s">
        <v>18</v>
      </c>
      <c r="B9" s="27"/>
      <c r="C9" s="27" t="s">
        <v>18</v>
      </c>
      <c r="D9" s="27"/>
      <c r="E9" s="50"/>
      <c r="F9" s="27"/>
      <c r="G9" s="27" t="s">
        <v>18</v>
      </c>
      <c r="H9" s="27"/>
      <c r="I9" s="27" t="s">
        <v>18</v>
      </c>
      <c r="J9" s="27"/>
      <c r="K9" s="27"/>
      <c r="L9" s="27"/>
      <c r="M9" s="28" t="str">
        <f t="shared" si="8"/>
        <v>-</v>
      </c>
      <c r="N9" s="29" t="str">
        <f t="shared" si="0"/>
        <v>-</v>
      </c>
      <c r="O9" s="28" t="str">
        <f>IF(M9="","",VLOOKUP(N9,Table1[],2,TRUE))</f>
        <v>-</v>
      </c>
      <c r="P9" s="38" t="str">
        <f t="shared" si="1"/>
        <v>-</v>
      </c>
      <c r="Q9" s="39" t="str">
        <f t="shared" si="2"/>
        <v>-</v>
      </c>
      <c r="R9" s="40" t="str">
        <f>IF(P9="","",VLOOKUP(Q9,Table1[],2,TRUE))</f>
        <v>-</v>
      </c>
      <c r="S9" s="25" t="str">
        <f>IF(AND(N9="",Q9=""),"",IF(OR(N9="-",Q9="-"),"-",IF(AND(N$3&lt;&gt;0,Q$3&lt;&gt;0),VLOOKUP(AVERAGE(N9,Q9),Table1[],2,TRUE),IF(AND(N$3&lt;&gt;0,Q$3=0),O9,R9))))</f>
        <v>-</v>
      </c>
      <c r="T9" s="25"/>
      <c r="U9" s="82" t="str">
        <f t="shared" si="3"/>
        <v>-</v>
      </c>
      <c r="V9" s="87"/>
      <c r="W9" s="50"/>
      <c r="X9" s="27"/>
      <c r="Y9" s="27"/>
      <c r="Z9" s="27"/>
      <c r="AA9" s="27"/>
      <c r="AB9" s="27"/>
      <c r="AC9" s="27"/>
      <c r="AD9" s="27"/>
      <c r="AE9" s="27"/>
      <c r="AF9" s="27"/>
      <c r="AG9" s="27"/>
      <c r="AH9" s="27"/>
      <c r="AI9" s="28" t="str">
        <f t="shared" si="9"/>
        <v/>
      </c>
      <c r="AJ9" s="29" t="str">
        <f t="shared" si="4"/>
        <v/>
      </c>
      <c r="AK9" s="28" t="str">
        <f>IF(AI9="","",VLOOKUP(AJ9,Table1[],2,TRUE))</f>
        <v/>
      </c>
      <c r="AL9" s="38" t="str">
        <f t="shared" si="5"/>
        <v/>
      </c>
      <c r="AM9" s="39" t="str">
        <f t="shared" si="6"/>
        <v/>
      </c>
      <c r="AN9" s="40" t="str">
        <f>IF(AL9="","",VLOOKUP(AM9,Table1[],2,TRUE))</f>
        <v/>
      </c>
      <c r="AO9" s="25" t="str">
        <f>IF(AND(AJ9="",AM9=""),"",IF(OR(AJ9="-",AM9="-"),"-",IF(AND(AJ$3&lt;&gt;0,AM$3&lt;&gt;0),VLOOKUP(AVERAGE(AJ9,AM9),Table1[],2,TRUE),IF(AND(AJ$3&lt;&gt;0,AM$3=0),AK9,AN9))))</f>
        <v/>
      </c>
      <c r="AP9" s="25"/>
      <c r="AQ9" s="82" t="str">
        <f t="shared" si="7"/>
        <v/>
      </c>
      <c r="AR9" s="83"/>
    </row>
    <row r="10" spans="1:44" ht="15" customHeight="1" x14ac:dyDescent="0.25">
      <c r="A10" s="26" t="s">
        <v>18</v>
      </c>
      <c r="B10" s="27"/>
      <c r="C10" s="27" t="s">
        <v>18</v>
      </c>
      <c r="D10" s="27"/>
      <c r="E10" s="50"/>
      <c r="F10" s="27"/>
      <c r="G10" s="27">
        <v>4.5</v>
      </c>
      <c r="H10" s="27"/>
      <c r="I10" s="27">
        <v>6.5</v>
      </c>
      <c r="J10" s="27"/>
      <c r="K10" s="27"/>
      <c r="L10" s="27"/>
      <c r="M10" s="28" t="str">
        <f t="shared" si="8"/>
        <v>-</v>
      </c>
      <c r="N10" s="29" t="str">
        <f t="shared" si="0"/>
        <v>-</v>
      </c>
      <c r="O10" s="28" t="str">
        <f>IF(M10="","",VLOOKUP(N10,Table1[],2,TRUE))</f>
        <v>-</v>
      </c>
      <c r="P10" s="38">
        <f t="shared" si="1"/>
        <v>11</v>
      </c>
      <c r="Q10" s="39">
        <f t="shared" si="2"/>
        <v>0.7857142857142857</v>
      </c>
      <c r="R10" s="40" t="str">
        <f>IF(P10="","",VLOOKUP(Q10,Table1[],2,TRUE))</f>
        <v>B+</v>
      </c>
      <c r="S10" s="25" t="str">
        <f>IF(AND(N10="",Q10=""),"",IF(OR(N10="-",Q10="-"),"-",IF(AND(N$3&lt;&gt;0,Q$3&lt;&gt;0),VLOOKUP(AVERAGE(N10,Q10),Table1[],2,TRUE),IF(AND(N$3&lt;&gt;0,Q$3=0),O10,R10))))</f>
        <v>-</v>
      </c>
      <c r="T10" s="85" t="s">
        <v>14</v>
      </c>
      <c r="U10" s="82" t="str">
        <f t="shared" si="3"/>
        <v>B+</v>
      </c>
      <c r="V10" s="87"/>
      <c r="W10" s="50"/>
      <c r="X10" s="27"/>
      <c r="Y10" s="27"/>
      <c r="Z10" s="27"/>
      <c r="AA10" s="27"/>
      <c r="AB10" s="27"/>
      <c r="AC10" s="27"/>
      <c r="AD10" s="27"/>
      <c r="AE10" s="27"/>
      <c r="AF10" s="27"/>
      <c r="AG10" s="27"/>
      <c r="AH10" s="27"/>
      <c r="AI10" s="28" t="str">
        <f t="shared" si="9"/>
        <v/>
      </c>
      <c r="AJ10" s="29" t="str">
        <f t="shared" si="4"/>
        <v/>
      </c>
      <c r="AK10" s="28" t="str">
        <f>IF(AI10="","",VLOOKUP(AJ10,Table1[],2,TRUE))</f>
        <v/>
      </c>
      <c r="AL10" s="38" t="str">
        <f t="shared" si="5"/>
        <v/>
      </c>
      <c r="AM10" s="39" t="str">
        <f t="shared" si="6"/>
        <v/>
      </c>
      <c r="AN10" s="40" t="str">
        <f>IF(AL10="","",VLOOKUP(AM10,Table1[],2,TRUE))</f>
        <v/>
      </c>
      <c r="AO10" s="25" t="str">
        <f>IF(AND(AJ10="",AM10=""),"",IF(OR(AJ10="-",AM10="-"),"-",IF(AND(AJ$3&lt;&gt;0,AM$3&lt;&gt;0),VLOOKUP(AVERAGE(AJ10,AM10),Table1[],2,TRUE),IF(AND(AJ$3&lt;&gt;0,AM$3=0),AK10,AN10))))</f>
        <v/>
      </c>
      <c r="AP10" s="25"/>
      <c r="AQ10" s="82" t="str">
        <f t="shared" si="7"/>
        <v/>
      </c>
      <c r="AR10" s="83"/>
    </row>
    <row r="11" spans="1:44" ht="15" customHeight="1" x14ac:dyDescent="0.25">
      <c r="A11" s="26"/>
      <c r="B11" s="27"/>
      <c r="C11" s="27"/>
      <c r="D11" s="27"/>
      <c r="E11" s="27"/>
      <c r="F11" s="27"/>
      <c r="G11" s="27"/>
      <c r="H11" s="27"/>
      <c r="I11" s="27"/>
      <c r="J11" s="27"/>
      <c r="K11" s="27"/>
      <c r="L11" s="27"/>
      <c r="M11" s="28" t="str">
        <f>IF(OR(A11="-",C11="-",E11="-"),"-",IF(AND(ISBLANK(C11),ISBLANK(A11),ISBLANK(E11)),"",A11+C11+E11))</f>
        <v/>
      </c>
      <c r="N11" s="29" t="str">
        <f t="shared" si="0"/>
        <v/>
      </c>
      <c r="O11" s="28" t="str">
        <f>IF(M11="","",VLOOKUP(N11,Table1[],2,TRUE))</f>
        <v/>
      </c>
      <c r="P11" s="38" t="str">
        <f t="shared" si="1"/>
        <v/>
      </c>
      <c r="Q11" s="39" t="str">
        <f t="shared" si="2"/>
        <v/>
      </c>
      <c r="R11" s="40" t="str">
        <f>IF(P11="","",VLOOKUP(Q11,Table1[],2,TRUE))</f>
        <v/>
      </c>
      <c r="S11" s="25" t="str">
        <f>IF(AND(N11="",Q11=""),"",IF(OR(N11="-",Q11="-"),"-",IF(AND(N$3&lt;&gt;0,Q$3&lt;&gt;0),VLOOKUP(AVERAGE(N11,Q11),Table1[],2,TRUE),IF(AND(N$3&lt;&gt;0,Q$3=0),O11,R11))))</f>
        <v/>
      </c>
      <c r="T11" s="25"/>
      <c r="U11" s="82" t="str">
        <f t="shared" si="3"/>
        <v/>
      </c>
      <c r="V11" s="87"/>
      <c r="W11" s="26"/>
      <c r="X11" s="27"/>
      <c r="Y11" s="27"/>
      <c r="Z11" s="27"/>
      <c r="AA11" s="27"/>
      <c r="AB11" s="27"/>
      <c r="AC11" s="27"/>
      <c r="AD11" s="27"/>
      <c r="AE11" s="27"/>
      <c r="AF11" s="27"/>
      <c r="AG11" s="27"/>
      <c r="AH11" s="27"/>
      <c r="AI11" s="28" t="str">
        <f>IF(OR(W11="-",Y11="-",AA11="-"),"-",IF(AND(ISBLANK(Y11),ISBLANK(W11),ISBLANK(AA11)),"",W11+Y11+AA11))</f>
        <v/>
      </c>
      <c r="AJ11" s="29" t="str">
        <f t="shared" si="4"/>
        <v/>
      </c>
      <c r="AK11" s="28" t="str">
        <f>IF(AI11="","",VLOOKUP(AJ11,Table1[],2,TRUE))</f>
        <v/>
      </c>
      <c r="AL11" s="38" t="str">
        <f t="shared" si="5"/>
        <v/>
      </c>
      <c r="AM11" s="39" t="str">
        <f t="shared" si="6"/>
        <v/>
      </c>
      <c r="AN11" s="40" t="str">
        <f>IF(AL11="","",VLOOKUP(AM11,Table1[],2,TRUE))</f>
        <v/>
      </c>
      <c r="AO11" s="25" t="str">
        <f>IF(AND(AJ11="",AM11=""),"",IF(OR(AJ11="-",AM11="-"),"-",IF(AND(AJ$3&lt;&gt;0,AM$3&lt;&gt;0),VLOOKUP(AVERAGE(AJ11,AM11),Table1[],2,TRUE),IF(AND(AJ$3&lt;&gt;0,AM$3=0),AK11,AN11))))</f>
        <v/>
      </c>
      <c r="AP11" s="25"/>
      <c r="AQ11" s="82" t="str">
        <f t="shared" si="7"/>
        <v/>
      </c>
      <c r="AR11" s="83"/>
    </row>
    <row r="12" spans="1:44" ht="15" customHeight="1" x14ac:dyDescent="0.25">
      <c r="A12" s="26"/>
      <c r="B12" s="27"/>
      <c r="C12" s="27"/>
      <c r="D12" s="27"/>
      <c r="E12" s="27"/>
      <c r="F12" s="27"/>
      <c r="G12" s="27"/>
      <c r="H12" s="27"/>
      <c r="I12" s="27"/>
      <c r="J12" s="27"/>
      <c r="K12" s="27"/>
      <c r="L12" s="27"/>
      <c r="M12" s="28" t="str">
        <f>IF(OR(A12="-",C12="-",E12="-"),"-",IF(AND(ISBLANK(C12),ISBLANK(A12),ISBLANK(E12)),"",A12+C12+E12))</f>
        <v/>
      </c>
      <c r="N12" s="29" t="str">
        <f t="shared" si="0"/>
        <v/>
      </c>
      <c r="O12" s="28" t="str">
        <f>IF(M12="","",VLOOKUP(N12,Table1[],2,TRUE))</f>
        <v/>
      </c>
      <c r="P12" s="38" t="str">
        <f t="shared" si="1"/>
        <v/>
      </c>
      <c r="Q12" s="39" t="str">
        <f t="shared" si="2"/>
        <v/>
      </c>
      <c r="R12" s="40" t="str">
        <f>IF(P12="","",VLOOKUP(Q12,Table1[],2,TRUE))</f>
        <v/>
      </c>
      <c r="S12" s="25" t="str">
        <f>IF(AND(N12="",Q12=""),"",IF(OR(N12="-",Q12="-"),"-",IF(AND(N$3&lt;&gt;0,Q$3&lt;&gt;0),VLOOKUP(AVERAGE(N12,Q12),Table1[],2,TRUE),IF(AND(N$3&lt;&gt;0,Q$3=0),O12,R12))))</f>
        <v/>
      </c>
      <c r="T12" s="25"/>
      <c r="U12" s="82" t="str">
        <f t="shared" si="3"/>
        <v/>
      </c>
      <c r="V12" s="87"/>
      <c r="W12" s="26"/>
      <c r="X12" s="27"/>
      <c r="Y12" s="27"/>
      <c r="Z12" s="27"/>
      <c r="AA12" s="27"/>
      <c r="AB12" s="27"/>
      <c r="AC12" s="27"/>
      <c r="AD12" s="27"/>
      <c r="AE12" s="27"/>
      <c r="AF12" s="27"/>
      <c r="AG12" s="27"/>
      <c r="AH12" s="27"/>
      <c r="AI12" s="28" t="str">
        <f>IF(OR(W12="-",Y12="-",AA12="-"),"-",IF(AND(ISBLANK(Y12),ISBLANK(W12),ISBLANK(AA12)),"",W12+Y12+AA12))</f>
        <v/>
      </c>
      <c r="AJ12" s="29" t="str">
        <f t="shared" si="4"/>
        <v/>
      </c>
      <c r="AK12" s="28" t="str">
        <f>IF(AI12="","",VLOOKUP(AJ12,Table1[],2,TRUE))</f>
        <v/>
      </c>
      <c r="AL12" s="38" t="str">
        <f t="shared" si="5"/>
        <v/>
      </c>
      <c r="AM12" s="39" t="str">
        <f t="shared" si="6"/>
        <v/>
      </c>
      <c r="AN12" s="40" t="str">
        <f>IF(AL12="","",VLOOKUP(AM12,Table1[],2,TRUE))</f>
        <v/>
      </c>
      <c r="AO12" s="25" t="str">
        <f>IF(AND(AJ12="",AM12=""),"",IF(OR(AJ12="-",AM12="-"),"-",IF(AND(AJ$3&lt;&gt;0,AM$3&lt;&gt;0),VLOOKUP(AVERAGE(AJ12,AM12),Table1[],2,TRUE),IF(AND(AJ$3&lt;&gt;0,AM$3=0),AK12,AN12))))</f>
        <v/>
      </c>
      <c r="AP12" s="25"/>
      <c r="AQ12" s="82" t="str">
        <f t="shared" si="7"/>
        <v/>
      </c>
      <c r="AR12" s="83"/>
    </row>
    <row r="13" spans="1:44" ht="15" customHeight="1" x14ac:dyDescent="0.25">
      <c r="A13" s="26"/>
      <c r="B13" s="27"/>
      <c r="C13" s="27"/>
      <c r="D13" s="27"/>
      <c r="E13" s="27"/>
      <c r="F13" s="27"/>
      <c r="G13" s="27"/>
      <c r="H13" s="27"/>
      <c r="I13" s="27"/>
      <c r="J13" s="27"/>
      <c r="K13" s="27"/>
      <c r="L13" s="27"/>
      <c r="M13" s="28" t="str">
        <f t="shared" si="8"/>
        <v/>
      </c>
      <c r="N13" s="29" t="str">
        <f t="shared" si="0"/>
        <v/>
      </c>
      <c r="O13" s="28" t="str">
        <f>IF(M13="","",VLOOKUP(N13,Table1[],2,TRUE))</f>
        <v/>
      </c>
      <c r="P13" s="38" t="str">
        <f t="shared" si="1"/>
        <v/>
      </c>
      <c r="Q13" s="39" t="str">
        <f t="shared" si="2"/>
        <v/>
      </c>
      <c r="R13" s="40" t="str">
        <f>IF(P13="","",VLOOKUP(Q13,Table1[],2,TRUE))</f>
        <v/>
      </c>
      <c r="S13" s="25" t="str">
        <f>IF(AND(N13="",Q13=""),"",IF(OR(N13="-",Q13="-"),"-",IF(AND(N$3&lt;&gt;0,Q$3&lt;&gt;0),VLOOKUP(AVERAGE(N13,Q13),Table1[],2,TRUE),IF(AND(N$3&lt;&gt;0,Q$3=0),O13,R13))))</f>
        <v/>
      </c>
      <c r="T13" s="25"/>
      <c r="U13" s="82" t="str">
        <f t="shared" si="3"/>
        <v/>
      </c>
      <c r="V13" s="87"/>
      <c r="W13" s="26"/>
      <c r="X13" s="27"/>
      <c r="Y13" s="27"/>
      <c r="Z13" s="27"/>
      <c r="AA13" s="27"/>
      <c r="AB13" s="27"/>
      <c r="AC13" s="27"/>
      <c r="AD13" s="27"/>
      <c r="AE13" s="27"/>
      <c r="AF13" s="27"/>
      <c r="AG13" s="27"/>
      <c r="AH13" s="27"/>
      <c r="AI13" s="28" t="str">
        <f t="shared" si="9"/>
        <v/>
      </c>
      <c r="AJ13" s="29" t="str">
        <f t="shared" si="4"/>
        <v/>
      </c>
      <c r="AK13" s="28" t="str">
        <f>IF(AI13="","",VLOOKUP(AJ13,Table1[],2,TRUE))</f>
        <v/>
      </c>
      <c r="AL13" s="38" t="str">
        <f t="shared" si="5"/>
        <v/>
      </c>
      <c r="AM13" s="39" t="str">
        <f t="shared" si="6"/>
        <v/>
      </c>
      <c r="AN13" s="40" t="str">
        <f>IF(AL13="","",VLOOKUP(AM13,Table1[],2,TRUE))</f>
        <v/>
      </c>
      <c r="AO13" s="25" t="str">
        <f>IF(AND(AJ13="",AM13=""),"",IF(OR(AJ13="-",AM13="-"),"-",IF(AND(AJ$3&lt;&gt;0,AM$3&lt;&gt;0),VLOOKUP(AVERAGE(AJ13,AM13),Table1[],2,TRUE),IF(AND(AJ$3&lt;&gt;0,AM$3=0),AK13,AN13))))</f>
        <v/>
      </c>
      <c r="AP13" s="25"/>
      <c r="AQ13" s="82" t="str">
        <f t="shared" si="7"/>
        <v/>
      </c>
      <c r="AR13" s="83"/>
    </row>
    <row r="14" spans="1:44" x14ac:dyDescent="0.25">
      <c r="A14" s="26"/>
      <c r="B14" s="27"/>
      <c r="C14" s="27"/>
      <c r="D14" s="27"/>
      <c r="E14" s="27"/>
      <c r="F14" s="27"/>
      <c r="G14" s="27"/>
      <c r="H14" s="27"/>
      <c r="I14" s="27"/>
      <c r="J14" s="27"/>
      <c r="K14" s="27"/>
      <c r="L14" s="27"/>
      <c r="M14" s="28" t="str">
        <f t="shared" si="8"/>
        <v/>
      </c>
      <c r="N14" s="29" t="str">
        <f t="shared" si="0"/>
        <v/>
      </c>
      <c r="O14" s="28" t="str">
        <f>IF(M14="","",VLOOKUP(N14,Table1[],2,TRUE))</f>
        <v/>
      </c>
      <c r="P14" s="38" t="str">
        <f t="shared" si="1"/>
        <v/>
      </c>
      <c r="Q14" s="39" t="str">
        <f t="shared" si="2"/>
        <v/>
      </c>
      <c r="R14" s="40" t="str">
        <f>IF(P14="","",VLOOKUP(Q14,Table1[],2,TRUE))</f>
        <v/>
      </c>
      <c r="S14" s="25" t="str">
        <f>IF(AND(N14="",Q14=""),"",IF(OR(N14="-",Q14="-"),"-",IF(AND(N$3&lt;&gt;0,Q$3&lt;&gt;0),VLOOKUP(AVERAGE(N14,Q14),Table1[],2,TRUE),IF(AND(N$3&lt;&gt;0,Q$3=0),O14,R14))))</f>
        <v/>
      </c>
      <c r="T14" s="25"/>
      <c r="U14" s="82" t="str">
        <f t="shared" si="3"/>
        <v/>
      </c>
      <c r="V14" s="87"/>
      <c r="W14" s="26"/>
      <c r="X14" s="27"/>
      <c r="Y14" s="27"/>
      <c r="Z14" s="27"/>
      <c r="AA14" s="27"/>
      <c r="AB14" s="27"/>
      <c r="AC14" s="27"/>
      <c r="AD14" s="27"/>
      <c r="AE14" s="27"/>
      <c r="AF14" s="27"/>
      <c r="AG14" s="27"/>
      <c r="AH14" s="27"/>
      <c r="AI14" s="28" t="str">
        <f t="shared" si="9"/>
        <v/>
      </c>
      <c r="AJ14" s="29" t="str">
        <f t="shared" si="4"/>
        <v/>
      </c>
      <c r="AK14" s="28" t="str">
        <f>IF(AI14="","",VLOOKUP(AJ14,Table1[],2,TRUE))</f>
        <v/>
      </c>
      <c r="AL14" s="38" t="str">
        <f t="shared" si="5"/>
        <v/>
      </c>
      <c r="AM14" s="39" t="str">
        <f t="shared" si="6"/>
        <v/>
      </c>
      <c r="AN14" s="40" t="str">
        <f>IF(AL14="","",VLOOKUP(AM14,Table1[],2,TRUE))</f>
        <v/>
      </c>
      <c r="AO14" s="25" t="str">
        <f>IF(AND(AJ14="",AM14=""),"",IF(OR(AJ14="-",AM14="-"),"-",IF(AND(AJ$3&lt;&gt;0,AM$3&lt;&gt;0),VLOOKUP(AVERAGE(AJ14,AM14),Table1[],2,TRUE),IF(AND(AJ$3&lt;&gt;0,AM$3=0),AK14,AN14))))</f>
        <v/>
      </c>
      <c r="AP14" s="25"/>
      <c r="AQ14" s="82" t="str">
        <f t="shared" si="7"/>
        <v/>
      </c>
      <c r="AR14" s="83"/>
    </row>
    <row r="15" spans="1:44" x14ac:dyDescent="0.25">
      <c r="A15" s="26"/>
      <c r="B15" s="27"/>
      <c r="C15" s="27"/>
      <c r="D15" s="27"/>
      <c r="E15" s="27"/>
      <c r="F15" s="27"/>
      <c r="G15" s="27"/>
      <c r="H15" s="27"/>
      <c r="I15" s="27"/>
      <c r="J15" s="27"/>
      <c r="K15" s="27"/>
      <c r="L15" s="27"/>
      <c r="M15" s="28" t="str">
        <f t="shared" si="8"/>
        <v/>
      </c>
      <c r="N15" s="29" t="str">
        <f t="shared" si="0"/>
        <v/>
      </c>
      <c r="O15" s="28" t="str">
        <f>IF(M15="","",VLOOKUP(N15,Table1[],2,TRUE))</f>
        <v/>
      </c>
      <c r="P15" s="38" t="str">
        <f t="shared" si="1"/>
        <v/>
      </c>
      <c r="Q15" s="39" t="str">
        <f t="shared" si="2"/>
        <v/>
      </c>
      <c r="R15" s="40" t="str">
        <f>IF(P15="","",VLOOKUP(Q15,Table1[],2,TRUE))</f>
        <v/>
      </c>
      <c r="S15" s="25" t="str">
        <f>IF(AND(N15="",Q15=""),"",IF(OR(N15="-",Q15="-"),"-",IF(AND(N$3&lt;&gt;0,Q$3&lt;&gt;0),VLOOKUP(AVERAGE(N15,Q15),Table1[],2,TRUE),IF(AND(N$3&lt;&gt;0,Q$3=0),O15,R15))))</f>
        <v/>
      </c>
      <c r="T15" s="25"/>
      <c r="U15" s="82" t="str">
        <f t="shared" si="3"/>
        <v/>
      </c>
      <c r="V15" s="87"/>
      <c r="W15" s="26"/>
      <c r="X15" s="27"/>
      <c r="Y15" s="27"/>
      <c r="Z15" s="27"/>
      <c r="AA15" s="27"/>
      <c r="AB15" s="27"/>
      <c r="AC15" s="27"/>
      <c r="AD15" s="27"/>
      <c r="AE15" s="27"/>
      <c r="AF15" s="27"/>
      <c r="AG15" s="27"/>
      <c r="AH15" s="27"/>
      <c r="AI15" s="28" t="str">
        <f t="shared" si="9"/>
        <v/>
      </c>
      <c r="AJ15" s="29" t="str">
        <f t="shared" si="4"/>
        <v/>
      </c>
      <c r="AK15" s="28" t="str">
        <f>IF(AI15="","",VLOOKUP(AJ15,Table1[],2,TRUE))</f>
        <v/>
      </c>
      <c r="AL15" s="38" t="str">
        <f t="shared" si="5"/>
        <v/>
      </c>
      <c r="AM15" s="39" t="str">
        <f t="shared" si="6"/>
        <v/>
      </c>
      <c r="AN15" s="40" t="str">
        <f>IF(AL15="","",VLOOKUP(AM15,Table1[],2,TRUE))</f>
        <v/>
      </c>
      <c r="AO15" s="25" t="str">
        <f>IF(AND(AJ15="",AM15=""),"",IF(OR(AJ15="-",AM15="-"),"-",IF(AND(AJ$3&lt;&gt;0,AM$3&lt;&gt;0),VLOOKUP(AVERAGE(AJ15,AM15),Table1[],2,TRUE),IF(AND(AJ$3&lt;&gt;0,AM$3=0),AK15,AN15))))</f>
        <v/>
      </c>
      <c r="AP15" s="25"/>
      <c r="AQ15" s="82" t="str">
        <f t="shared" si="7"/>
        <v/>
      </c>
      <c r="AR15" s="83"/>
    </row>
    <row r="16" spans="1:44" x14ac:dyDescent="0.25">
      <c r="A16" s="26"/>
      <c r="B16" s="27"/>
      <c r="C16" s="27"/>
      <c r="D16" s="27"/>
      <c r="E16" s="27"/>
      <c r="F16" s="27"/>
      <c r="G16" s="27"/>
      <c r="H16" s="27"/>
      <c r="I16" s="27"/>
      <c r="J16" s="27"/>
      <c r="K16" s="27"/>
      <c r="L16" s="27"/>
      <c r="M16" s="28" t="str">
        <f t="shared" si="8"/>
        <v/>
      </c>
      <c r="N16" s="29" t="str">
        <f t="shared" si="0"/>
        <v/>
      </c>
      <c r="O16" s="28" t="str">
        <f>IF(M16="","",VLOOKUP(N16,Table1[],2,TRUE))</f>
        <v/>
      </c>
      <c r="P16" s="38" t="str">
        <f t="shared" si="1"/>
        <v/>
      </c>
      <c r="Q16" s="39" t="str">
        <f t="shared" si="2"/>
        <v/>
      </c>
      <c r="R16" s="40" t="str">
        <f>IF(P16="","",VLOOKUP(Q16,Table1[],2,TRUE))</f>
        <v/>
      </c>
      <c r="S16" s="25" t="str">
        <f>IF(AND(N16="",Q16=""),"",IF(OR(N16="-",Q16="-"),"-",IF(AND(N$3&lt;&gt;0,Q$3&lt;&gt;0),VLOOKUP(AVERAGE(N16,Q16),Table1[],2,TRUE),IF(AND(N$3&lt;&gt;0,Q$3=0),O16,R16))))</f>
        <v/>
      </c>
      <c r="T16" s="25"/>
      <c r="U16" s="82" t="str">
        <f t="shared" si="3"/>
        <v/>
      </c>
      <c r="V16" s="87"/>
      <c r="W16" s="26"/>
      <c r="X16" s="27"/>
      <c r="Y16" s="27"/>
      <c r="Z16" s="27"/>
      <c r="AA16" s="27"/>
      <c r="AB16" s="27"/>
      <c r="AC16" s="27"/>
      <c r="AD16" s="27"/>
      <c r="AE16" s="27"/>
      <c r="AF16" s="27"/>
      <c r="AG16" s="27"/>
      <c r="AH16" s="27"/>
      <c r="AI16" s="28" t="str">
        <f t="shared" si="9"/>
        <v/>
      </c>
      <c r="AJ16" s="29" t="str">
        <f t="shared" si="4"/>
        <v/>
      </c>
      <c r="AK16" s="28" t="str">
        <f>IF(AI16="","",VLOOKUP(AJ16,Table1[],2,TRUE))</f>
        <v/>
      </c>
      <c r="AL16" s="38" t="str">
        <f t="shared" si="5"/>
        <v/>
      </c>
      <c r="AM16" s="39" t="str">
        <f t="shared" si="6"/>
        <v/>
      </c>
      <c r="AN16" s="40" t="str">
        <f>IF(AL16="","",VLOOKUP(AM16,Table1[],2,TRUE))</f>
        <v/>
      </c>
      <c r="AO16" s="25" t="str">
        <f>IF(AND(AJ16="",AM16=""),"",IF(OR(AJ16="-",AM16="-"),"-",IF(AND(AJ$3&lt;&gt;0,AM$3&lt;&gt;0),VLOOKUP(AVERAGE(AJ16,AM16),Table1[],2,TRUE),IF(AND(AJ$3&lt;&gt;0,AM$3=0),AK16,AN16))))</f>
        <v/>
      </c>
      <c r="AP16" s="25"/>
      <c r="AQ16" s="82" t="str">
        <f t="shared" si="7"/>
        <v/>
      </c>
      <c r="AR16" s="83"/>
    </row>
    <row r="17" spans="1:44" x14ac:dyDescent="0.25">
      <c r="A17" s="26"/>
      <c r="B17" s="27"/>
      <c r="C17" s="27"/>
      <c r="D17" s="27"/>
      <c r="E17" s="27"/>
      <c r="F17" s="27"/>
      <c r="G17" s="27"/>
      <c r="H17" s="27"/>
      <c r="I17" s="27"/>
      <c r="J17" s="27"/>
      <c r="K17" s="27"/>
      <c r="L17" s="27"/>
      <c r="M17" s="28" t="str">
        <f t="shared" si="8"/>
        <v/>
      </c>
      <c r="N17" s="29" t="str">
        <f t="shared" si="0"/>
        <v/>
      </c>
      <c r="O17" s="28" t="str">
        <f>IF(M17="","",VLOOKUP(N17,Table1[],2,TRUE))</f>
        <v/>
      </c>
      <c r="P17" s="38" t="str">
        <f t="shared" si="1"/>
        <v/>
      </c>
      <c r="Q17" s="39" t="str">
        <f t="shared" si="2"/>
        <v/>
      </c>
      <c r="R17" s="40" t="str">
        <f>IF(P17="","",VLOOKUP(Q17,Table1[],2,TRUE))</f>
        <v/>
      </c>
      <c r="S17" s="25" t="str">
        <f>IF(AND(N17="",Q17=""),"",IF(OR(N17="-",Q17="-"),"-",IF(AND(N$3&lt;&gt;0,Q$3&lt;&gt;0),VLOOKUP(AVERAGE(N17,Q17),Table1[],2,TRUE),IF(AND(N$3&lt;&gt;0,Q$3=0),O17,R17))))</f>
        <v/>
      </c>
      <c r="T17" s="25"/>
      <c r="U17" s="82" t="str">
        <f t="shared" si="3"/>
        <v/>
      </c>
      <c r="V17" s="87"/>
      <c r="W17" s="26"/>
      <c r="X17" s="27"/>
      <c r="Y17" s="27"/>
      <c r="Z17" s="27"/>
      <c r="AA17" s="27"/>
      <c r="AB17" s="27"/>
      <c r="AC17" s="27"/>
      <c r="AD17" s="27"/>
      <c r="AE17" s="27"/>
      <c r="AF17" s="27"/>
      <c r="AG17" s="27"/>
      <c r="AH17" s="27"/>
      <c r="AI17" s="28" t="str">
        <f t="shared" si="9"/>
        <v/>
      </c>
      <c r="AJ17" s="29" t="str">
        <f t="shared" si="4"/>
        <v/>
      </c>
      <c r="AK17" s="28" t="str">
        <f>IF(AI17="","",VLOOKUP(AJ17,Table1[],2,TRUE))</f>
        <v/>
      </c>
      <c r="AL17" s="38" t="str">
        <f t="shared" si="5"/>
        <v/>
      </c>
      <c r="AM17" s="39" t="str">
        <f t="shared" si="6"/>
        <v/>
      </c>
      <c r="AN17" s="40" t="str">
        <f>IF(AL17="","",VLOOKUP(AM17,Table1[],2,TRUE))</f>
        <v/>
      </c>
      <c r="AO17" s="25" t="str">
        <f>IF(AND(AJ17="",AM17=""),"",IF(OR(AJ17="-",AM17="-"),"-",IF(AND(AJ$3&lt;&gt;0,AM$3&lt;&gt;0),VLOOKUP(AVERAGE(AJ17,AM17),Table1[],2,TRUE),IF(AND(AJ$3&lt;&gt;0,AM$3=0),AK17,AN17))))</f>
        <v/>
      </c>
      <c r="AP17" s="25"/>
      <c r="AQ17" s="82" t="str">
        <f t="shared" si="7"/>
        <v/>
      </c>
      <c r="AR17" s="83"/>
    </row>
    <row r="18" spans="1:44" x14ac:dyDescent="0.25">
      <c r="A18" s="26"/>
      <c r="B18" s="27"/>
      <c r="C18" s="27"/>
      <c r="D18" s="27"/>
      <c r="E18" s="27"/>
      <c r="F18" s="27"/>
      <c r="G18" s="27"/>
      <c r="H18" s="27"/>
      <c r="I18" s="27"/>
      <c r="J18" s="27"/>
      <c r="K18" s="27"/>
      <c r="L18" s="27"/>
      <c r="M18" s="28" t="str">
        <f>IF(OR(A18="-",C18="-",E18="-"),"-",IF(AND(ISBLANK(C18),ISBLANK(A18),ISBLANK(E18)),"",A18+C18+E18))</f>
        <v/>
      </c>
      <c r="N18" s="29" t="str">
        <f t="shared" si="0"/>
        <v/>
      </c>
      <c r="O18" s="28" t="str">
        <f>IF(M18="","",VLOOKUP(N18,Table1[],2,TRUE))</f>
        <v/>
      </c>
      <c r="P18" s="38" t="str">
        <f t="shared" si="1"/>
        <v/>
      </c>
      <c r="Q18" s="39" t="str">
        <f t="shared" si="2"/>
        <v/>
      </c>
      <c r="R18" s="40" t="str">
        <f>IF(P18="","",VLOOKUP(Q18,Table1[],2,TRUE))</f>
        <v/>
      </c>
      <c r="S18" s="25" t="str">
        <f>IF(AND(N18="",Q18=""),"",IF(OR(N18="-",Q18="-"),"-",IF(AND(N$3&lt;&gt;0,Q$3&lt;&gt;0),VLOOKUP(AVERAGE(N18,Q18),Table1[],2,TRUE),IF(AND(N$3&lt;&gt;0,Q$3=0),O18,R18))))</f>
        <v/>
      </c>
      <c r="T18" s="25"/>
      <c r="U18" s="82" t="str">
        <f t="shared" si="3"/>
        <v/>
      </c>
      <c r="V18" s="87"/>
      <c r="W18" s="26"/>
      <c r="X18" s="27"/>
      <c r="Y18" s="27"/>
      <c r="Z18" s="27"/>
      <c r="AA18" s="27"/>
      <c r="AB18" s="27"/>
      <c r="AC18" s="27"/>
      <c r="AD18" s="27"/>
      <c r="AE18" s="27"/>
      <c r="AF18" s="27"/>
      <c r="AG18" s="27"/>
      <c r="AH18" s="27"/>
      <c r="AI18" s="28" t="str">
        <f>IF(OR(W18="-",Y18="-",AA18="-"),"-",IF(AND(ISBLANK(Y18),ISBLANK(W18),ISBLANK(AA18)),"",W18+Y18+AA18))</f>
        <v/>
      </c>
      <c r="AJ18" s="29" t="str">
        <f t="shared" si="4"/>
        <v/>
      </c>
      <c r="AK18" s="28" t="str">
        <f>IF(AI18="","",VLOOKUP(AJ18,Table1[],2,TRUE))</f>
        <v/>
      </c>
      <c r="AL18" s="38" t="str">
        <f t="shared" si="5"/>
        <v/>
      </c>
      <c r="AM18" s="39" t="str">
        <f t="shared" si="6"/>
        <v/>
      </c>
      <c r="AN18" s="40" t="str">
        <f>IF(AL18="","",VLOOKUP(AM18,Table1[],2,TRUE))</f>
        <v/>
      </c>
      <c r="AO18" s="25" t="str">
        <f>IF(AND(AJ18="",AM18=""),"",IF(OR(AJ18="-",AM18="-"),"-",IF(AND(AJ$3&lt;&gt;0,AM$3&lt;&gt;0),VLOOKUP(AVERAGE(AJ18,AM18),Table1[],2,TRUE),IF(AND(AJ$3&lt;&gt;0,AM$3=0),AK18,AN18))))</f>
        <v/>
      </c>
      <c r="AP18" s="25"/>
      <c r="AQ18" s="82" t="str">
        <f t="shared" si="7"/>
        <v/>
      </c>
      <c r="AR18" s="83"/>
    </row>
    <row r="19" spans="1:44" x14ac:dyDescent="0.25">
      <c r="A19" s="26"/>
      <c r="B19" s="27"/>
      <c r="C19" s="27"/>
      <c r="D19" s="27"/>
      <c r="E19" s="27"/>
      <c r="F19" s="27"/>
      <c r="G19" s="27"/>
      <c r="H19" s="27"/>
      <c r="I19" s="27"/>
      <c r="J19" s="27"/>
      <c r="K19" s="27"/>
      <c r="L19" s="27"/>
      <c r="M19" s="28" t="str">
        <f t="shared" si="8"/>
        <v/>
      </c>
      <c r="N19" s="29" t="str">
        <f t="shared" si="0"/>
        <v/>
      </c>
      <c r="O19" s="28" t="str">
        <f>IF(M19="","",VLOOKUP(N19,Table1[],2,TRUE))</f>
        <v/>
      </c>
      <c r="P19" s="38" t="str">
        <f t="shared" si="1"/>
        <v/>
      </c>
      <c r="Q19" s="39" t="str">
        <f t="shared" si="2"/>
        <v/>
      </c>
      <c r="R19" s="40" t="str">
        <f>IF(P19="","",VLOOKUP(Q19,Table1[],2,TRUE))</f>
        <v/>
      </c>
      <c r="S19" s="25" t="str">
        <f>IF(AND(N19="",Q19=""),"",IF(OR(N19="-",Q19="-"),"-",IF(AND(N$3&lt;&gt;0,Q$3&lt;&gt;0),VLOOKUP(AVERAGE(N19,Q19),Table1[],2,TRUE),IF(AND(N$3&lt;&gt;0,Q$3=0),O19,R19))))</f>
        <v/>
      </c>
      <c r="T19" s="25"/>
      <c r="U19" s="82" t="str">
        <f t="shared" si="3"/>
        <v/>
      </c>
      <c r="V19" s="87"/>
      <c r="W19" s="26"/>
      <c r="X19" s="27"/>
      <c r="Y19" s="27"/>
      <c r="Z19" s="27"/>
      <c r="AA19" s="27"/>
      <c r="AB19" s="27"/>
      <c r="AC19" s="27"/>
      <c r="AD19" s="27"/>
      <c r="AE19" s="27"/>
      <c r="AF19" s="27"/>
      <c r="AG19" s="27"/>
      <c r="AH19" s="27"/>
      <c r="AI19" s="28" t="str">
        <f t="shared" si="9"/>
        <v/>
      </c>
      <c r="AJ19" s="29" t="str">
        <f t="shared" si="4"/>
        <v/>
      </c>
      <c r="AK19" s="28" t="str">
        <f>IF(AI19="","",VLOOKUP(AJ19,Table1[],2,TRUE))</f>
        <v/>
      </c>
      <c r="AL19" s="38" t="str">
        <f t="shared" si="5"/>
        <v/>
      </c>
      <c r="AM19" s="39" t="str">
        <f t="shared" si="6"/>
        <v/>
      </c>
      <c r="AN19" s="40" t="str">
        <f>IF(AL19="","",VLOOKUP(AM19,Table1[],2,TRUE))</f>
        <v/>
      </c>
      <c r="AO19" s="25" t="str">
        <f>IF(AND(AJ19="",AM19=""),"",IF(OR(AJ19="-",AM19="-"),"-",IF(AND(AJ$3&lt;&gt;0,AM$3&lt;&gt;0),VLOOKUP(AVERAGE(AJ19,AM19),Table1[],2,TRUE),IF(AND(AJ$3&lt;&gt;0,AM$3=0),AK19,AN19))))</f>
        <v/>
      </c>
      <c r="AP19" s="25"/>
      <c r="AQ19" s="82" t="str">
        <f t="shared" si="7"/>
        <v/>
      </c>
      <c r="AR19" s="83"/>
    </row>
    <row r="20" spans="1:44" x14ac:dyDescent="0.25">
      <c r="A20" s="26"/>
      <c r="B20" s="27"/>
      <c r="C20" s="27"/>
      <c r="D20" s="27"/>
      <c r="E20" s="27"/>
      <c r="F20" s="27"/>
      <c r="G20" s="27"/>
      <c r="H20" s="27"/>
      <c r="I20" s="27"/>
      <c r="J20" s="27"/>
      <c r="K20" s="27"/>
      <c r="L20" s="27"/>
      <c r="M20" s="28" t="str">
        <f t="shared" si="8"/>
        <v/>
      </c>
      <c r="N20" s="29" t="str">
        <f t="shared" si="0"/>
        <v/>
      </c>
      <c r="O20" s="28" t="str">
        <f>IF(M20="","",VLOOKUP(N20,Table1[],2,TRUE))</f>
        <v/>
      </c>
      <c r="P20" s="38" t="str">
        <f t="shared" si="1"/>
        <v/>
      </c>
      <c r="Q20" s="39" t="str">
        <f t="shared" si="2"/>
        <v/>
      </c>
      <c r="R20" s="40" t="str">
        <f>IF(P20="","",VLOOKUP(Q20,Table1[],2,TRUE))</f>
        <v/>
      </c>
      <c r="S20" s="25" t="str">
        <f>IF(AND(N20="",Q20=""),"",IF(OR(N20="-",Q20="-"),"-",IF(AND(N$3&lt;&gt;0,Q$3&lt;&gt;0),VLOOKUP(AVERAGE(N20,Q20),Table1[],2,TRUE),IF(AND(N$3&lt;&gt;0,Q$3=0),O20,R20))))</f>
        <v/>
      </c>
      <c r="T20" s="25"/>
      <c r="U20" s="82" t="str">
        <f t="shared" si="3"/>
        <v/>
      </c>
      <c r="V20" s="87"/>
      <c r="W20" s="26"/>
      <c r="X20" s="27"/>
      <c r="Y20" s="27"/>
      <c r="Z20" s="27"/>
      <c r="AA20" s="27"/>
      <c r="AB20" s="27"/>
      <c r="AC20" s="27"/>
      <c r="AD20" s="27"/>
      <c r="AE20" s="27"/>
      <c r="AF20" s="27"/>
      <c r="AG20" s="27"/>
      <c r="AH20" s="27"/>
      <c r="AI20" s="28" t="str">
        <f t="shared" si="9"/>
        <v/>
      </c>
      <c r="AJ20" s="29" t="str">
        <f t="shared" si="4"/>
        <v/>
      </c>
      <c r="AK20" s="28" t="str">
        <f>IF(AI20="","",VLOOKUP(AJ20,Table1[],2,TRUE))</f>
        <v/>
      </c>
      <c r="AL20" s="38" t="str">
        <f t="shared" si="5"/>
        <v/>
      </c>
      <c r="AM20" s="39" t="str">
        <f t="shared" si="6"/>
        <v/>
      </c>
      <c r="AN20" s="40" t="str">
        <f>IF(AL20="","",VLOOKUP(AM20,Table1[],2,TRUE))</f>
        <v/>
      </c>
      <c r="AO20" s="25" t="str">
        <f>IF(AND(AJ20="",AM20=""),"",IF(OR(AJ20="-",AM20="-"),"-",IF(AND(AJ$3&lt;&gt;0,AM$3&lt;&gt;0),VLOOKUP(AVERAGE(AJ20,AM20),Table1[],2,TRUE),IF(AND(AJ$3&lt;&gt;0,AM$3=0),AK20,AN20))))</f>
        <v/>
      </c>
      <c r="AP20" s="25"/>
      <c r="AQ20" s="82" t="str">
        <f t="shared" si="7"/>
        <v/>
      </c>
      <c r="AR20" s="83"/>
    </row>
    <row r="21" spans="1:44" x14ac:dyDescent="0.25">
      <c r="A21" s="26"/>
      <c r="B21" s="27"/>
      <c r="C21" s="27"/>
      <c r="D21" s="27"/>
      <c r="E21" s="27"/>
      <c r="F21" s="27"/>
      <c r="G21" s="27"/>
      <c r="H21" s="27"/>
      <c r="I21" s="27"/>
      <c r="J21" s="27"/>
      <c r="K21" s="27"/>
      <c r="L21" s="27"/>
      <c r="M21" s="28" t="str">
        <f t="shared" si="8"/>
        <v/>
      </c>
      <c r="N21" s="29" t="str">
        <f t="shared" si="0"/>
        <v/>
      </c>
      <c r="O21" s="28" t="str">
        <f>IF(M21="","",VLOOKUP(N21,Table1[],2,TRUE))</f>
        <v/>
      </c>
      <c r="P21" s="38" t="str">
        <f t="shared" si="1"/>
        <v/>
      </c>
      <c r="Q21" s="39" t="str">
        <f t="shared" si="2"/>
        <v/>
      </c>
      <c r="R21" s="40" t="str">
        <f>IF(P21="","",VLOOKUP(Q21,Table1[],2,TRUE))</f>
        <v/>
      </c>
      <c r="S21" s="25" t="str">
        <f>IF(AND(N21="",Q21=""),"",IF(OR(N21="-",Q21="-"),"-",IF(AND(N$3&lt;&gt;0,Q$3&lt;&gt;0),VLOOKUP(AVERAGE(N21,Q21),Table1[],2,TRUE),IF(AND(N$3&lt;&gt;0,Q$3=0),O21,R21))))</f>
        <v/>
      </c>
      <c r="T21" s="25"/>
      <c r="U21" s="82" t="str">
        <f t="shared" si="3"/>
        <v/>
      </c>
      <c r="V21" s="87"/>
      <c r="W21" s="26"/>
      <c r="X21" s="27"/>
      <c r="Y21" s="27"/>
      <c r="Z21" s="27"/>
      <c r="AA21" s="27"/>
      <c r="AB21" s="27"/>
      <c r="AC21" s="27"/>
      <c r="AD21" s="27"/>
      <c r="AE21" s="27"/>
      <c r="AF21" s="27"/>
      <c r="AG21" s="27"/>
      <c r="AH21" s="27"/>
      <c r="AI21" s="28" t="str">
        <f t="shared" si="9"/>
        <v/>
      </c>
      <c r="AJ21" s="29" t="str">
        <f t="shared" si="4"/>
        <v/>
      </c>
      <c r="AK21" s="28" t="str">
        <f>IF(AI21="","",VLOOKUP(AJ21,Table1[],2,TRUE))</f>
        <v/>
      </c>
      <c r="AL21" s="38" t="str">
        <f t="shared" si="5"/>
        <v/>
      </c>
      <c r="AM21" s="39" t="str">
        <f t="shared" si="6"/>
        <v/>
      </c>
      <c r="AN21" s="40" t="str">
        <f>IF(AL21="","",VLOOKUP(AM21,Table1[],2,TRUE))</f>
        <v/>
      </c>
      <c r="AO21" s="25" t="str">
        <f>IF(AND(AJ21="",AM21=""),"",IF(OR(AJ21="-",AM21="-"),"-",IF(AND(AJ$3&lt;&gt;0,AM$3&lt;&gt;0),VLOOKUP(AVERAGE(AJ21,AM21),Table1[],2,TRUE),IF(AND(AJ$3&lt;&gt;0,AM$3=0),AK21,AN21))))</f>
        <v/>
      </c>
      <c r="AP21" s="25"/>
      <c r="AQ21" s="82" t="str">
        <f t="shared" si="7"/>
        <v/>
      </c>
      <c r="AR21" s="83"/>
    </row>
    <row r="22" spans="1:44" x14ac:dyDescent="0.25">
      <c r="A22" s="26"/>
      <c r="B22" s="27"/>
      <c r="C22" s="27"/>
      <c r="D22" s="27"/>
      <c r="E22" s="27"/>
      <c r="F22" s="27"/>
      <c r="G22" s="27"/>
      <c r="H22" s="27"/>
      <c r="I22" s="27"/>
      <c r="J22" s="27"/>
      <c r="K22" s="27"/>
      <c r="L22" s="27"/>
      <c r="M22" s="28" t="str">
        <f t="shared" si="8"/>
        <v/>
      </c>
      <c r="N22" s="29" t="str">
        <f t="shared" si="0"/>
        <v/>
      </c>
      <c r="O22" s="28" t="str">
        <f>IF(M22="","",VLOOKUP(N22,Table1[],2,TRUE))</f>
        <v/>
      </c>
      <c r="P22" s="38" t="str">
        <f>IF(OR(G22="-",I22="-",K22="-"),"-",IF(AND(ISBLANK(I22),ISBLANK(G22),ISBLANK(K22)),"",G22+I22+K22))</f>
        <v/>
      </c>
      <c r="Q22" s="39" t="str">
        <f t="shared" si="2"/>
        <v/>
      </c>
      <c r="R22" s="40" t="str">
        <f>IF(P22="","",VLOOKUP(Q22,Table1[],2,TRUE))</f>
        <v/>
      </c>
      <c r="S22" s="25" t="str">
        <f>IF(AND(N22="",Q22=""),"",IF(OR(N22="-",Q22="-"),"-",IF(AND(N$3&lt;&gt;0,Q$3&lt;&gt;0),VLOOKUP(AVERAGE(N22,Q22),Table1[],2,TRUE),IF(AND(N$3&lt;&gt;0,Q$3=0),O22,R22))))</f>
        <v/>
      </c>
      <c r="T22" s="25"/>
      <c r="U22" s="82" t="str">
        <f t="shared" si="3"/>
        <v/>
      </c>
      <c r="V22" s="87"/>
      <c r="W22" s="26"/>
      <c r="X22" s="27"/>
      <c r="Y22" s="27"/>
      <c r="Z22" s="27"/>
      <c r="AA22" s="27"/>
      <c r="AB22" s="27"/>
      <c r="AC22" s="27"/>
      <c r="AD22" s="27"/>
      <c r="AE22" s="27"/>
      <c r="AF22" s="27"/>
      <c r="AG22" s="27"/>
      <c r="AH22" s="27"/>
      <c r="AI22" s="28" t="str">
        <f t="shared" si="9"/>
        <v/>
      </c>
      <c r="AJ22" s="29" t="str">
        <f t="shared" si="4"/>
        <v/>
      </c>
      <c r="AK22" s="28" t="str">
        <f>IF(AI22="","",VLOOKUP(AJ22,Table1[],2,TRUE))</f>
        <v/>
      </c>
      <c r="AL22" s="38" t="str">
        <f>IF(OR(AC22="-",AE22="-",AG22="-"),"-",IF(AND(ISBLANK(AE22),ISBLANK(AC22),ISBLANK(AG22)),"",AC22+AE22+AG22))</f>
        <v/>
      </c>
      <c r="AM22" s="39" t="str">
        <f t="shared" si="6"/>
        <v/>
      </c>
      <c r="AN22" s="40" t="str">
        <f>IF(AL22="","",VLOOKUP(AM22,Table1[],2,TRUE))</f>
        <v/>
      </c>
      <c r="AO22" s="25" t="str">
        <f>IF(AND(AJ22="",AM22=""),"",IF(OR(AJ22="-",AM22="-"),"-",IF(AND(AJ$3&lt;&gt;0,AM$3&lt;&gt;0),VLOOKUP(AVERAGE(AJ22,AM22),Table1[],2,TRUE),IF(AND(AJ$3&lt;&gt;0,AM$3=0),AK22,AN22))))</f>
        <v/>
      </c>
      <c r="AP22" s="25"/>
      <c r="AQ22" s="82" t="str">
        <f t="shared" si="7"/>
        <v/>
      </c>
      <c r="AR22" s="83"/>
    </row>
    <row r="23" spans="1:44" x14ac:dyDescent="0.25">
      <c r="A23" s="26"/>
      <c r="B23" s="27"/>
      <c r="C23" s="27"/>
      <c r="D23" s="27"/>
      <c r="E23" s="27"/>
      <c r="F23" s="27"/>
      <c r="G23" s="27"/>
      <c r="H23" s="27"/>
      <c r="I23" s="27"/>
      <c r="J23" s="27"/>
      <c r="K23" s="27"/>
      <c r="L23" s="27"/>
      <c r="M23" s="28" t="str">
        <f t="shared" si="8"/>
        <v/>
      </c>
      <c r="N23" s="29" t="str">
        <f t="shared" si="0"/>
        <v/>
      </c>
      <c r="O23" s="28" t="str">
        <f>IF(M23="","",VLOOKUP(N23,Table1[],2,TRUE))</f>
        <v/>
      </c>
      <c r="P23" s="38" t="str">
        <f t="shared" si="1"/>
        <v/>
      </c>
      <c r="Q23" s="39" t="str">
        <f t="shared" si="2"/>
        <v/>
      </c>
      <c r="R23" s="40" t="str">
        <f>IF(P23="","",VLOOKUP(Q23,Table1[],2,TRUE))</f>
        <v/>
      </c>
      <c r="S23" s="25" t="str">
        <f>IF(AND(N23="",Q23=""),"",IF(OR(N23="-",Q23="-"),"-",IF(AND(N$3&lt;&gt;0,Q$3&lt;&gt;0),VLOOKUP(AVERAGE(N23,Q23),Table1[],2,TRUE),IF(AND(N$3&lt;&gt;0,Q$3=0),O23,R23))))</f>
        <v/>
      </c>
      <c r="T23" s="25"/>
      <c r="U23" s="82" t="str">
        <f t="shared" si="3"/>
        <v/>
      </c>
      <c r="V23" s="87"/>
      <c r="W23" s="26"/>
      <c r="X23" s="27"/>
      <c r="Y23" s="27"/>
      <c r="Z23" s="27"/>
      <c r="AA23" s="27"/>
      <c r="AB23" s="27"/>
      <c r="AC23" s="27"/>
      <c r="AD23" s="27"/>
      <c r="AE23" s="27"/>
      <c r="AF23" s="27"/>
      <c r="AG23" s="27"/>
      <c r="AH23" s="27"/>
      <c r="AI23" s="28" t="str">
        <f t="shared" si="9"/>
        <v/>
      </c>
      <c r="AJ23" s="29" t="str">
        <f t="shared" si="4"/>
        <v/>
      </c>
      <c r="AK23" s="28" t="str">
        <f>IF(AI23="","",VLOOKUP(AJ23,Table1[],2,TRUE))</f>
        <v/>
      </c>
      <c r="AL23" s="38" t="str">
        <f t="shared" si="5"/>
        <v/>
      </c>
      <c r="AM23" s="39" t="str">
        <f t="shared" si="6"/>
        <v/>
      </c>
      <c r="AN23" s="40" t="str">
        <f>IF(AL23="","",VLOOKUP(AM23,Table1[],2,TRUE))</f>
        <v/>
      </c>
      <c r="AO23" s="25" t="str">
        <f>IF(AND(AJ23="",AM23=""),"",IF(OR(AJ23="-",AM23="-"),"-",IF(AND(AJ$3&lt;&gt;0,AM$3&lt;&gt;0),VLOOKUP(AVERAGE(AJ23,AM23),Table1[],2,TRUE),IF(AND(AJ$3&lt;&gt;0,AM$3=0),AK23,AN23))))</f>
        <v/>
      </c>
      <c r="AP23" s="25"/>
      <c r="AQ23" s="82" t="str">
        <f t="shared" si="7"/>
        <v/>
      </c>
      <c r="AR23" s="83"/>
    </row>
    <row r="24" spans="1:44" x14ac:dyDescent="0.25">
      <c r="A24" s="26"/>
      <c r="B24" s="27"/>
      <c r="C24" s="27"/>
      <c r="D24" s="27"/>
      <c r="E24" s="27"/>
      <c r="F24" s="27"/>
      <c r="G24" s="27"/>
      <c r="H24" s="27"/>
      <c r="I24" s="27"/>
      <c r="J24" s="27"/>
      <c r="K24" s="27"/>
      <c r="L24" s="27"/>
      <c r="M24" s="28" t="str">
        <f t="shared" si="8"/>
        <v/>
      </c>
      <c r="N24" s="29" t="str">
        <f t="shared" si="0"/>
        <v/>
      </c>
      <c r="O24" s="28" t="str">
        <f>IF(M24="","",VLOOKUP(N24,Table1[],2,TRUE))</f>
        <v/>
      </c>
      <c r="P24" s="38" t="str">
        <f t="shared" si="1"/>
        <v/>
      </c>
      <c r="Q24" s="39" t="str">
        <f t="shared" si="2"/>
        <v/>
      </c>
      <c r="R24" s="40" t="str">
        <f>IF(P24="","",VLOOKUP(Q24,Table1[],2,TRUE))</f>
        <v/>
      </c>
      <c r="S24" s="25" t="str">
        <f>IF(AND(N24="",Q24=""),"",IF(OR(N24="-",Q24="-"),"-",IF(AND(N$3&lt;&gt;0,Q$3&lt;&gt;0),VLOOKUP(AVERAGE(N24,Q24),Table1[],2,TRUE),IF(AND(N$3&lt;&gt;0,Q$3=0),O24,R24))))</f>
        <v/>
      </c>
      <c r="T24" s="25"/>
      <c r="U24" s="82" t="str">
        <f t="shared" si="3"/>
        <v/>
      </c>
      <c r="V24" s="87"/>
      <c r="W24" s="26"/>
      <c r="X24" s="27"/>
      <c r="Y24" s="27"/>
      <c r="Z24" s="27"/>
      <c r="AA24" s="27"/>
      <c r="AB24" s="27"/>
      <c r="AC24" s="27"/>
      <c r="AD24" s="27"/>
      <c r="AE24" s="27"/>
      <c r="AF24" s="27"/>
      <c r="AG24" s="27"/>
      <c r="AH24" s="27"/>
      <c r="AI24" s="28" t="str">
        <f t="shared" si="9"/>
        <v/>
      </c>
      <c r="AJ24" s="29" t="str">
        <f t="shared" si="4"/>
        <v/>
      </c>
      <c r="AK24" s="28" t="str">
        <f>IF(AI24="","",VLOOKUP(AJ24,Table1[],2,TRUE))</f>
        <v/>
      </c>
      <c r="AL24" s="38" t="str">
        <f t="shared" si="5"/>
        <v/>
      </c>
      <c r="AM24" s="39" t="str">
        <f t="shared" si="6"/>
        <v/>
      </c>
      <c r="AN24" s="40" t="str">
        <f>IF(AL24="","",VLOOKUP(AM24,Table1[],2,TRUE))</f>
        <v/>
      </c>
      <c r="AO24" s="25" t="str">
        <f>IF(AND(AJ24="",AM24=""),"",IF(OR(AJ24="-",AM24="-"),"-",IF(AND(AJ$3&lt;&gt;0,AM$3&lt;&gt;0),VLOOKUP(AVERAGE(AJ24,AM24),Table1[],2,TRUE),IF(AND(AJ$3&lt;&gt;0,AM$3=0),AK24,AN24))))</f>
        <v/>
      </c>
      <c r="AP24" s="25"/>
      <c r="AQ24" s="82" t="str">
        <f t="shared" si="7"/>
        <v/>
      </c>
      <c r="AR24" s="83"/>
    </row>
    <row r="25" spans="1:44" x14ac:dyDescent="0.25">
      <c r="A25" s="26"/>
      <c r="B25" s="27"/>
      <c r="C25" s="27"/>
      <c r="D25" s="27"/>
      <c r="E25" s="27"/>
      <c r="F25" s="27"/>
      <c r="G25" s="27"/>
      <c r="H25" s="27"/>
      <c r="I25" s="27"/>
      <c r="J25" s="27"/>
      <c r="K25" s="27"/>
      <c r="L25" s="27"/>
      <c r="M25" s="28" t="str">
        <f t="shared" si="8"/>
        <v/>
      </c>
      <c r="N25" s="29" t="str">
        <f t="shared" si="0"/>
        <v/>
      </c>
      <c r="O25" s="28" t="str">
        <f>IF(M25="","",VLOOKUP(N25,Table1[],2,TRUE))</f>
        <v/>
      </c>
      <c r="P25" s="38" t="str">
        <f t="shared" si="1"/>
        <v/>
      </c>
      <c r="Q25" s="39" t="str">
        <f t="shared" si="2"/>
        <v/>
      </c>
      <c r="R25" s="40" t="str">
        <f>IF(P25="","",VLOOKUP(Q25,Table1[],2,TRUE))</f>
        <v/>
      </c>
      <c r="S25" s="25" t="str">
        <f>IF(AND(N25="",Q25=""),"",IF(OR(N25="-",Q25="-"),"-",IF(AND(N$3&lt;&gt;0,Q$3&lt;&gt;0),VLOOKUP(AVERAGE(N25,Q25),Table1[],2,TRUE),IF(AND(N$3&lt;&gt;0,Q$3=0),O25,R25))))</f>
        <v/>
      </c>
      <c r="T25" s="25"/>
      <c r="U25" s="82" t="str">
        <f t="shared" si="3"/>
        <v/>
      </c>
      <c r="V25" s="87"/>
      <c r="W25" s="26"/>
      <c r="X25" s="27"/>
      <c r="Y25" s="27"/>
      <c r="Z25" s="27"/>
      <c r="AA25" s="27"/>
      <c r="AB25" s="27"/>
      <c r="AC25" s="27"/>
      <c r="AD25" s="27"/>
      <c r="AE25" s="27"/>
      <c r="AF25" s="27"/>
      <c r="AG25" s="27"/>
      <c r="AH25" s="27"/>
      <c r="AI25" s="28" t="str">
        <f t="shared" si="9"/>
        <v/>
      </c>
      <c r="AJ25" s="29" t="str">
        <f t="shared" si="4"/>
        <v/>
      </c>
      <c r="AK25" s="28" t="str">
        <f>IF(AI25="","",VLOOKUP(AJ25,Table1[],2,TRUE))</f>
        <v/>
      </c>
      <c r="AL25" s="38" t="str">
        <f t="shared" si="5"/>
        <v/>
      </c>
      <c r="AM25" s="39" t="str">
        <f t="shared" si="6"/>
        <v/>
      </c>
      <c r="AN25" s="40" t="str">
        <f>IF(AL25="","",VLOOKUP(AM25,Table1[],2,TRUE))</f>
        <v/>
      </c>
      <c r="AO25" s="25" t="str">
        <f>IF(AND(AJ25="",AM25=""),"",IF(OR(AJ25="-",AM25="-"),"-",IF(AND(AJ$3&lt;&gt;0,AM$3&lt;&gt;0),VLOOKUP(AVERAGE(AJ25,AM25),Table1[],2,TRUE),IF(AND(AJ$3&lt;&gt;0,AM$3=0),AK25,AN25))))</f>
        <v/>
      </c>
      <c r="AP25" s="25"/>
      <c r="AQ25" s="82" t="str">
        <f t="shared" si="7"/>
        <v/>
      </c>
      <c r="AR25" s="83"/>
    </row>
    <row r="26" spans="1:44" x14ac:dyDescent="0.25">
      <c r="A26" s="26"/>
      <c r="B26" s="27"/>
      <c r="C26" s="27"/>
      <c r="D26" s="27"/>
      <c r="E26" s="27"/>
      <c r="F26" s="27"/>
      <c r="G26" s="27"/>
      <c r="H26" s="27"/>
      <c r="I26" s="27"/>
      <c r="J26" s="27"/>
      <c r="K26" s="27"/>
      <c r="L26" s="27"/>
      <c r="M26" s="28" t="str">
        <f t="shared" si="8"/>
        <v/>
      </c>
      <c r="N26" s="29" t="str">
        <f t="shared" si="0"/>
        <v/>
      </c>
      <c r="O26" s="28" t="str">
        <f>IF(M26="","",VLOOKUP(N26,Table1[],2,TRUE))</f>
        <v/>
      </c>
      <c r="P26" s="38" t="str">
        <f t="shared" si="1"/>
        <v/>
      </c>
      <c r="Q26" s="39" t="str">
        <f t="shared" si="2"/>
        <v/>
      </c>
      <c r="R26" s="40" t="str">
        <f>IF(P26="","",VLOOKUP(Q26,Table1[],2,TRUE))</f>
        <v/>
      </c>
      <c r="S26" s="25" t="str">
        <f>IF(AND(N26="",Q26=""),"",IF(OR(N26="-",Q26="-"),"-",IF(AND(N$3&lt;&gt;0,Q$3&lt;&gt;0),VLOOKUP(AVERAGE(N26,Q26),Table1[],2,TRUE),IF(AND(N$3&lt;&gt;0,Q$3=0),O26,R26))))</f>
        <v/>
      </c>
      <c r="T26" s="25"/>
      <c r="U26" s="82" t="str">
        <f t="shared" si="3"/>
        <v/>
      </c>
      <c r="V26" s="87"/>
      <c r="W26" s="26"/>
      <c r="X26" s="27"/>
      <c r="Y26" s="27"/>
      <c r="Z26" s="27"/>
      <c r="AA26" s="27"/>
      <c r="AB26" s="27"/>
      <c r="AC26" s="27"/>
      <c r="AD26" s="27"/>
      <c r="AE26" s="27"/>
      <c r="AF26" s="27"/>
      <c r="AG26" s="27"/>
      <c r="AH26" s="27"/>
      <c r="AI26" s="28" t="str">
        <f t="shared" si="9"/>
        <v/>
      </c>
      <c r="AJ26" s="29" t="str">
        <f t="shared" si="4"/>
        <v/>
      </c>
      <c r="AK26" s="28" t="str">
        <f>IF(AI26="","",VLOOKUP(AJ26,Table1[],2,TRUE))</f>
        <v/>
      </c>
      <c r="AL26" s="38" t="str">
        <f t="shared" si="5"/>
        <v/>
      </c>
      <c r="AM26" s="39" t="str">
        <f t="shared" si="6"/>
        <v/>
      </c>
      <c r="AN26" s="40" t="str">
        <f>IF(AL26="","",VLOOKUP(AM26,Table1[],2,TRUE))</f>
        <v/>
      </c>
      <c r="AO26" s="25" t="str">
        <f>IF(AND(AJ26="",AM26=""),"",IF(OR(AJ26="-",AM26="-"),"-",IF(AND(AJ$3&lt;&gt;0,AM$3&lt;&gt;0),VLOOKUP(AVERAGE(AJ26,AM26),Table1[],2,TRUE),IF(AND(AJ$3&lt;&gt;0,AM$3=0),AK26,AN26))))</f>
        <v/>
      </c>
      <c r="AP26" s="25"/>
      <c r="AQ26" s="82" t="str">
        <f t="shared" si="7"/>
        <v/>
      </c>
      <c r="AR26" s="83"/>
    </row>
    <row r="27" spans="1:44" x14ac:dyDescent="0.25">
      <c r="A27" s="26"/>
      <c r="B27" s="27"/>
      <c r="C27" s="27"/>
      <c r="D27" s="27"/>
      <c r="E27" s="27"/>
      <c r="F27" s="27"/>
      <c r="G27" s="27"/>
      <c r="H27" s="27"/>
      <c r="I27" s="27"/>
      <c r="J27" s="27"/>
      <c r="K27" s="27"/>
      <c r="L27" s="27"/>
      <c r="M27" s="28" t="str">
        <f t="shared" si="8"/>
        <v/>
      </c>
      <c r="N27" s="29" t="str">
        <f t="shared" si="0"/>
        <v/>
      </c>
      <c r="O27" s="28" t="str">
        <f>IF(M27="","",VLOOKUP(N27,Table1[],2,TRUE))</f>
        <v/>
      </c>
      <c r="P27" s="38" t="str">
        <f t="shared" si="1"/>
        <v/>
      </c>
      <c r="Q27" s="39" t="str">
        <f t="shared" si="2"/>
        <v/>
      </c>
      <c r="R27" s="40" t="str">
        <f>IF(P27="","",VLOOKUP(Q27,Table1[],2,TRUE))</f>
        <v/>
      </c>
      <c r="S27" s="25" t="str">
        <f>IF(AND(N27="",Q27=""),"",IF(OR(N27="-",Q27="-"),"-",IF(AND(N$3&lt;&gt;0,Q$3&lt;&gt;0),VLOOKUP(AVERAGE(N27,Q27),Table1[],2,TRUE),IF(AND(N$3&lt;&gt;0,Q$3=0),O27,R27))))</f>
        <v/>
      </c>
      <c r="T27" s="25"/>
      <c r="U27" s="82" t="str">
        <f t="shared" si="3"/>
        <v/>
      </c>
      <c r="V27" s="87"/>
      <c r="W27" s="26"/>
      <c r="X27" s="27"/>
      <c r="Y27" s="27"/>
      <c r="Z27" s="27"/>
      <c r="AA27" s="27"/>
      <c r="AB27" s="27"/>
      <c r="AC27" s="27"/>
      <c r="AD27" s="27"/>
      <c r="AE27" s="27"/>
      <c r="AF27" s="27"/>
      <c r="AG27" s="27"/>
      <c r="AH27" s="27"/>
      <c r="AI27" s="28" t="str">
        <f t="shared" si="9"/>
        <v/>
      </c>
      <c r="AJ27" s="29" t="str">
        <f t="shared" si="4"/>
        <v/>
      </c>
      <c r="AK27" s="28" t="str">
        <f>IF(AI27="","",VLOOKUP(AJ27,Table1[],2,TRUE))</f>
        <v/>
      </c>
      <c r="AL27" s="38" t="str">
        <f t="shared" si="5"/>
        <v/>
      </c>
      <c r="AM27" s="39" t="str">
        <f t="shared" si="6"/>
        <v/>
      </c>
      <c r="AN27" s="40" t="str">
        <f>IF(AL27="","",VLOOKUP(AM27,Table1[],2,TRUE))</f>
        <v/>
      </c>
      <c r="AO27" s="25" t="str">
        <f>IF(AND(AJ27="",AM27=""),"",IF(OR(AJ27="-",AM27="-"),"-",IF(AND(AJ$3&lt;&gt;0,AM$3&lt;&gt;0),VLOOKUP(AVERAGE(AJ27,AM27),Table1[],2,TRUE),IF(AND(AJ$3&lt;&gt;0,AM$3=0),AK27,AN27))))</f>
        <v/>
      </c>
      <c r="AP27" s="25"/>
      <c r="AQ27" s="82" t="str">
        <f t="shared" si="7"/>
        <v/>
      </c>
      <c r="AR27" s="83"/>
    </row>
    <row r="28" spans="1:44" x14ac:dyDescent="0.25">
      <c r="A28" s="26"/>
      <c r="B28" s="27"/>
      <c r="C28" s="27"/>
      <c r="D28" s="27"/>
      <c r="E28" s="27"/>
      <c r="F28" s="27"/>
      <c r="G28" s="27"/>
      <c r="H28" s="27"/>
      <c r="I28" s="27"/>
      <c r="J28" s="27"/>
      <c r="K28" s="27"/>
      <c r="L28" s="27"/>
      <c r="M28" s="28" t="str">
        <f t="shared" si="8"/>
        <v/>
      </c>
      <c r="N28" s="29" t="str">
        <f t="shared" si="0"/>
        <v/>
      </c>
      <c r="O28" s="28" t="str">
        <f>IF(M28="","",VLOOKUP(N28,Table1[],2,TRUE))</f>
        <v/>
      </c>
      <c r="P28" s="38" t="str">
        <f t="shared" si="1"/>
        <v/>
      </c>
      <c r="Q28" s="39" t="str">
        <f t="shared" si="2"/>
        <v/>
      </c>
      <c r="R28" s="40" t="str">
        <f>IF(P28="","",VLOOKUP(Q28,Table1[],2,TRUE))</f>
        <v/>
      </c>
      <c r="S28" s="25" t="str">
        <f>IF(AND(N28="",Q28=""),"",IF(OR(N28="-",Q28="-"),"-",IF(AND(N$3&lt;&gt;0,Q$3&lt;&gt;0),VLOOKUP(AVERAGE(N28,Q28),Table1[],2,TRUE),IF(AND(N$3&lt;&gt;0,Q$3=0),O28,R28))))</f>
        <v/>
      </c>
      <c r="T28" s="25"/>
      <c r="U28" s="82" t="str">
        <f t="shared" si="3"/>
        <v/>
      </c>
      <c r="V28" s="87"/>
      <c r="W28" s="26"/>
      <c r="X28" s="27"/>
      <c r="Y28" s="27"/>
      <c r="Z28" s="27"/>
      <c r="AA28" s="27"/>
      <c r="AB28" s="27"/>
      <c r="AC28" s="27"/>
      <c r="AD28" s="27"/>
      <c r="AE28" s="27"/>
      <c r="AF28" s="27"/>
      <c r="AG28" s="27"/>
      <c r="AH28" s="27"/>
      <c r="AI28" s="28" t="str">
        <f t="shared" si="9"/>
        <v/>
      </c>
      <c r="AJ28" s="29" t="str">
        <f t="shared" si="4"/>
        <v/>
      </c>
      <c r="AK28" s="28" t="str">
        <f>IF(AI28="","",VLOOKUP(AJ28,Table1[],2,TRUE))</f>
        <v/>
      </c>
      <c r="AL28" s="38" t="str">
        <f t="shared" si="5"/>
        <v/>
      </c>
      <c r="AM28" s="39" t="str">
        <f t="shared" si="6"/>
        <v/>
      </c>
      <c r="AN28" s="40" t="str">
        <f>IF(AL28="","",VLOOKUP(AM28,Table1[],2,TRUE))</f>
        <v/>
      </c>
      <c r="AO28" s="25" t="str">
        <f>IF(AND(AJ28="",AM28=""),"",IF(OR(AJ28="-",AM28="-"),"-",IF(AND(AJ$3&lt;&gt;0,AM$3&lt;&gt;0),VLOOKUP(AVERAGE(AJ28,AM28),Table1[],2,TRUE),IF(AND(AJ$3&lt;&gt;0,AM$3=0),AK28,AN28))))</f>
        <v/>
      </c>
      <c r="AP28" s="25"/>
      <c r="AQ28" s="82" t="str">
        <f t="shared" si="7"/>
        <v/>
      </c>
      <c r="AR28" s="83"/>
    </row>
    <row r="29" spans="1:44" x14ac:dyDescent="0.25">
      <c r="A29" s="33"/>
      <c r="B29" s="34"/>
      <c r="C29" s="34"/>
      <c r="D29" s="34"/>
      <c r="E29" s="34"/>
      <c r="F29" s="34"/>
      <c r="G29" s="34"/>
      <c r="H29" s="34"/>
      <c r="I29" s="34"/>
      <c r="J29" s="34"/>
      <c r="K29" s="34"/>
      <c r="L29" s="34"/>
      <c r="M29" s="28" t="str">
        <f t="shared" si="8"/>
        <v/>
      </c>
      <c r="N29" s="29" t="str">
        <f t="shared" si="0"/>
        <v/>
      </c>
      <c r="O29" s="28" t="str">
        <f>IF(M29="","",VLOOKUP(N29,Table1[],2,TRUE))</f>
        <v/>
      </c>
      <c r="P29" s="38" t="str">
        <f t="shared" si="1"/>
        <v/>
      </c>
      <c r="Q29" s="39" t="str">
        <f t="shared" si="2"/>
        <v/>
      </c>
      <c r="R29" s="40" t="str">
        <f>IF(P29="","",VLOOKUP(Q29,Table1[],2,TRUE))</f>
        <v/>
      </c>
      <c r="S29" s="25" t="str">
        <f>IF(AND(N29="",Q29=""),"",IF(OR(N29="-",Q29="-"),"-",IF(AND(N$3&lt;&gt;0,Q$3&lt;&gt;0),VLOOKUP(AVERAGE(N29,Q29),Table1[],2,TRUE),IF(AND(N$3&lt;&gt;0,Q$3=0),O29,R29))))</f>
        <v/>
      </c>
      <c r="T29" s="25"/>
      <c r="U29" s="82" t="str">
        <f t="shared" si="3"/>
        <v/>
      </c>
      <c r="V29" s="87"/>
      <c r="W29" s="33"/>
      <c r="X29" s="34"/>
      <c r="Y29" s="34"/>
      <c r="Z29" s="34"/>
      <c r="AA29" s="34"/>
      <c r="AB29" s="34"/>
      <c r="AC29" s="34"/>
      <c r="AD29" s="34"/>
      <c r="AE29" s="34"/>
      <c r="AF29" s="34"/>
      <c r="AG29" s="34"/>
      <c r="AH29" s="34"/>
      <c r="AI29" s="28" t="str">
        <f t="shared" si="9"/>
        <v/>
      </c>
      <c r="AJ29" s="29" t="str">
        <f t="shared" si="4"/>
        <v/>
      </c>
      <c r="AK29" s="28" t="str">
        <f>IF(AI29="","",VLOOKUP(AJ29,Table1[],2,TRUE))</f>
        <v/>
      </c>
      <c r="AL29" s="38" t="str">
        <f t="shared" si="5"/>
        <v/>
      </c>
      <c r="AM29" s="39" t="str">
        <f t="shared" si="6"/>
        <v/>
      </c>
      <c r="AN29" s="40" t="str">
        <f>IF(AL29="","",VLOOKUP(AM29,Table1[],2,TRUE))</f>
        <v/>
      </c>
      <c r="AO29" s="25" t="str">
        <f>IF(AND(AJ29="",AM29=""),"",IF(OR(AJ29="-",AM29="-"),"-",IF(AND(AJ$3&lt;&gt;0,AM$3&lt;&gt;0),VLOOKUP(AVERAGE(AJ29,AM29),Table1[],2,TRUE),IF(AND(AJ$3&lt;&gt;0,AM$3=0),AK29,AN29))))</f>
        <v/>
      </c>
      <c r="AP29" s="25"/>
      <c r="AQ29" s="82" t="str">
        <f t="shared" si="7"/>
        <v/>
      </c>
      <c r="AR29" s="83"/>
    </row>
    <row r="30" spans="1:44" x14ac:dyDescent="0.25">
      <c r="A30" s="33"/>
      <c r="B30" s="34"/>
      <c r="C30" s="34"/>
      <c r="D30" s="34"/>
      <c r="E30" s="34"/>
      <c r="F30" s="34"/>
      <c r="G30" s="34"/>
      <c r="H30" s="34"/>
      <c r="I30" s="34"/>
      <c r="J30" s="34"/>
      <c r="K30" s="34"/>
      <c r="L30" s="34"/>
      <c r="M30" s="28" t="str">
        <f t="shared" si="8"/>
        <v/>
      </c>
      <c r="N30" s="29" t="str">
        <f t="shared" si="0"/>
        <v/>
      </c>
      <c r="O30" s="28" t="str">
        <f>IF(M30="","",VLOOKUP(N30,Table1[],2,TRUE))</f>
        <v/>
      </c>
      <c r="P30" s="38" t="str">
        <f t="shared" si="1"/>
        <v/>
      </c>
      <c r="Q30" s="39" t="str">
        <f t="shared" si="2"/>
        <v/>
      </c>
      <c r="R30" s="40" t="str">
        <f>IF(P30="","",VLOOKUP(Q30,Table1[],2,TRUE))</f>
        <v/>
      </c>
      <c r="S30" s="25" t="str">
        <f>IF(AND(N30="",Q30=""),"",IF(OR(N30="-",Q30="-"),"-",IF(AND(N$3&lt;&gt;0,Q$3&lt;&gt;0),VLOOKUP(AVERAGE(N30,Q30),Table1[],2,TRUE),IF(AND(N$3&lt;&gt;0,Q$3=0),O30,R30))))</f>
        <v/>
      </c>
      <c r="T30" s="25"/>
      <c r="U30" s="82" t="str">
        <f t="shared" si="3"/>
        <v/>
      </c>
      <c r="V30" s="87"/>
      <c r="W30" s="33"/>
      <c r="X30" s="34"/>
      <c r="Y30" s="34"/>
      <c r="Z30" s="34"/>
      <c r="AA30" s="34"/>
      <c r="AB30" s="34"/>
      <c r="AC30" s="34"/>
      <c r="AD30" s="34"/>
      <c r="AE30" s="34"/>
      <c r="AF30" s="34"/>
      <c r="AG30" s="34"/>
      <c r="AH30" s="34"/>
      <c r="AI30" s="28" t="str">
        <f t="shared" si="9"/>
        <v/>
      </c>
      <c r="AJ30" s="29" t="str">
        <f t="shared" si="4"/>
        <v/>
      </c>
      <c r="AK30" s="28" t="str">
        <f>IF(AI30="","",VLOOKUP(AJ30,Table1[],2,TRUE))</f>
        <v/>
      </c>
      <c r="AL30" s="38" t="str">
        <f t="shared" si="5"/>
        <v/>
      </c>
      <c r="AM30" s="39" t="str">
        <f t="shared" si="6"/>
        <v/>
      </c>
      <c r="AN30" s="40" t="str">
        <f>IF(AL30="","",VLOOKUP(AM30,Table1[],2,TRUE))</f>
        <v/>
      </c>
      <c r="AO30" s="25" t="str">
        <f>IF(AND(AJ30="",AM30=""),"",IF(OR(AJ30="-",AM30="-"),"-",IF(AND(AJ$3&lt;&gt;0,AM$3&lt;&gt;0),VLOOKUP(AVERAGE(AJ30,AM30),Table1[],2,TRUE),IF(AND(AJ$3&lt;&gt;0,AM$3=0),AK30,AN30))))</f>
        <v/>
      </c>
      <c r="AP30" s="25"/>
      <c r="AQ30" s="82" t="str">
        <f t="shared" si="7"/>
        <v/>
      </c>
      <c r="AR30" s="83"/>
    </row>
    <row r="31" spans="1:44" x14ac:dyDescent="0.25">
      <c r="A31" s="33"/>
      <c r="B31" s="34"/>
      <c r="C31" s="34"/>
      <c r="D31" s="34"/>
      <c r="E31" s="34"/>
      <c r="F31" s="34"/>
      <c r="G31" s="34"/>
      <c r="H31" s="34"/>
      <c r="I31" s="34"/>
      <c r="J31" s="34"/>
      <c r="K31" s="34"/>
      <c r="L31" s="34"/>
      <c r="M31" s="28" t="str">
        <f t="shared" si="8"/>
        <v/>
      </c>
      <c r="N31" s="29" t="str">
        <f t="shared" si="0"/>
        <v/>
      </c>
      <c r="O31" s="28" t="str">
        <f>IF(M31="","",VLOOKUP(N31,Table1[],2,TRUE))</f>
        <v/>
      </c>
      <c r="P31" s="38" t="str">
        <f t="shared" si="1"/>
        <v/>
      </c>
      <c r="Q31" s="39" t="str">
        <f t="shared" si="2"/>
        <v/>
      </c>
      <c r="R31" s="40" t="str">
        <f>IF(P31="","",VLOOKUP(Q31,Table1[],2,TRUE))</f>
        <v/>
      </c>
      <c r="S31" s="25" t="str">
        <f>IF(AND(N31="",Q31=""),"",IF(OR(N31="-",Q31="-"),"-",IF(AND(N$3&lt;&gt;0,Q$3&lt;&gt;0),VLOOKUP(AVERAGE(N31,Q31),Table1[],2,TRUE),IF(AND(N$3&lt;&gt;0,Q$3=0),O31,R31))))</f>
        <v/>
      </c>
      <c r="T31" s="25"/>
      <c r="U31" s="82" t="str">
        <f t="shared" si="3"/>
        <v/>
      </c>
      <c r="V31" s="87"/>
      <c r="W31" s="33"/>
      <c r="X31" s="34"/>
      <c r="Y31" s="34"/>
      <c r="Z31" s="34"/>
      <c r="AA31" s="34"/>
      <c r="AB31" s="34"/>
      <c r="AC31" s="34"/>
      <c r="AD31" s="34"/>
      <c r="AE31" s="34"/>
      <c r="AF31" s="34"/>
      <c r="AG31" s="34"/>
      <c r="AH31" s="34"/>
      <c r="AI31" s="28" t="str">
        <f t="shared" si="9"/>
        <v/>
      </c>
      <c r="AJ31" s="29" t="str">
        <f t="shared" si="4"/>
        <v/>
      </c>
      <c r="AK31" s="28" t="str">
        <f>IF(AI31="","",VLOOKUP(AJ31,Table1[],2,TRUE))</f>
        <v/>
      </c>
      <c r="AL31" s="38" t="str">
        <f t="shared" si="5"/>
        <v/>
      </c>
      <c r="AM31" s="39" t="str">
        <f t="shared" si="6"/>
        <v/>
      </c>
      <c r="AN31" s="40" t="str">
        <f>IF(AL31="","",VLOOKUP(AM31,Table1[],2,TRUE))</f>
        <v/>
      </c>
      <c r="AO31" s="25" t="str">
        <f>IF(AND(AJ31="",AM31=""),"",IF(OR(AJ31="-",AM31="-"),"-",IF(AND(AJ$3&lt;&gt;0,AM$3&lt;&gt;0),VLOOKUP(AVERAGE(AJ31,AM31),Table1[],2,TRUE),IF(AND(AJ$3&lt;&gt;0,AM$3=0),AK31,AN31))))</f>
        <v/>
      </c>
      <c r="AP31" s="25"/>
      <c r="AQ31" s="82" t="str">
        <f t="shared" si="7"/>
        <v/>
      </c>
      <c r="AR31" s="83"/>
    </row>
    <row r="32" spans="1:44" x14ac:dyDescent="0.25">
      <c r="A32" s="33"/>
      <c r="B32" s="34"/>
      <c r="C32" s="34"/>
      <c r="D32" s="34"/>
      <c r="E32" s="34"/>
      <c r="F32" s="34"/>
      <c r="G32" s="34"/>
      <c r="H32" s="34"/>
      <c r="I32" s="34"/>
      <c r="J32" s="34"/>
      <c r="K32" s="34"/>
      <c r="L32" s="34"/>
      <c r="M32" s="28" t="str">
        <f t="shared" si="8"/>
        <v/>
      </c>
      <c r="N32" s="29" t="str">
        <f t="shared" si="0"/>
        <v/>
      </c>
      <c r="O32" s="28" t="str">
        <f>IF(M32="","",VLOOKUP(N32,Table1[],2,TRUE))</f>
        <v/>
      </c>
      <c r="P32" s="38" t="str">
        <f t="shared" si="1"/>
        <v/>
      </c>
      <c r="Q32" s="39" t="str">
        <f t="shared" si="2"/>
        <v/>
      </c>
      <c r="R32" s="40" t="str">
        <f>IF(P32="","",VLOOKUP(Q32,Table1[],2,TRUE))</f>
        <v/>
      </c>
      <c r="S32" s="25" t="str">
        <f>IF(AND(N32="",Q32=""),"",IF(OR(N32="-",Q32="-"),"-",IF(AND(N$3&lt;&gt;0,Q$3&lt;&gt;0),VLOOKUP(AVERAGE(N32,Q32),Table1[],2,TRUE),IF(AND(N$3&lt;&gt;0,Q$3=0),O32,R32))))</f>
        <v/>
      </c>
      <c r="T32" s="25"/>
      <c r="U32" s="82" t="str">
        <f t="shared" si="3"/>
        <v/>
      </c>
      <c r="V32" s="87"/>
      <c r="W32" s="33"/>
      <c r="X32" s="34"/>
      <c r="Y32" s="34"/>
      <c r="Z32" s="34"/>
      <c r="AA32" s="34"/>
      <c r="AB32" s="34"/>
      <c r="AC32" s="34"/>
      <c r="AD32" s="34"/>
      <c r="AE32" s="34"/>
      <c r="AF32" s="34"/>
      <c r="AG32" s="34"/>
      <c r="AH32" s="34"/>
      <c r="AI32" s="28" t="str">
        <f t="shared" si="9"/>
        <v/>
      </c>
      <c r="AJ32" s="29" t="str">
        <f t="shared" si="4"/>
        <v/>
      </c>
      <c r="AK32" s="28" t="str">
        <f>IF(AI32="","",VLOOKUP(AJ32,Table1[],2,TRUE))</f>
        <v/>
      </c>
      <c r="AL32" s="38" t="str">
        <f t="shared" si="5"/>
        <v/>
      </c>
      <c r="AM32" s="39" t="str">
        <f t="shared" si="6"/>
        <v/>
      </c>
      <c r="AN32" s="40" t="str">
        <f>IF(AL32="","",VLOOKUP(AM32,Table1[],2,TRUE))</f>
        <v/>
      </c>
      <c r="AO32" s="25" t="str">
        <f>IF(AND(AJ32="",AM32=""),"",IF(OR(AJ32="-",AM32="-"),"-",IF(AND(AJ$3&lt;&gt;0,AM$3&lt;&gt;0),VLOOKUP(AVERAGE(AJ32,AM32),Table1[],2,TRUE),IF(AND(AJ$3&lt;&gt;0,AM$3=0),AK32,AN32))))</f>
        <v/>
      </c>
      <c r="AP32" s="25"/>
      <c r="AQ32" s="82" t="str">
        <f t="shared" si="7"/>
        <v/>
      </c>
      <c r="AR32" s="83"/>
    </row>
    <row r="33" spans="1:44" x14ac:dyDescent="0.25">
      <c r="A33" s="33"/>
      <c r="B33" s="34"/>
      <c r="C33" s="34"/>
      <c r="D33" s="34"/>
      <c r="E33" s="34"/>
      <c r="F33" s="34"/>
      <c r="G33" s="34"/>
      <c r="H33" s="34"/>
      <c r="I33" s="34"/>
      <c r="J33" s="34"/>
      <c r="K33" s="34"/>
      <c r="L33" s="34"/>
      <c r="M33" s="28" t="str">
        <f t="shared" si="8"/>
        <v/>
      </c>
      <c r="N33" s="29" t="str">
        <f t="shared" si="0"/>
        <v/>
      </c>
      <c r="O33" s="28" t="str">
        <f>IF(M33="","",VLOOKUP(N33,Table1[],2,TRUE))</f>
        <v/>
      </c>
      <c r="P33" s="38" t="str">
        <f t="shared" si="1"/>
        <v/>
      </c>
      <c r="Q33" s="39" t="str">
        <f t="shared" si="2"/>
        <v/>
      </c>
      <c r="R33" s="40" t="str">
        <f>IF(P33="","",VLOOKUP(Q33,Table1[],2,TRUE))</f>
        <v/>
      </c>
      <c r="S33" s="25" t="str">
        <f>IF(AND(N33="",Q33=""),"",IF(OR(N33="-",Q33="-"),"-",IF(AND(N$3&lt;&gt;0,Q$3&lt;&gt;0),VLOOKUP(AVERAGE(N33,Q33),Table1[],2,TRUE),IF(AND(N$3&lt;&gt;0,Q$3=0),O33,R33))))</f>
        <v/>
      </c>
      <c r="T33" s="25"/>
      <c r="U33" s="82" t="str">
        <f t="shared" si="3"/>
        <v/>
      </c>
      <c r="V33" s="87"/>
      <c r="W33" s="33"/>
      <c r="X33" s="34"/>
      <c r="Y33" s="34"/>
      <c r="Z33" s="34"/>
      <c r="AA33" s="34"/>
      <c r="AB33" s="34"/>
      <c r="AC33" s="34"/>
      <c r="AD33" s="34"/>
      <c r="AE33" s="34"/>
      <c r="AF33" s="34"/>
      <c r="AG33" s="34"/>
      <c r="AH33" s="34"/>
      <c r="AI33" s="28" t="str">
        <f t="shared" si="9"/>
        <v/>
      </c>
      <c r="AJ33" s="29" t="str">
        <f t="shared" si="4"/>
        <v/>
      </c>
      <c r="AK33" s="28" t="str">
        <f>IF(AI33="","",VLOOKUP(AJ33,Table1[],2,TRUE))</f>
        <v/>
      </c>
      <c r="AL33" s="38" t="str">
        <f t="shared" si="5"/>
        <v/>
      </c>
      <c r="AM33" s="39" t="str">
        <f t="shared" si="6"/>
        <v/>
      </c>
      <c r="AN33" s="40" t="str">
        <f>IF(AL33="","",VLOOKUP(AM33,Table1[],2,TRUE))</f>
        <v/>
      </c>
      <c r="AO33" s="25" t="str">
        <f>IF(AND(AJ33="",AM33=""),"",IF(OR(AJ33="-",AM33="-"),"-",IF(AND(AJ$3&lt;&gt;0,AM$3&lt;&gt;0),VLOOKUP(AVERAGE(AJ33,AM33),Table1[],2,TRUE),IF(AND(AJ$3&lt;&gt;0,AM$3=0),AK33,AN33))))</f>
        <v/>
      </c>
      <c r="AP33" s="25"/>
      <c r="AQ33" s="82" t="str">
        <f t="shared" si="7"/>
        <v/>
      </c>
      <c r="AR33" s="83"/>
    </row>
    <row r="34" spans="1:44" x14ac:dyDescent="0.25">
      <c r="A34" s="33"/>
      <c r="B34" s="34"/>
      <c r="C34" s="34"/>
      <c r="D34" s="34"/>
      <c r="E34" s="34"/>
      <c r="F34" s="34"/>
      <c r="G34" s="34"/>
      <c r="H34" s="34"/>
      <c r="I34" s="34"/>
      <c r="J34" s="34"/>
      <c r="K34" s="34"/>
      <c r="L34" s="34"/>
      <c r="M34" s="28" t="str">
        <f t="shared" si="8"/>
        <v/>
      </c>
      <c r="N34" s="29" t="str">
        <f t="shared" si="0"/>
        <v/>
      </c>
      <c r="O34" s="28" t="str">
        <f>IF(M34="","",VLOOKUP(N34,Table1[],2,TRUE))</f>
        <v/>
      </c>
      <c r="P34" s="38" t="str">
        <f t="shared" si="1"/>
        <v/>
      </c>
      <c r="Q34" s="39" t="str">
        <f t="shared" si="2"/>
        <v/>
      </c>
      <c r="R34" s="40" t="str">
        <f>IF(P34="","",VLOOKUP(Q34,Table1[],2,TRUE))</f>
        <v/>
      </c>
      <c r="S34" s="25" t="str">
        <f>IF(AND(N34="",Q34=""),"",IF(OR(N34="-",Q34="-"),"-",IF(AND(N$3&lt;&gt;0,Q$3&lt;&gt;0),VLOOKUP(AVERAGE(N34,Q34),Table1[],2,TRUE),IF(AND(N$3&lt;&gt;0,Q$3=0),O34,R34))))</f>
        <v/>
      </c>
      <c r="T34" s="25"/>
      <c r="U34" s="82" t="str">
        <f t="shared" si="3"/>
        <v/>
      </c>
      <c r="V34" s="87"/>
      <c r="W34" s="33"/>
      <c r="X34" s="34"/>
      <c r="Y34" s="34"/>
      <c r="Z34" s="34"/>
      <c r="AA34" s="34"/>
      <c r="AB34" s="34"/>
      <c r="AC34" s="34"/>
      <c r="AD34" s="34"/>
      <c r="AE34" s="34"/>
      <c r="AF34" s="34"/>
      <c r="AG34" s="34"/>
      <c r="AH34" s="34"/>
      <c r="AI34" s="28" t="str">
        <f t="shared" si="9"/>
        <v/>
      </c>
      <c r="AJ34" s="29" t="str">
        <f t="shared" si="4"/>
        <v/>
      </c>
      <c r="AK34" s="28" t="str">
        <f>IF(AI34="","",VLOOKUP(AJ34,Table1[],2,TRUE))</f>
        <v/>
      </c>
      <c r="AL34" s="38" t="str">
        <f t="shared" si="5"/>
        <v/>
      </c>
      <c r="AM34" s="39" t="str">
        <f t="shared" si="6"/>
        <v/>
      </c>
      <c r="AN34" s="40" t="str">
        <f>IF(AL34="","",VLOOKUP(AM34,Table1[],2,TRUE))</f>
        <v/>
      </c>
      <c r="AO34" s="25" t="str">
        <f>IF(AND(AJ34="",AM34=""),"",IF(OR(AJ34="-",AM34="-"),"-",IF(AND(AJ$3&lt;&gt;0,AM$3&lt;&gt;0),VLOOKUP(AVERAGE(AJ34,AM34),Table1[],2,TRUE),IF(AND(AJ$3&lt;&gt;0,AM$3=0),AK34,AN34))))</f>
        <v/>
      </c>
      <c r="AP34" s="25"/>
      <c r="AQ34" s="82" t="str">
        <f t="shared" si="7"/>
        <v/>
      </c>
      <c r="AR34" s="83"/>
    </row>
    <row r="35" spans="1:44" x14ac:dyDescent="0.25">
      <c r="A35" s="33"/>
      <c r="B35" s="34"/>
      <c r="C35" s="34"/>
      <c r="D35" s="34"/>
      <c r="E35" s="34"/>
      <c r="F35" s="34"/>
      <c r="G35" s="34"/>
      <c r="H35" s="34"/>
      <c r="I35" s="34"/>
      <c r="J35" s="34"/>
      <c r="K35" s="34"/>
      <c r="L35" s="34"/>
      <c r="M35" s="28" t="str">
        <f t="shared" si="8"/>
        <v/>
      </c>
      <c r="N35" s="29" t="str">
        <f t="shared" si="0"/>
        <v/>
      </c>
      <c r="O35" s="28" t="str">
        <f>IF(M35="","",VLOOKUP(N35,Table1[],2,TRUE))</f>
        <v/>
      </c>
      <c r="P35" s="38" t="str">
        <f t="shared" si="1"/>
        <v/>
      </c>
      <c r="Q35" s="39" t="str">
        <f t="shared" si="2"/>
        <v/>
      </c>
      <c r="R35" s="40" t="str">
        <f>IF(P35="","",VLOOKUP(Q35,Table1[],2,TRUE))</f>
        <v/>
      </c>
      <c r="S35" s="25" t="str">
        <f>IF(AND(N35="",Q35=""),"",IF(OR(N35="-",Q35="-"),"-",IF(AND(N$3&lt;&gt;0,Q$3&lt;&gt;0),VLOOKUP(AVERAGE(N35,Q35),Table1[],2,TRUE),IF(AND(N$3&lt;&gt;0,Q$3=0),O35,R35))))</f>
        <v/>
      </c>
      <c r="T35" s="25"/>
      <c r="U35" s="82" t="str">
        <f t="shared" si="3"/>
        <v/>
      </c>
      <c r="V35" s="87"/>
      <c r="W35" s="33"/>
      <c r="X35" s="34"/>
      <c r="Y35" s="34"/>
      <c r="Z35" s="34"/>
      <c r="AA35" s="34"/>
      <c r="AB35" s="34"/>
      <c r="AC35" s="34"/>
      <c r="AD35" s="34"/>
      <c r="AE35" s="34"/>
      <c r="AF35" s="34"/>
      <c r="AG35" s="34"/>
      <c r="AH35" s="34"/>
      <c r="AI35" s="28" t="str">
        <f t="shared" si="9"/>
        <v/>
      </c>
      <c r="AJ35" s="29" t="str">
        <f t="shared" si="4"/>
        <v/>
      </c>
      <c r="AK35" s="28" t="str">
        <f>IF(AI35="","",VLOOKUP(AJ35,Table1[],2,TRUE))</f>
        <v/>
      </c>
      <c r="AL35" s="38" t="str">
        <f t="shared" si="5"/>
        <v/>
      </c>
      <c r="AM35" s="39" t="str">
        <f t="shared" si="6"/>
        <v/>
      </c>
      <c r="AN35" s="40" t="str">
        <f>IF(AL35="","",VLOOKUP(AM35,Table1[],2,TRUE))</f>
        <v/>
      </c>
      <c r="AO35" s="25" t="str">
        <f>IF(AND(AJ35="",AM35=""),"",IF(OR(AJ35="-",AM35="-"),"-",IF(AND(AJ$3&lt;&gt;0,AM$3&lt;&gt;0),VLOOKUP(AVERAGE(AJ35,AM35),Table1[],2,TRUE),IF(AND(AJ$3&lt;&gt;0,AM$3=0),AK35,AN35))))</f>
        <v/>
      </c>
      <c r="AP35" s="25"/>
      <c r="AQ35" s="82" t="str">
        <f t="shared" si="7"/>
        <v/>
      </c>
      <c r="AR35" s="83"/>
    </row>
    <row r="36" spans="1:44" x14ac:dyDescent="0.25">
      <c r="A36" s="33"/>
      <c r="B36" s="34"/>
      <c r="C36" s="34"/>
      <c r="D36" s="34"/>
      <c r="E36" s="34"/>
      <c r="F36" s="34"/>
      <c r="G36" s="34"/>
      <c r="H36" s="34"/>
      <c r="I36" s="34"/>
      <c r="J36" s="34"/>
      <c r="K36" s="34"/>
      <c r="L36" s="34"/>
      <c r="M36" s="28" t="str">
        <f t="shared" si="8"/>
        <v/>
      </c>
      <c r="N36" s="29" t="str">
        <f t="shared" si="0"/>
        <v/>
      </c>
      <c r="O36" s="28" t="str">
        <f>IF(M36="","",VLOOKUP(N36,Table1[],2,TRUE))</f>
        <v/>
      </c>
      <c r="P36" s="38" t="str">
        <f t="shared" si="1"/>
        <v/>
      </c>
      <c r="Q36" s="39" t="str">
        <f t="shared" si="2"/>
        <v/>
      </c>
      <c r="R36" s="40" t="str">
        <f>IF(P36="","",VLOOKUP(Q36,Table1[],2,TRUE))</f>
        <v/>
      </c>
      <c r="S36" s="25" t="str">
        <f>IF(AND(N36="",Q36=""),"",IF(OR(N36="-",Q36="-"),"-",IF(AND(N$3&lt;&gt;0,Q$3&lt;&gt;0),VLOOKUP(AVERAGE(N36,Q36),Table1[],2,TRUE),IF(AND(N$3&lt;&gt;0,Q$3=0),O36,R36))))</f>
        <v/>
      </c>
      <c r="T36" s="25"/>
      <c r="U36" s="82" t="str">
        <f t="shared" si="3"/>
        <v/>
      </c>
      <c r="V36" s="87"/>
      <c r="W36" s="33"/>
      <c r="X36" s="34"/>
      <c r="Y36" s="34"/>
      <c r="Z36" s="34"/>
      <c r="AA36" s="34"/>
      <c r="AB36" s="34"/>
      <c r="AC36" s="34"/>
      <c r="AD36" s="34"/>
      <c r="AE36" s="34"/>
      <c r="AF36" s="34"/>
      <c r="AG36" s="34"/>
      <c r="AH36" s="34"/>
      <c r="AI36" s="28" t="str">
        <f t="shared" si="9"/>
        <v/>
      </c>
      <c r="AJ36" s="29" t="str">
        <f t="shared" si="4"/>
        <v/>
      </c>
      <c r="AK36" s="28" t="str">
        <f>IF(AI36="","",VLOOKUP(AJ36,Table1[],2,TRUE))</f>
        <v/>
      </c>
      <c r="AL36" s="38" t="str">
        <f t="shared" si="5"/>
        <v/>
      </c>
      <c r="AM36" s="39" t="str">
        <f t="shared" si="6"/>
        <v/>
      </c>
      <c r="AN36" s="40" t="str">
        <f>IF(AL36="","",VLOOKUP(AM36,Table1[],2,TRUE))</f>
        <v/>
      </c>
      <c r="AO36" s="25" t="str">
        <f>IF(AND(AJ36="",AM36=""),"",IF(OR(AJ36="-",AM36="-"),"-",IF(AND(AJ$3&lt;&gt;0,AM$3&lt;&gt;0),VLOOKUP(AVERAGE(AJ36,AM36),Table1[],2,TRUE),IF(AND(AJ$3&lt;&gt;0,AM$3=0),AK36,AN36))))</f>
        <v/>
      </c>
      <c r="AP36" s="25"/>
      <c r="AQ36" s="82" t="str">
        <f t="shared" si="7"/>
        <v/>
      </c>
      <c r="AR36" s="83"/>
    </row>
    <row r="37" spans="1:44" x14ac:dyDescent="0.25">
      <c r="A37" s="33"/>
      <c r="B37" s="34"/>
      <c r="C37" s="34"/>
      <c r="D37" s="34"/>
      <c r="E37" s="34"/>
      <c r="F37" s="34"/>
      <c r="G37" s="34"/>
      <c r="H37" s="34"/>
      <c r="I37" s="34"/>
      <c r="J37" s="34"/>
      <c r="K37" s="34"/>
      <c r="L37" s="34"/>
      <c r="M37" s="28" t="str">
        <f t="shared" si="8"/>
        <v/>
      </c>
      <c r="N37" s="29" t="str">
        <f t="shared" si="0"/>
        <v/>
      </c>
      <c r="O37" s="28" t="str">
        <f>IF(M37="","",VLOOKUP(N37,Table1[],2,TRUE))</f>
        <v/>
      </c>
      <c r="P37" s="38" t="str">
        <f t="shared" si="1"/>
        <v/>
      </c>
      <c r="Q37" s="39" t="str">
        <f t="shared" si="2"/>
        <v/>
      </c>
      <c r="R37" s="40" t="str">
        <f>IF(P37="","",VLOOKUP(Q37,Table1[],2,TRUE))</f>
        <v/>
      </c>
      <c r="S37" s="25" t="str">
        <f>IF(AND(N37="",Q37=""),"",IF(OR(N37="-",Q37="-"),"-",IF(AND(N$3&lt;&gt;0,Q$3&lt;&gt;0),VLOOKUP(AVERAGE(N37,Q37),Table1[],2,TRUE),IF(AND(N$3&lt;&gt;0,Q$3=0),O37,R37))))</f>
        <v/>
      </c>
      <c r="T37" s="25"/>
      <c r="U37" s="82" t="str">
        <f t="shared" si="3"/>
        <v/>
      </c>
      <c r="V37" s="87"/>
      <c r="W37" s="33"/>
      <c r="X37" s="34"/>
      <c r="Y37" s="34"/>
      <c r="Z37" s="34"/>
      <c r="AA37" s="34"/>
      <c r="AB37" s="34"/>
      <c r="AC37" s="34"/>
      <c r="AD37" s="34"/>
      <c r="AE37" s="34"/>
      <c r="AF37" s="34"/>
      <c r="AG37" s="34"/>
      <c r="AH37" s="34"/>
      <c r="AI37" s="28" t="str">
        <f t="shared" si="9"/>
        <v/>
      </c>
      <c r="AJ37" s="29" t="str">
        <f t="shared" si="4"/>
        <v/>
      </c>
      <c r="AK37" s="28" t="str">
        <f>IF(AI37="","",VLOOKUP(AJ37,Table1[],2,TRUE))</f>
        <v/>
      </c>
      <c r="AL37" s="38" t="str">
        <f t="shared" si="5"/>
        <v/>
      </c>
      <c r="AM37" s="39" t="str">
        <f t="shared" si="6"/>
        <v/>
      </c>
      <c r="AN37" s="40" t="str">
        <f>IF(AL37="","",VLOOKUP(AM37,Table1[],2,TRUE))</f>
        <v/>
      </c>
      <c r="AO37" s="25" t="str">
        <f>IF(AND(AJ37="",AM37=""),"",IF(OR(AJ37="-",AM37="-"),"-",IF(AND(AJ$3&lt;&gt;0,AM$3&lt;&gt;0),VLOOKUP(AVERAGE(AJ37,AM37),Table1[],2,TRUE),IF(AND(AJ$3&lt;&gt;0,AM$3=0),AK37,AN37))))</f>
        <v/>
      </c>
      <c r="AP37" s="25"/>
      <c r="AQ37" s="82" t="str">
        <f t="shared" si="7"/>
        <v/>
      </c>
      <c r="AR37" s="83"/>
    </row>
    <row r="38" spans="1:44" x14ac:dyDescent="0.25">
      <c r="A38" s="33"/>
      <c r="B38" s="34"/>
      <c r="C38" s="34"/>
      <c r="D38" s="34"/>
      <c r="E38" s="34"/>
      <c r="F38" s="34"/>
      <c r="G38" s="34"/>
      <c r="H38" s="34"/>
      <c r="I38" s="34"/>
      <c r="J38" s="34"/>
      <c r="K38" s="34"/>
      <c r="L38" s="34"/>
      <c r="M38" s="28" t="str">
        <f t="shared" si="8"/>
        <v/>
      </c>
      <c r="N38" s="29" t="str">
        <f t="shared" si="0"/>
        <v/>
      </c>
      <c r="O38" s="28" t="str">
        <f>IF(M38="","",VLOOKUP(N38,Table1[],2,TRUE))</f>
        <v/>
      </c>
      <c r="P38" s="38" t="str">
        <f t="shared" si="1"/>
        <v/>
      </c>
      <c r="Q38" s="39" t="str">
        <f t="shared" si="2"/>
        <v/>
      </c>
      <c r="R38" s="40" t="str">
        <f>IF(P38="","",VLOOKUP(Q38,Table1[],2,TRUE))</f>
        <v/>
      </c>
      <c r="S38" s="25" t="str">
        <f>IF(AND(N38="",Q38=""),"",IF(OR(N38="-",Q38="-"),"-",IF(AND(N$3&lt;&gt;0,Q$3&lt;&gt;0),VLOOKUP(AVERAGE(N38,Q38),Table1[],2,TRUE),IF(AND(N$3&lt;&gt;0,Q$3=0),O38,R38))))</f>
        <v/>
      </c>
      <c r="T38" s="25"/>
      <c r="U38" s="82" t="str">
        <f t="shared" si="3"/>
        <v/>
      </c>
      <c r="V38" s="87"/>
      <c r="W38" s="33"/>
      <c r="X38" s="34"/>
      <c r="Y38" s="34"/>
      <c r="Z38" s="34"/>
      <c r="AA38" s="34"/>
      <c r="AB38" s="34"/>
      <c r="AC38" s="34"/>
      <c r="AD38" s="34"/>
      <c r="AE38" s="34"/>
      <c r="AF38" s="34"/>
      <c r="AG38" s="34"/>
      <c r="AH38" s="34"/>
      <c r="AI38" s="28" t="str">
        <f t="shared" si="9"/>
        <v/>
      </c>
      <c r="AJ38" s="29" t="str">
        <f t="shared" si="4"/>
        <v/>
      </c>
      <c r="AK38" s="28" t="str">
        <f>IF(AI38="","",VLOOKUP(AJ38,Table1[],2,TRUE))</f>
        <v/>
      </c>
      <c r="AL38" s="38" t="str">
        <f t="shared" si="5"/>
        <v/>
      </c>
      <c r="AM38" s="39" t="str">
        <f t="shared" si="6"/>
        <v/>
      </c>
      <c r="AN38" s="40" t="str">
        <f>IF(AL38="","",VLOOKUP(AM38,Table1[],2,TRUE))</f>
        <v/>
      </c>
      <c r="AO38" s="25" t="str">
        <f>IF(AND(AJ38="",AM38=""),"",IF(OR(AJ38="-",AM38="-"),"-",IF(AND(AJ$3&lt;&gt;0,AM$3&lt;&gt;0),VLOOKUP(AVERAGE(AJ38,AM38),Table1[],2,TRUE),IF(AND(AJ$3&lt;&gt;0,AM$3=0),AK38,AN38))))</f>
        <v/>
      </c>
      <c r="AP38" s="25"/>
      <c r="AQ38" s="82" t="str">
        <f t="shared" si="7"/>
        <v/>
      </c>
      <c r="AR38" s="83"/>
    </row>
    <row r="39" spans="1:44" x14ac:dyDescent="0.25">
      <c r="A39" s="33"/>
      <c r="B39" s="34"/>
      <c r="C39" s="34"/>
      <c r="D39" s="34"/>
      <c r="E39" s="34"/>
      <c r="F39" s="34"/>
      <c r="G39" s="34"/>
      <c r="H39" s="34"/>
      <c r="I39" s="34"/>
      <c r="J39" s="34"/>
      <c r="K39" s="34"/>
      <c r="L39" s="34"/>
      <c r="M39" s="28" t="str">
        <f t="shared" si="8"/>
        <v/>
      </c>
      <c r="N39" s="29" t="str">
        <f t="shared" si="0"/>
        <v/>
      </c>
      <c r="O39" s="28" t="str">
        <f>IF(M39="","",VLOOKUP(N39,Table1[],2,TRUE))</f>
        <v/>
      </c>
      <c r="P39" s="38" t="str">
        <f t="shared" si="1"/>
        <v/>
      </c>
      <c r="Q39" s="39" t="str">
        <f t="shared" si="2"/>
        <v/>
      </c>
      <c r="R39" s="40" t="str">
        <f>IF(P39="","",VLOOKUP(Q39,Table1[],2,TRUE))</f>
        <v/>
      </c>
      <c r="S39" s="25" t="str">
        <f>IF(AND(N39="",Q39=""),"",IF(OR(N39="-",Q39="-"),"-",IF(AND(N$3&lt;&gt;0,Q$3&lt;&gt;0),VLOOKUP(AVERAGE(N39,Q39),Table1[],2,TRUE),IF(AND(N$3&lt;&gt;0,Q$3=0),O39,R39))))</f>
        <v/>
      </c>
      <c r="T39" s="25"/>
      <c r="U39" s="82" t="str">
        <f t="shared" si="3"/>
        <v/>
      </c>
      <c r="V39" s="87"/>
      <c r="W39" s="33"/>
      <c r="X39" s="34"/>
      <c r="Y39" s="34"/>
      <c r="Z39" s="34"/>
      <c r="AA39" s="34"/>
      <c r="AB39" s="34"/>
      <c r="AC39" s="34"/>
      <c r="AD39" s="34"/>
      <c r="AE39" s="34"/>
      <c r="AF39" s="34"/>
      <c r="AG39" s="34"/>
      <c r="AH39" s="34"/>
      <c r="AI39" s="28" t="str">
        <f t="shared" si="9"/>
        <v/>
      </c>
      <c r="AJ39" s="29" t="str">
        <f t="shared" si="4"/>
        <v/>
      </c>
      <c r="AK39" s="28" t="str">
        <f>IF(AI39="","",VLOOKUP(AJ39,Table1[],2,TRUE))</f>
        <v/>
      </c>
      <c r="AL39" s="38" t="str">
        <f t="shared" si="5"/>
        <v/>
      </c>
      <c r="AM39" s="39" t="str">
        <f t="shared" si="6"/>
        <v/>
      </c>
      <c r="AN39" s="40" t="str">
        <f>IF(AL39="","",VLOOKUP(AM39,Table1[],2,TRUE))</f>
        <v/>
      </c>
      <c r="AO39" s="25" t="str">
        <f>IF(AND(AJ39="",AM39=""),"",IF(OR(AJ39="-",AM39="-"),"-",IF(AND(AJ$3&lt;&gt;0,AM$3&lt;&gt;0),VLOOKUP(AVERAGE(AJ39,AM39),Table1[],2,TRUE),IF(AND(AJ$3&lt;&gt;0,AM$3=0),AK39,AN39))))</f>
        <v/>
      </c>
      <c r="AP39" s="25"/>
      <c r="AQ39" s="82" t="str">
        <f t="shared" si="7"/>
        <v/>
      </c>
      <c r="AR39" s="83"/>
    </row>
    <row r="40" spans="1:44" ht="15.75" thickBot="1" x14ac:dyDescent="0.3">
      <c r="A40" s="35"/>
      <c r="B40" s="36"/>
      <c r="C40" s="36"/>
      <c r="D40" s="36"/>
      <c r="E40" s="36"/>
      <c r="F40" s="36"/>
      <c r="G40" s="36"/>
      <c r="H40" s="36"/>
      <c r="I40" s="36"/>
      <c r="J40" s="36"/>
      <c r="K40" s="36"/>
      <c r="L40" s="36"/>
      <c r="M40" s="30" t="str">
        <f t="shared" si="8"/>
        <v/>
      </c>
      <c r="N40" s="42" t="str">
        <f t="shared" si="0"/>
        <v/>
      </c>
      <c r="O40" s="30" t="str">
        <f>IF(M40="","",VLOOKUP(N40,Table1[],2,TRUE))</f>
        <v/>
      </c>
      <c r="P40" s="43" t="str">
        <f t="shared" si="1"/>
        <v/>
      </c>
      <c r="Q40" s="23" t="str">
        <f t="shared" si="2"/>
        <v/>
      </c>
      <c r="R40" s="24" t="str">
        <f>IF(P40="","",VLOOKUP(Q40,Table1[],2,TRUE))</f>
        <v/>
      </c>
      <c r="S40" s="80" t="str">
        <f>IF(AND(N40="",Q40=""),"",IF(OR(N40="-",Q40="-"),"-",IF(AND(N$3&lt;&gt;0,Q$3&lt;&gt;0),VLOOKUP(AVERAGE(N40,Q40),Table1[],2,TRUE),IF(AND(N$3&lt;&gt;0,Q$3=0),O40,R40))))</f>
        <v/>
      </c>
      <c r="T40" s="79"/>
      <c r="U40" s="32" t="str">
        <f t="shared" si="3"/>
        <v/>
      </c>
      <c r="V40" s="88"/>
      <c r="W40" s="35"/>
      <c r="X40" s="36"/>
      <c r="Y40" s="36"/>
      <c r="Z40" s="36"/>
      <c r="AA40" s="36"/>
      <c r="AB40" s="36"/>
      <c r="AC40" s="36"/>
      <c r="AD40" s="36"/>
      <c r="AE40" s="36"/>
      <c r="AF40" s="36"/>
      <c r="AG40" s="36"/>
      <c r="AH40" s="36"/>
      <c r="AI40" s="30" t="str">
        <f t="shared" si="9"/>
        <v/>
      </c>
      <c r="AJ40" s="42" t="str">
        <f t="shared" si="4"/>
        <v/>
      </c>
      <c r="AK40" s="30" t="str">
        <f>IF(AI40="","",VLOOKUP(AJ40,Table1[],2,TRUE))</f>
        <v/>
      </c>
      <c r="AL40" s="43" t="str">
        <f t="shared" si="5"/>
        <v/>
      </c>
      <c r="AM40" s="23" t="str">
        <f t="shared" si="6"/>
        <v/>
      </c>
      <c r="AN40" s="24" t="str">
        <f>IF(AL40="","",VLOOKUP(AM40,Table1[],2,TRUE))</f>
        <v/>
      </c>
      <c r="AO40" s="80" t="str">
        <f>IF(AND(AJ40="",AM40=""),"",IF(OR(AJ40="-",AM40="-"),"-",IF(AND(AJ$3&lt;&gt;0,AM$3&lt;&gt;0),VLOOKUP(AVERAGE(AJ40,AM40),Table1[],2,TRUE),IF(AND(AJ$3&lt;&gt;0,AM$3=0),AK40,AN40))))</f>
        <v/>
      </c>
      <c r="AP40" s="79"/>
      <c r="AQ40" s="32" t="str">
        <f t="shared" si="7"/>
        <v/>
      </c>
      <c r="AR40" s="84"/>
    </row>
    <row r="41" spans="1:44" x14ac:dyDescent="0.25">
      <c r="F41" s="9"/>
      <c r="G41" s="9"/>
      <c r="H41" s="9"/>
      <c r="I41" s="9"/>
      <c r="J41" s="9"/>
      <c r="L41" s="9"/>
      <c r="N41" s="9"/>
      <c r="Q41" s="9"/>
      <c r="T41" s="9"/>
      <c r="U41" s="9"/>
      <c r="V41" s="9"/>
    </row>
    <row r="42" spans="1:44" x14ac:dyDescent="0.25">
      <c r="F42" s="9"/>
      <c r="G42" s="9"/>
      <c r="H42" s="9"/>
      <c r="I42" s="9"/>
      <c r="J42" s="9"/>
      <c r="L42" s="9"/>
      <c r="N42" s="9"/>
      <c r="Q42" s="9"/>
      <c r="T42" s="9"/>
      <c r="U42" s="9"/>
      <c r="V42" s="9"/>
    </row>
    <row r="43" spans="1:44" x14ac:dyDescent="0.25">
      <c r="F43" s="9"/>
      <c r="G43" s="9"/>
      <c r="H43" s="9"/>
      <c r="I43" s="9"/>
      <c r="J43" s="9"/>
      <c r="L43" s="9"/>
      <c r="N43" s="9"/>
      <c r="Q43" s="9"/>
      <c r="T43" s="9"/>
      <c r="U43" s="9"/>
      <c r="V43" s="9"/>
    </row>
    <row r="44" spans="1:44" x14ac:dyDescent="0.25">
      <c r="F44" s="9"/>
      <c r="G44" s="9"/>
      <c r="H44" s="9"/>
      <c r="I44" s="9"/>
      <c r="J44" s="9"/>
      <c r="L44" s="9"/>
      <c r="N44" s="9"/>
      <c r="Q44" s="9"/>
      <c r="T44" s="9"/>
      <c r="U44" s="9"/>
      <c r="V44" s="9"/>
    </row>
    <row r="45" spans="1:44" x14ac:dyDescent="0.25">
      <c r="F45" s="9"/>
      <c r="G45" s="9"/>
      <c r="H45" s="9"/>
      <c r="I45" s="9"/>
      <c r="J45" s="9"/>
      <c r="L45" s="9"/>
      <c r="N45" s="9"/>
      <c r="Q45" s="9"/>
      <c r="T45" s="9"/>
      <c r="U45" s="9"/>
      <c r="V45" s="9"/>
    </row>
    <row r="46" spans="1:44" x14ac:dyDescent="0.25">
      <c r="F46" s="9"/>
      <c r="G46" s="9"/>
      <c r="H46" s="9"/>
      <c r="I46" s="9"/>
      <c r="J46" s="9"/>
      <c r="L46" s="9"/>
      <c r="N46" s="9"/>
      <c r="Q46" s="9"/>
      <c r="T46" s="9"/>
      <c r="U46" s="9"/>
    </row>
    <row r="47" spans="1:44" x14ac:dyDescent="0.25">
      <c r="F47" s="9"/>
      <c r="G47" s="9"/>
      <c r="H47" s="9"/>
      <c r="I47" s="9"/>
      <c r="J47" s="9"/>
      <c r="L47" s="9"/>
      <c r="N47" s="9"/>
      <c r="Q47" s="9"/>
      <c r="T47" s="9"/>
      <c r="U47" s="9"/>
    </row>
    <row r="48" spans="1:44"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30">
    <mergeCell ref="X1:AR1"/>
    <mergeCell ref="W2:AB2"/>
    <mergeCell ref="AC2:AH2"/>
    <mergeCell ref="AI2:AQ2"/>
    <mergeCell ref="AJ3:AK3"/>
    <mergeCell ref="AM3:AN3"/>
    <mergeCell ref="AO3:AO4"/>
    <mergeCell ref="AP3:AP4"/>
    <mergeCell ref="AQ3:AQ4"/>
    <mergeCell ref="W4:X4"/>
    <mergeCell ref="Y4:Z4"/>
    <mergeCell ref="AA4:AB4"/>
    <mergeCell ref="AC4:AD4"/>
    <mergeCell ref="AE4:AF4"/>
    <mergeCell ref="AG4:AH4"/>
    <mergeCell ref="B1:V1"/>
    <mergeCell ref="M2:U2"/>
    <mergeCell ref="T3:T4"/>
    <mergeCell ref="U3:U4"/>
    <mergeCell ref="G4:H4"/>
    <mergeCell ref="I4:J4"/>
    <mergeCell ref="K4:L4"/>
    <mergeCell ref="A2:F2"/>
    <mergeCell ref="G2:L2"/>
    <mergeCell ref="N3:O3"/>
    <mergeCell ref="Q3:R3"/>
    <mergeCell ref="S3:S4"/>
    <mergeCell ref="A4:B4"/>
    <mergeCell ref="C4:D4"/>
    <mergeCell ref="E4:F4"/>
  </mergeCells>
  <conditionalFormatting sqref="T40">
    <cfRule type="expression" dxfId="22" priority="20">
      <formula>OR(ISNUMBER(SEARCH("D",T40)),ISNUMBER(SEARCH("E",T40)))</formula>
    </cfRule>
  </conditionalFormatting>
  <conditionalFormatting sqref="U40">
    <cfRule type="expression" dxfId="21" priority="18">
      <formula>OR(ISNUMBER(SEARCH("D",U40)),ISNUMBER(SEARCH("E",U40)))</formula>
    </cfRule>
  </conditionalFormatting>
  <conditionalFormatting sqref="A5:A40 C5:C40 K5:K40 E5:E40 G5:G40 I5:I40">
    <cfRule type="expression" dxfId="20" priority="24">
      <formula>NOT(ISBLANK(A5))</formula>
    </cfRule>
    <cfRule type="expression" dxfId="19" priority="25">
      <formula>IF(NOT($B5=""),TRUE,FALSE)</formula>
    </cfRule>
  </conditionalFormatting>
  <conditionalFormatting sqref="O5:O40 R5:S39 R40">
    <cfRule type="expression" dxfId="18" priority="23">
      <formula>OR(ISNUMBER(SEARCH("D",O5)),ISNUMBER(SEARCH("E",O5)))</formula>
    </cfRule>
  </conditionalFormatting>
  <conditionalFormatting sqref="T5:T39">
    <cfRule type="expression" dxfId="17" priority="22">
      <formula>OR(ISNUMBER(SEARCH("D",T5)),ISNUMBER(SEARCH("E",T5)))</formula>
    </cfRule>
  </conditionalFormatting>
  <conditionalFormatting sqref="S40">
    <cfRule type="expression" dxfId="16" priority="21">
      <formula>OR(ISNUMBER(SEARCH("D",S40)),ISNUMBER(SEARCH("E",S40)))</formula>
    </cfRule>
  </conditionalFormatting>
  <conditionalFormatting sqref="U5:U39">
    <cfRule type="expression" dxfId="15" priority="19">
      <formula>OR(ISNUMBER(SEARCH("D",U5)),ISNUMBER(SEARCH("E",U5)))</formula>
    </cfRule>
  </conditionalFormatting>
  <conditionalFormatting sqref="W5:W8 Y5:Y40 AC5:AC40 AE5:AE40 AA5:AA40 AG5:AG40 W11:W40">
    <cfRule type="expression" dxfId="14" priority="16">
      <formula>NOT(ISBLANK(W5))</formula>
    </cfRule>
    <cfRule type="expression" dxfId="13" priority="17">
      <formula>IF(NOT($B5=""),TRUE,FALSE)</formula>
    </cfRule>
  </conditionalFormatting>
  <conditionalFormatting sqref="AK5:AK40 AN5:AO39 AN40">
    <cfRule type="expression" dxfId="12" priority="15">
      <formula>OR(ISNUMBER(SEARCH("D",AK5)),ISNUMBER(SEARCH("E",AK5)))</formula>
    </cfRule>
  </conditionalFormatting>
  <conditionalFormatting sqref="AP5:AP39">
    <cfRule type="expression" dxfId="11" priority="14">
      <formula>OR(ISNUMBER(SEARCH("D",AP5)),ISNUMBER(SEARCH("E",AP5)))</formula>
    </cfRule>
  </conditionalFormatting>
  <conditionalFormatting sqref="AQ40">
    <cfRule type="expression" dxfId="10" priority="10">
      <formula>OR(ISNUMBER(SEARCH("D",AQ40)),ISNUMBER(SEARCH("E",AQ40)))</formula>
    </cfRule>
  </conditionalFormatting>
  <conditionalFormatting sqref="AO40">
    <cfRule type="expression" dxfId="9" priority="13">
      <formula>OR(ISNUMBER(SEARCH("D",AO40)),ISNUMBER(SEARCH("E",AO40)))</formula>
    </cfRule>
  </conditionalFormatting>
  <conditionalFormatting sqref="AP40">
    <cfRule type="expression" dxfId="8" priority="12">
      <formula>OR(ISNUMBER(SEARCH("D",AP40)),ISNUMBER(SEARCH("E",AP40)))</formula>
    </cfRule>
  </conditionalFormatting>
  <conditionalFormatting sqref="AQ5:AQ39">
    <cfRule type="expression" dxfId="7" priority="11">
      <formula>OR(ISNUMBER(SEARCH("D",AQ5)),ISNUMBER(SEARCH("E",AQ5)))</formula>
    </cfRule>
  </conditionalFormatting>
  <conditionalFormatting sqref="W9:W10">
    <cfRule type="expression" dxfId="6" priority="8">
      <formula>NOT(ISBLANK(W9))</formula>
    </cfRule>
    <cfRule type="expression" dxfId="5" priority="9">
      <formula>IF(NOT($B9=""),TRUE,FALSE)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2</xdr:col>
                    <xdr:colOff>714375</xdr:colOff>
                    <xdr:row>44</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G28"/>
  <sheetViews>
    <sheetView tabSelected="1" zoomScaleNormal="100" workbookViewId="0">
      <selection activeCell="G28" sqref="G28"/>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54"/>
      <c r="B2" s="2"/>
      <c r="C2" s="16"/>
    </row>
    <row r="3" spans="1:5" x14ac:dyDescent="0.25">
      <c r="A3" s="55">
        <v>0</v>
      </c>
      <c r="B3" s="1" t="s">
        <v>3</v>
      </c>
      <c r="C3" s="3">
        <v>1</v>
      </c>
    </row>
    <row r="4" spans="1:5" x14ac:dyDescent="0.25">
      <c r="A4" s="55">
        <v>0.09</v>
      </c>
      <c r="B4" s="1" t="s">
        <v>4</v>
      </c>
      <c r="C4" s="3">
        <v>2</v>
      </c>
      <c r="D4" s="31"/>
      <c r="E4" s="58"/>
    </row>
    <row r="5" spans="1:5" x14ac:dyDescent="0.25">
      <c r="A5" s="55">
        <v>0.17</v>
      </c>
      <c r="B5" s="1" t="s">
        <v>5</v>
      </c>
      <c r="C5" s="3">
        <v>3</v>
      </c>
      <c r="D5" s="31"/>
    </row>
    <row r="6" spans="1:5" x14ac:dyDescent="0.25">
      <c r="A6" s="55">
        <v>0.25</v>
      </c>
      <c r="B6" s="1" t="s">
        <v>6</v>
      </c>
      <c r="C6" s="3">
        <v>4</v>
      </c>
      <c r="D6" s="31"/>
    </row>
    <row r="7" spans="1:5" x14ac:dyDescent="0.25">
      <c r="A7" s="55">
        <v>0.32</v>
      </c>
      <c r="B7" s="1" t="s">
        <v>7</v>
      </c>
      <c r="C7" s="3">
        <v>5</v>
      </c>
      <c r="D7" s="31"/>
    </row>
    <row r="8" spans="1:5" x14ac:dyDescent="0.25">
      <c r="A8" s="55">
        <v>0.38</v>
      </c>
      <c r="B8" s="1" t="s">
        <v>8</v>
      </c>
      <c r="C8" s="3">
        <v>6</v>
      </c>
      <c r="D8" s="31"/>
    </row>
    <row r="9" spans="1:5" x14ac:dyDescent="0.25">
      <c r="A9" s="55">
        <v>0.45</v>
      </c>
      <c r="B9" s="1" t="s">
        <v>9</v>
      </c>
      <c r="C9" s="3">
        <v>7</v>
      </c>
      <c r="D9" s="31"/>
    </row>
    <row r="10" spans="1:5" x14ac:dyDescent="0.25">
      <c r="A10" s="55">
        <v>0.52</v>
      </c>
      <c r="B10" s="1" t="s">
        <v>10</v>
      </c>
      <c r="C10" s="3">
        <v>8</v>
      </c>
      <c r="D10" s="31"/>
    </row>
    <row r="11" spans="1:5" x14ac:dyDescent="0.25">
      <c r="A11" s="55">
        <v>0.59</v>
      </c>
      <c r="B11" s="1" t="s">
        <v>11</v>
      </c>
      <c r="C11" s="3">
        <v>9</v>
      </c>
      <c r="D11" s="31"/>
    </row>
    <row r="12" spans="1:5" x14ac:dyDescent="0.25">
      <c r="A12" s="55">
        <v>0.65</v>
      </c>
      <c r="B12" s="1" t="s">
        <v>12</v>
      </c>
      <c r="C12" s="3">
        <v>10</v>
      </c>
      <c r="D12" s="31"/>
    </row>
    <row r="13" spans="1:5" x14ac:dyDescent="0.25">
      <c r="A13" s="55">
        <v>0.7</v>
      </c>
      <c r="B13" s="1" t="s">
        <v>13</v>
      </c>
      <c r="C13" s="3">
        <v>11</v>
      </c>
      <c r="D13" s="31"/>
    </row>
    <row r="14" spans="1:5" x14ac:dyDescent="0.25">
      <c r="A14" s="55">
        <v>0.75</v>
      </c>
      <c r="B14" s="1" t="s">
        <v>14</v>
      </c>
      <c r="C14" s="3">
        <v>12</v>
      </c>
      <c r="D14" s="31"/>
    </row>
    <row r="15" spans="1:5" x14ac:dyDescent="0.25">
      <c r="A15" s="55">
        <v>0.8</v>
      </c>
      <c r="B15" s="1" t="s">
        <v>15</v>
      </c>
      <c r="C15" s="3">
        <v>13</v>
      </c>
      <c r="D15" s="31"/>
    </row>
    <row r="16" spans="1:5" x14ac:dyDescent="0.25">
      <c r="A16" s="55">
        <v>0.87</v>
      </c>
      <c r="B16" s="1" t="s">
        <v>16</v>
      </c>
      <c r="C16" s="3">
        <v>14</v>
      </c>
      <c r="D16" s="31"/>
    </row>
    <row r="17" spans="1:7" x14ac:dyDescent="0.25">
      <c r="A17" s="55">
        <v>0.94</v>
      </c>
      <c r="B17" s="1" t="s">
        <v>17</v>
      </c>
      <c r="C17" s="3">
        <v>15</v>
      </c>
      <c r="D17" s="31"/>
    </row>
    <row r="18" spans="1:7" x14ac:dyDescent="0.25">
      <c r="A18" s="56" t="s">
        <v>18</v>
      </c>
      <c r="B18" s="7" t="s">
        <v>18</v>
      </c>
      <c r="C18" s="8" t="s">
        <v>18</v>
      </c>
    </row>
    <row r="28" spans="1:7" x14ac:dyDescent="0.25">
      <c r="F28" s="218" t="s">
        <v>16</v>
      </c>
      <c r="G28" t="e">
        <f ca="1">has_strikethrough(F28)</f>
        <v>#NAME?</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topLeftCell="A4" zoomScaleNormal="100" workbookViewId="0">
      <selection activeCell="B16" sqref="B16"/>
    </sheetView>
  </sheetViews>
  <sheetFormatPr defaultRowHeight="15" x14ac:dyDescent="0.25"/>
  <cols>
    <col min="1" max="1" width="9.140625" style="65"/>
    <col min="2" max="2" width="16.42578125" style="66" bestFit="1" customWidth="1"/>
    <col min="3" max="3" width="9.28515625" style="66" bestFit="1" customWidth="1"/>
    <col min="4" max="4" width="10.7109375" style="66" bestFit="1" customWidth="1"/>
    <col min="5" max="5" width="63.5703125" style="67" customWidth="1"/>
    <col min="6" max="6" width="9.140625" style="65"/>
    <col min="7" max="7" width="20.28515625" style="65" bestFit="1" customWidth="1"/>
    <col min="8" max="8" width="1.5703125" style="65" customWidth="1"/>
    <col min="9" max="16384" width="9.140625" style="65"/>
  </cols>
  <sheetData>
    <row r="1" spans="2:7" ht="15.75" thickBot="1" x14ac:dyDescent="0.3"/>
    <row r="2" spans="2:7" ht="15.75" thickBot="1" x14ac:dyDescent="0.3">
      <c r="B2" s="68" t="s">
        <v>44</v>
      </c>
      <c r="C2" s="69" t="s">
        <v>47</v>
      </c>
      <c r="D2" s="69" t="s">
        <v>45</v>
      </c>
      <c r="E2" s="70" t="s">
        <v>46</v>
      </c>
      <c r="G2" s="71"/>
    </row>
    <row r="3" spans="2:7" ht="75" x14ac:dyDescent="0.25">
      <c r="B3" s="72" t="s">
        <v>50</v>
      </c>
      <c r="C3" s="73" t="s">
        <v>48</v>
      </c>
      <c r="D3" s="74">
        <v>43641</v>
      </c>
      <c r="E3" s="75" t="s">
        <v>51</v>
      </c>
    </row>
    <row r="4" spans="2:7" ht="45" x14ac:dyDescent="0.25">
      <c r="B4" s="76" t="s">
        <v>49</v>
      </c>
      <c r="C4" s="76" t="s">
        <v>48</v>
      </c>
      <c r="D4" s="77">
        <v>43643</v>
      </c>
      <c r="E4" s="78" t="s">
        <v>52</v>
      </c>
    </row>
    <row r="5" spans="2:7" ht="135" x14ac:dyDescent="0.25">
      <c r="B5" s="76" t="s">
        <v>60</v>
      </c>
      <c r="C5" s="76" t="s">
        <v>48</v>
      </c>
      <c r="D5" s="77">
        <v>43655</v>
      </c>
      <c r="E5" s="78" t="s">
        <v>59</v>
      </c>
    </row>
    <row r="6" spans="2:7" x14ac:dyDescent="0.25">
      <c r="B6" s="76" t="s">
        <v>61</v>
      </c>
      <c r="C6" s="76" t="s">
        <v>48</v>
      </c>
      <c r="D6" s="77">
        <v>43663</v>
      </c>
      <c r="E6" s="78" t="s">
        <v>62</v>
      </c>
    </row>
    <row r="7" spans="2:7" ht="60" x14ac:dyDescent="0.25">
      <c r="B7" s="76" t="s">
        <v>63</v>
      </c>
      <c r="C7" s="76" t="s">
        <v>48</v>
      </c>
      <c r="D7" s="77">
        <v>43678</v>
      </c>
      <c r="E7" s="78" t="s">
        <v>64</v>
      </c>
    </row>
    <row r="8" spans="2:7" x14ac:dyDescent="0.25">
      <c r="B8" s="76" t="s">
        <v>65</v>
      </c>
      <c r="C8" s="76" t="s">
        <v>48</v>
      </c>
      <c r="D8" s="77">
        <v>43679</v>
      </c>
      <c r="E8" s="78" t="s">
        <v>66</v>
      </c>
    </row>
    <row r="9" spans="2:7" x14ac:dyDescent="0.25">
      <c r="B9" s="76" t="s">
        <v>67</v>
      </c>
      <c r="C9" s="76" t="s">
        <v>48</v>
      </c>
      <c r="D9" s="77">
        <v>43684</v>
      </c>
      <c r="E9" s="78" t="s">
        <v>68</v>
      </c>
    </row>
    <row r="10" spans="2:7" ht="30" x14ac:dyDescent="0.25">
      <c r="B10" s="76" t="s">
        <v>69</v>
      </c>
      <c r="C10" s="76" t="s">
        <v>48</v>
      </c>
      <c r="D10" s="77">
        <v>43738</v>
      </c>
      <c r="E10" s="78" t="s">
        <v>70</v>
      </c>
    </row>
    <row r="11" spans="2:7" ht="45" x14ac:dyDescent="0.25">
      <c r="B11" s="76" t="s">
        <v>71</v>
      </c>
      <c r="C11" s="76" t="s">
        <v>48</v>
      </c>
      <c r="D11" s="77">
        <v>43742</v>
      </c>
      <c r="E11" s="78" t="s">
        <v>72</v>
      </c>
    </row>
    <row r="12" spans="2:7" x14ac:dyDescent="0.25">
      <c r="B12" s="76" t="s">
        <v>77</v>
      </c>
      <c r="C12" s="76" t="s">
        <v>48</v>
      </c>
      <c r="D12" s="76" t="s">
        <v>78</v>
      </c>
      <c r="E12" s="78" t="s">
        <v>78</v>
      </c>
    </row>
    <row r="13" spans="2:7" ht="30" x14ac:dyDescent="0.25">
      <c r="B13" s="76" t="s">
        <v>79</v>
      </c>
      <c r="C13" s="76" t="s">
        <v>48</v>
      </c>
      <c r="D13" s="113">
        <v>43810</v>
      </c>
      <c r="E13" s="78" t="s">
        <v>80</v>
      </c>
    </row>
    <row r="14" spans="2:7" ht="60" x14ac:dyDescent="0.25">
      <c r="B14" s="76" t="s">
        <v>84</v>
      </c>
      <c r="C14" s="76" t="s">
        <v>48</v>
      </c>
      <c r="D14" s="113">
        <v>43811</v>
      </c>
      <c r="E14" s="78" t="s">
        <v>85</v>
      </c>
    </row>
    <row r="15" spans="2:7" ht="30" x14ac:dyDescent="0.25">
      <c r="B15" s="76" t="s">
        <v>94</v>
      </c>
      <c r="C15" s="76" t="s">
        <v>48</v>
      </c>
      <c r="D15" s="113">
        <v>43895</v>
      </c>
      <c r="E15" s="78" t="s">
        <v>93</v>
      </c>
    </row>
    <row r="16" spans="2:7" x14ac:dyDescent="0.25">
      <c r="B16" s="76"/>
      <c r="C16" s="76"/>
      <c r="D16" s="76"/>
      <c r="E16" s="78"/>
    </row>
    <row r="17" spans="2:5" x14ac:dyDescent="0.25">
      <c r="B17" s="76"/>
      <c r="C17" s="76"/>
      <c r="D17" s="76"/>
      <c r="E17" s="78"/>
    </row>
    <row r="18" spans="2:5" x14ac:dyDescent="0.25">
      <c r="B18" s="76"/>
      <c r="C18" s="76"/>
      <c r="D18" s="76"/>
      <c r="E18" s="78"/>
    </row>
    <row r="19" spans="2:5" x14ac:dyDescent="0.25">
      <c r="B19" s="76"/>
      <c r="C19" s="76"/>
      <c r="D19" s="76"/>
      <c r="E19" s="78"/>
    </row>
    <row r="20" spans="2:5" x14ac:dyDescent="0.25">
      <c r="B20" s="76"/>
      <c r="C20" s="76"/>
      <c r="D20" s="76"/>
      <c r="E20" s="78"/>
    </row>
    <row r="21" spans="2:5" x14ac:dyDescent="0.25">
      <c r="B21" s="76"/>
      <c r="C21" s="76"/>
      <c r="D21" s="76"/>
      <c r="E21" s="78"/>
    </row>
    <row r="22" spans="2:5" x14ac:dyDescent="0.25">
      <c r="B22" s="76"/>
      <c r="C22" s="76"/>
      <c r="D22" s="76"/>
      <c r="E22" s="78"/>
    </row>
    <row r="23" spans="2:5" x14ac:dyDescent="0.25">
      <c r="B23" s="76"/>
      <c r="C23" s="76"/>
      <c r="D23" s="76"/>
      <c r="E23" s="78"/>
    </row>
    <row r="24" spans="2:5" x14ac:dyDescent="0.25">
      <c r="B24" s="76"/>
      <c r="C24" s="76"/>
      <c r="D24" s="76"/>
      <c r="E24" s="78"/>
    </row>
    <row r="25" spans="2:5" x14ac:dyDescent="0.25">
      <c r="B25" s="76"/>
      <c r="C25" s="76"/>
      <c r="D25" s="76"/>
      <c r="E25" s="78"/>
    </row>
    <row r="26" spans="2:5" x14ac:dyDescent="0.25">
      <c r="B26" s="76"/>
      <c r="C26" s="76"/>
      <c r="D26" s="76"/>
      <c r="E26" s="78"/>
    </row>
    <row r="27" spans="2:5" x14ac:dyDescent="0.25">
      <c r="B27" s="76"/>
      <c r="C27" s="76"/>
      <c r="D27" s="76"/>
      <c r="E27" s="78"/>
    </row>
    <row r="28" spans="2:5" x14ac:dyDescent="0.25">
      <c r="B28" s="76"/>
      <c r="C28" s="76"/>
      <c r="D28" s="76"/>
      <c r="E28" s="78"/>
    </row>
    <row r="29" spans="2:5" x14ac:dyDescent="0.25">
      <c r="B29" s="76"/>
      <c r="C29" s="76"/>
      <c r="D29" s="76"/>
      <c r="E29" s="78"/>
    </row>
    <row r="30" spans="2:5" x14ac:dyDescent="0.25">
      <c r="B30" s="76"/>
      <c r="C30" s="76"/>
      <c r="D30" s="76"/>
      <c r="E30" s="78"/>
    </row>
    <row r="31" spans="2:5" x14ac:dyDescent="0.25">
      <c r="B31" s="76"/>
      <c r="C31" s="76"/>
      <c r="D31" s="76"/>
      <c r="E31" s="78"/>
    </row>
    <row r="32" spans="2:5" x14ac:dyDescent="0.25">
      <c r="B32" s="76"/>
      <c r="C32" s="76"/>
      <c r="D32" s="76"/>
      <c r="E32" s="78"/>
    </row>
    <row r="33" spans="2:5" x14ac:dyDescent="0.25">
      <c r="B33" s="76"/>
      <c r="C33" s="76"/>
      <c r="D33" s="76"/>
      <c r="E33" s="78"/>
    </row>
    <row r="34" spans="2:5" x14ac:dyDescent="0.25">
      <c r="B34" s="76"/>
      <c r="C34" s="76"/>
      <c r="D34" s="76"/>
      <c r="E34" s="78"/>
    </row>
    <row r="35" spans="2:5" x14ac:dyDescent="0.25">
      <c r="B35" s="76"/>
      <c r="C35" s="76"/>
      <c r="D35" s="76"/>
      <c r="E35" s="78"/>
    </row>
    <row r="36" spans="2:5" x14ac:dyDescent="0.25">
      <c r="B36" s="76"/>
      <c r="C36" s="76"/>
      <c r="D36" s="76"/>
      <c r="E36" s="78"/>
    </row>
    <row r="37" spans="2:5" x14ac:dyDescent="0.25">
      <c r="B37" s="76"/>
      <c r="C37" s="76"/>
      <c r="D37" s="76"/>
      <c r="E37" s="78"/>
    </row>
    <row r="100" spans="1:1" x14ac:dyDescent="0.25">
      <c r="A100" s="64" t="s">
        <v>53</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AssessmentTemplate</vt:lpstr>
      <vt:lpstr>Semester2</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2020-03-05T00:53:15Z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