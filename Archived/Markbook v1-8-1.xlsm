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8_{D9CE877B-56F4-4FA7-A709-B91391A5C28B}" xr6:coauthVersionLast="31" xr6:coauthVersionMax="31" xr10:uidLastSave="{00000000-0000-0000-0000-000000000000}"/>
  <bookViews>
    <workbookView xWindow="0" yWindow="0" windowWidth="28800" windowHeight="12225" tabRatio="723" activeTab="3" xr2:uid="{819FE5EB-A8BE-46E7-8C57-623FF87BA6E9}"/>
  </bookViews>
  <sheets>
    <sheet name="ClassInformation" sheetId="3" r:id="rId1"/>
    <sheet name="Semester1" sheetId="4" r:id="rId2"/>
    <sheet name="Semester2" sheetId="17" r:id="rId3"/>
    <sheet name="AssessmentTemplate" sheetId="14"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 i="17" l="1"/>
  <c r="XEH40" i="17" l="1"/>
  <c r="B40" i="17"/>
  <c r="A40" i="17"/>
  <c r="XEH39" i="17"/>
  <c r="B39" i="17"/>
  <c r="A39" i="17"/>
  <c r="XEH38" i="17"/>
  <c r="B38" i="17"/>
  <c r="A38" i="17"/>
  <c r="XEH37" i="17"/>
  <c r="B37" i="17"/>
  <c r="A37" i="17"/>
  <c r="XEH36" i="17"/>
  <c r="B36" i="17"/>
  <c r="A36" i="17"/>
  <c r="XEH35" i="17"/>
  <c r="B35" i="17"/>
  <c r="A35" i="17"/>
  <c r="XEH34" i="17"/>
  <c r="B34" i="17"/>
  <c r="A34" i="17"/>
  <c r="XEH33" i="17"/>
  <c r="B33" i="17"/>
  <c r="A33" i="17"/>
  <c r="XEH32" i="17"/>
  <c r="B32" i="17"/>
  <c r="A32" i="17"/>
  <c r="XEH31" i="17"/>
  <c r="B31" i="17"/>
  <c r="A31" i="17"/>
  <c r="XEH30" i="17"/>
  <c r="B30" i="17"/>
  <c r="A30" i="17"/>
  <c r="XEH29" i="17"/>
  <c r="B29" i="17"/>
  <c r="A29" i="17"/>
  <c r="XEH28" i="17"/>
  <c r="B28" i="17"/>
  <c r="A28" i="17"/>
  <c r="XEH27" i="17"/>
  <c r="B27" i="17"/>
  <c r="A27" i="17"/>
  <c r="XEH26" i="17"/>
  <c r="B26" i="17"/>
  <c r="A26" i="17"/>
  <c r="XEH25" i="17"/>
  <c r="B25" i="17"/>
  <c r="A25" i="17"/>
  <c r="XEH24" i="17"/>
  <c r="B24" i="17"/>
  <c r="A24" i="17"/>
  <c r="XEH23" i="17"/>
  <c r="B23" i="17"/>
  <c r="A23" i="17"/>
  <c r="XEH22" i="17"/>
  <c r="B22" i="17"/>
  <c r="A22" i="17"/>
  <c r="XEH21" i="17"/>
  <c r="B21" i="17"/>
  <c r="A21" i="17"/>
  <c r="XEH20" i="17"/>
  <c r="B20" i="17"/>
  <c r="A20" i="17"/>
  <c r="XEH19" i="17"/>
  <c r="B19" i="17"/>
  <c r="A19" i="17"/>
  <c r="XEH18" i="17"/>
  <c r="B18" i="17"/>
  <c r="A18" i="17"/>
  <c r="XEH17" i="17"/>
  <c r="B17" i="17"/>
  <c r="A17" i="17"/>
  <c r="XEH16" i="17"/>
  <c r="B16" i="17"/>
  <c r="A16" i="17"/>
  <c r="XEH15" i="17"/>
  <c r="B15" i="17"/>
  <c r="A15" i="17"/>
  <c r="XEH14" i="17"/>
  <c r="B14" i="17"/>
  <c r="A14" i="17"/>
  <c r="XEH13" i="17"/>
  <c r="B13" i="17"/>
  <c r="A13" i="17"/>
  <c r="XEH12" i="17"/>
  <c r="B12" i="17"/>
  <c r="A12" i="17"/>
  <c r="XEH11" i="17"/>
  <c r="B11" i="17"/>
  <c r="A11" i="17"/>
  <c r="XEH10" i="17"/>
  <c r="B10" i="17"/>
  <c r="A10" i="17"/>
  <c r="XEH9" i="17"/>
  <c r="B9" i="17"/>
  <c r="A9" i="17"/>
  <c r="XEH8" i="17"/>
  <c r="B8" i="17"/>
  <c r="A8" i="17"/>
  <c r="XEH7" i="17"/>
  <c r="B7" i="17"/>
  <c r="A7" i="17"/>
  <c r="XEH6" i="17"/>
  <c r="B6" i="17"/>
  <c r="A6" i="17"/>
  <c r="XEH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Q25" i="9"/>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XEH6" i="4"/>
  <c r="XEH7" i="4"/>
  <c r="XEH8" i="4"/>
  <c r="XEH9" i="4"/>
  <c r="XEH10" i="4"/>
  <c r="XEH11" i="4"/>
  <c r="XEH12" i="4"/>
  <c r="XEH13" i="4"/>
  <c r="XEH14" i="4"/>
  <c r="XEH15" i="4"/>
  <c r="XEH16" i="4"/>
  <c r="XEH17" i="4"/>
  <c r="XEH18" i="4"/>
  <c r="XEH19" i="4"/>
  <c r="XEH20" i="4"/>
  <c r="XEH21" i="4"/>
  <c r="XEH22" i="4"/>
  <c r="XEH23" i="4"/>
  <c r="XEH24" i="4"/>
  <c r="XEH25" i="4"/>
  <c r="XEH26" i="4"/>
  <c r="XEH27" i="4"/>
  <c r="XEH28" i="4"/>
  <c r="XEH29" i="4"/>
  <c r="XEH30" i="4"/>
  <c r="XEH31" i="4"/>
  <c r="XEH32" i="4"/>
  <c r="XEH33" i="4"/>
  <c r="XEH34" i="4"/>
  <c r="XEH35" i="4"/>
  <c r="XEH36" i="4"/>
  <c r="XEH37" i="4"/>
  <c r="XEH38" i="4"/>
  <c r="XEH39" i="4"/>
  <c r="XEH40" i="4"/>
  <c r="XEH5" i="4"/>
  <c r="A1" i="4"/>
  <c r="B30" i="4"/>
  <c r="P6" i="9" l="1"/>
  <c r="Q6" i="9" s="1"/>
  <c r="R10" i="9"/>
  <c r="Q21" i="9"/>
  <c r="R24" i="9"/>
  <c r="Q34" i="9"/>
  <c r="Q9" i="9"/>
  <c r="Q18" i="9"/>
  <c r="Q38" i="9"/>
  <c r="P7" i="9"/>
  <c r="R26" i="9"/>
  <c r="Q40" i="9"/>
  <c r="O9" i="9"/>
  <c r="R6" i="9"/>
  <c r="Q14" i="9"/>
  <c r="Q17" i="9"/>
  <c r="Q30" i="9"/>
  <c r="Q33" i="9"/>
  <c r="Q36" i="9"/>
  <c r="Q13" i="9"/>
  <c r="R16" i="9"/>
  <c r="Q29" i="9"/>
  <c r="N26" i="9"/>
  <c r="S26" i="9" s="1"/>
  <c r="U26" i="9" s="1"/>
  <c r="N33" i="9"/>
  <c r="N34" i="9"/>
  <c r="S34" i="9" s="1"/>
  <c r="U34" i="9" s="1"/>
  <c r="N9" i="9"/>
  <c r="S9" i="9" s="1"/>
  <c r="U9" i="9" s="1"/>
  <c r="N10" i="9"/>
  <c r="S10" i="9" s="1"/>
  <c r="U10" i="9" s="1"/>
  <c r="N17" i="9"/>
  <c r="N18" i="9"/>
  <c r="N25" i="9"/>
  <c r="N13" i="9"/>
  <c r="N14" i="9"/>
  <c r="S14" i="9" s="1"/>
  <c r="U14" i="9" s="1"/>
  <c r="N29" i="9"/>
  <c r="N30" i="9"/>
  <c r="N6" i="9"/>
  <c r="S6" i="9" s="1"/>
  <c r="U6" i="9" s="1"/>
  <c r="N21" i="9"/>
  <c r="S21" i="9" s="1"/>
  <c r="U21" i="9" s="1"/>
  <c r="N22" i="9"/>
  <c r="S22" i="9" s="1"/>
  <c r="U22" i="9" s="1"/>
  <c r="R12" i="9"/>
  <c r="S17" i="9"/>
  <c r="U17" i="9" s="1"/>
  <c r="R20" i="9"/>
  <c r="S25" i="9"/>
  <c r="U25" i="9" s="1"/>
  <c r="R28" i="9"/>
  <c r="S33" i="9"/>
  <c r="U33" i="9" s="1"/>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O35" i="9"/>
  <c r="N35" i="9"/>
  <c r="O36" i="9"/>
  <c r="N36" i="9"/>
  <c r="S36" i="9" s="1"/>
  <c r="U36" i="9" s="1"/>
  <c r="O37" i="9"/>
  <c r="N37" i="9"/>
  <c r="O38" i="9"/>
  <c r="N38" i="9"/>
  <c r="O39" i="9"/>
  <c r="N39" i="9"/>
  <c r="O40" i="9"/>
  <c r="N40" i="9"/>
  <c r="S40" i="9" s="1"/>
  <c r="U40" i="9" s="1"/>
  <c r="P40"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6" i="14"/>
  <c r="Q3" i="14"/>
  <c r="P5" i="14" s="1"/>
  <c r="Q5" i="14" s="1"/>
  <c r="R5" i="14" s="1"/>
  <c r="M40"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5" i="14"/>
  <c r="N5" i="14" s="1"/>
  <c r="N3" i="14"/>
  <c r="P4" i="14"/>
  <c r="M4" i="14"/>
  <c r="P3" i="14"/>
  <c r="M3" i="14"/>
  <c r="S19" i="9" l="1"/>
  <c r="U19" i="9" s="1"/>
  <c r="S38" i="9"/>
  <c r="U38" i="9" s="1"/>
  <c r="S30" i="9"/>
  <c r="U30" i="9" s="1"/>
  <c r="O7" i="9"/>
  <c r="S35" i="9"/>
  <c r="U35" i="9" s="1"/>
  <c r="S11" i="9"/>
  <c r="U11" i="9" s="1"/>
  <c r="S29" i="9"/>
  <c r="U29" i="9" s="1"/>
  <c r="S13" i="9"/>
  <c r="U13" i="9" s="1"/>
  <c r="O6" i="9"/>
  <c r="S39" i="9"/>
  <c r="U39" i="9" s="1"/>
  <c r="S37" i="9"/>
  <c r="U37" i="9" s="1"/>
  <c r="S27" i="9"/>
  <c r="U27" i="9" s="1"/>
  <c r="Q16" i="14"/>
  <c r="R16" i="14" s="1"/>
  <c r="Q28" i="14"/>
  <c r="R28" i="14" s="1"/>
  <c r="Q32" i="14"/>
  <c r="R32" i="14" s="1"/>
  <c r="Q36" i="14"/>
  <c r="R36" i="14" s="1"/>
  <c r="Q7" i="14"/>
  <c r="R7" i="14" s="1"/>
  <c r="Q11" i="14"/>
  <c r="R11" i="14" s="1"/>
  <c r="Q15" i="14"/>
  <c r="R15" i="14" s="1"/>
  <c r="Q23" i="14"/>
  <c r="R23" i="14" s="1"/>
  <c r="Q27" i="14"/>
  <c r="R27" i="14" s="1"/>
  <c r="Q31" i="14"/>
  <c r="R31" i="14" s="1"/>
  <c r="Q39" i="14"/>
  <c r="R39" i="14" s="1"/>
  <c r="Q12" i="14"/>
  <c r="Q20" i="14"/>
  <c r="R20" i="14" s="1"/>
  <c r="Q19" i="14"/>
  <c r="R19" i="14" s="1"/>
  <c r="Q35" i="14"/>
  <c r="R35" i="14" s="1"/>
  <c r="Q8" i="14"/>
  <c r="R8" i="14" s="1"/>
  <c r="S5" i="14"/>
  <c r="U5" i="14" s="1"/>
  <c r="O5" i="14"/>
  <c r="Q6" i="14"/>
  <c r="R6" i="14" s="1"/>
  <c r="Q10" i="14"/>
  <c r="R10" i="14" s="1"/>
  <c r="Q14" i="14"/>
  <c r="R14" i="14" s="1"/>
  <c r="Q18" i="14"/>
  <c r="R18" i="14"/>
  <c r="Q22" i="14"/>
  <c r="R22" i="14" s="1"/>
  <c r="Q26" i="14"/>
  <c r="R26" i="14" s="1"/>
  <c r="Q30" i="14"/>
  <c r="R30" i="14" s="1"/>
  <c r="Q34" i="14"/>
  <c r="R34" i="14" s="1"/>
  <c r="Q38" i="14"/>
  <c r="R38" i="14" s="1"/>
  <c r="Q24" i="14"/>
  <c r="R24" i="14"/>
  <c r="Q9" i="14"/>
  <c r="R9" i="14" s="1"/>
  <c r="Q13" i="14"/>
  <c r="R13" i="14" s="1"/>
  <c r="Q17" i="14"/>
  <c r="R17" i="14" s="1"/>
  <c r="Q21" i="14"/>
  <c r="R21" i="14" s="1"/>
  <c r="Q25" i="14"/>
  <c r="R25" i="14" s="1"/>
  <c r="Q29" i="14"/>
  <c r="R29" i="14" s="1"/>
  <c r="Q33" i="14"/>
  <c r="R33" i="14" s="1"/>
  <c r="Q37" i="14"/>
  <c r="R37" i="14" s="1"/>
  <c r="Q40" i="14"/>
  <c r="R40" i="14" s="1"/>
  <c r="N6" i="14"/>
  <c r="N7" i="14"/>
  <c r="O7" i="14" s="1"/>
  <c r="N8" i="14"/>
  <c r="O8" i="14" s="1"/>
  <c r="N9" i="14"/>
  <c r="O9" i="14" s="1"/>
  <c r="N10" i="14"/>
  <c r="N11" i="14"/>
  <c r="N12" i="14"/>
  <c r="O12" i="14" s="1"/>
  <c r="N13" i="14"/>
  <c r="N14" i="14"/>
  <c r="N15" i="14"/>
  <c r="N16" i="14"/>
  <c r="N17" i="14"/>
  <c r="O17" i="14" s="1"/>
  <c r="N18" i="14"/>
  <c r="O18" i="14" s="1"/>
  <c r="N19" i="14"/>
  <c r="O19" i="14" s="1"/>
  <c r="N20" i="14"/>
  <c r="N21" i="14"/>
  <c r="N22" i="14"/>
  <c r="S22" i="14" s="1"/>
  <c r="U22" i="14" s="1"/>
  <c r="N23" i="14"/>
  <c r="N24" i="14"/>
  <c r="O24" i="14" s="1"/>
  <c r="N25" i="14"/>
  <c r="O25" i="14" s="1"/>
  <c r="N26" i="14"/>
  <c r="N27" i="14"/>
  <c r="N28" i="14"/>
  <c r="N29" i="14"/>
  <c r="N30" i="14"/>
  <c r="N31" i="14"/>
  <c r="O31" i="14" s="1"/>
  <c r="N32" i="14"/>
  <c r="N33" i="14"/>
  <c r="O33" i="14" s="1"/>
  <c r="N34" i="14"/>
  <c r="N35" i="14"/>
  <c r="O35" i="14" s="1"/>
  <c r="N36" i="14"/>
  <c r="N37" i="14"/>
  <c r="N38" i="14"/>
  <c r="S38" i="14" s="1"/>
  <c r="U38" i="14" s="1"/>
  <c r="N39" i="14"/>
  <c r="O39" i="14" s="1"/>
  <c r="N40" i="14"/>
  <c r="S14" i="14" l="1"/>
  <c r="U14" i="14" s="1"/>
  <c r="R12" i="14"/>
  <c r="S28" i="14"/>
  <c r="U28" i="14" s="1"/>
  <c r="S32" i="14"/>
  <c r="U32" i="14" s="1"/>
  <c r="S27" i="14"/>
  <c r="U27" i="14" s="1"/>
  <c r="S34" i="14"/>
  <c r="U34" i="14" s="1"/>
  <c r="S26" i="14"/>
  <c r="U26" i="14" s="1"/>
  <c r="S10" i="14"/>
  <c r="U10" i="14" s="1"/>
  <c r="S30" i="14"/>
  <c r="U30" i="14" s="1"/>
  <c r="S6" i="14"/>
  <c r="U6" i="14" s="1"/>
  <c r="S23" i="14"/>
  <c r="U23" i="14" s="1"/>
  <c r="S15" i="14"/>
  <c r="U15" i="14" s="1"/>
  <c r="S11" i="14"/>
  <c r="U11" i="14" s="1"/>
  <c r="O27" i="14"/>
  <c r="O11" i="14"/>
  <c r="O23" i="14"/>
  <c r="S40" i="14"/>
  <c r="U40" i="14" s="1"/>
  <c r="S36" i="14"/>
  <c r="U36" i="14" s="1"/>
  <c r="S20" i="14"/>
  <c r="U20" i="14" s="1"/>
  <c r="S16" i="14"/>
  <c r="U16" i="14" s="1"/>
  <c r="O15" i="14"/>
  <c r="S39" i="14"/>
  <c r="U39" i="14" s="1"/>
  <c r="S35" i="14"/>
  <c r="U35" i="14" s="1"/>
  <c r="S31" i="14"/>
  <c r="U31" i="14" s="1"/>
  <c r="S19" i="14"/>
  <c r="U19" i="14" s="1"/>
  <c r="S7" i="14"/>
  <c r="U7" i="14" s="1"/>
  <c r="O32" i="14"/>
  <c r="O16" i="14"/>
  <c r="O34" i="14"/>
  <c r="O28" i="14"/>
  <c r="O30" i="14"/>
  <c r="O14" i="14"/>
  <c r="S37" i="14"/>
  <c r="U37" i="14" s="1"/>
  <c r="S33" i="14"/>
  <c r="U33" i="14" s="1"/>
  <c r="S29" i="14"/>
  <c r="U29" i="14" s="1"/>
  <c r="S25" i="14"/>
  <c r="U25" i="14" s="1"/>
  <c r="S21" i="14"/>
  <c r="U21" i="14" s="1"/>
  <c r="S17" i="14"/>
  <c r="U17" i="14" s="1"/>
  <c r="S13" i="14"/>
  <c r="U13" i="14" s="1"/>
  <c r="S9" i="14"/>
  <c r="U9" i="14" s="1"/>
  <c r="O37" i="14"/>
  <c r="O29" i="14"/>
  <c r="O21" i="14"/>
  <c r="O13" i="14"/>
  <c r="O38" i="14"/>
  <c r="O26" i="14"/>
  <c r="O10" i="14"/>
  <c r="O36" i="14"/>
  <c r="O20" i="14"/>
  <c r="O40" i="14"/>
  <c r="O22" i="14"/>
  <c r="O6" i="14"/>
  <c r="S18" i="14"/>
  <c r="U18" i="14" s="1"/>
  <c r="S24" i="14"/>
  <c r="U24" i="14" s="1"/>
  <c r="S12" i="14"/>
  <c r="U12" i="14" s="1"/>
  <c r="S8" i="14"/>
  <c r="U8" i="14" s="1"/>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<sst xmlns="http://schemas.openxmlformats.org/spreadsheetml/2006/main" count="226" uniqueCount="90">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</sst>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4">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topLeftCell="A19" zoomScaleNormal="100" workbookViewId="0">
      <selection activeCell="C24" sqref="C24"/>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7"/>
      <c r="C2" s="128"/>
      <c r="D2" s="128"/>
      <c r="E2" s="128"/>
      <c r="F2" s="129"/>
      <c r="H2" s="132"/>
      <c r="I2" s="132"/>
      <c r="J2" s="132"/>
      <c r="K2" s="132"/>
    </row>
    <row r="3" spans="2:11" ht="20.25" customHeight="1" thickBot="1" x14ac:dyDescent="0.35">
      <c r="B3" s="10"/>
      <c r="C3" s="142" t="s">
        <v>26</v>
      </c>
      <c r="D3" s="142"/>
      <c r="E3" s="142"/>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6" t="s">
        <v>66</v>
      </c>
      <c r="E5" s="137"/>
      <c r="F5" s="11"/>
      <c r="H5" s="26"/>
      <c r="I5" s="26"/>
      <c r="J5" s="26"/>
      <c r="K5" s="26"/>
    </row>
    <row r="6" spans="2:11" x14ac:dyDescent="0.25">
      <c r="B6" s="10"/>
      <c r="C6" s="14" t="s">
        <v>29</v>
      </c>
      <c r="D6" s="138">
        <v>2020</v>
      </c>
      <c r="E6" s="139"/>
      <c r="F6" s="11"/>
      <c r="H6" s="26"/>
      <c r="I6" s="26"/>
      <c r="J6" s="26"/>
      <c r="K6" s="26"/>
    </row>
    <row r="7" spans="2:11" x14ac:dyDescent="0.25">
      <c r="B7" s="10"/>
      <c r="C7" s="14" t="s">
        <v>25</v>
      </c>
      <c r="D7" s="140" t="s">
        <v>67</v>
      </c>
      <c r="E7" s="141"/>
      <c r="F7" s="11"/>
      <c r="H7" s="26"/>
      <c r="I7" s="26"/>
      <c r="J7" s="26"/>
      <c r="K7" s="26"/>
    </row>
    <row r="8" spans="2:11" x14ac:dyDescent="0.25">
      <c r="B8" s="10"/>
      <c r="C8" s="133" t="s">
        <v>22</v>
      </c>
      <c r="D8" s="134"/>
      <c r="E8" s="135"/>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31"/>
      <c r="J25" s="131"/>
      <c r="K25" s="131"/>
    </row>
    <row r="26" spans="2:11" x14ac:dyDescent="0.25">
      <c r="B26" s="10"/>
      <c r="C26" s="69"/>
      <c r="D26" s="70"/>
      <c r="E26" s="69"/>
      <c r="F26" s="11"/>
      <c r="H26" s="50"/>
      <c r="I26" s="132"/>
      <c r="J26" s="132"/>
      <c r="K26" s="132"/>
    </row>
    <row r="27" spans="2:11" ht="15" customHeight="1" x14ac:dyDescent="0.25">
      <c r="B27" s="10"/>
      <c r="C27" s="69"/>
      <c r="D27" s="70"/>
      <c r="E27" s="69"/>
      <c r="F27" s="11"/>
      <c r="H27" s="130"/>
      <c r="I27" s="48"/>
      <c r="J27" s="48"/>
      <c r="K27" s="48"/>
    </row>
    <row r="28" spans="2:11" x14ac:dyDescent="0.25">
      <c r="B28" s="10"/>
      <c r="C28" s="69"/>
      <c r="D28" s="70"/>
      <c r="E28" s="69"/>
      <c r="F28" s="11"/>
      <c r="H28" s="130"/>
      <c r="I28" s="48"/>
      <c r="J28" s="48"/>
      <c r="K28" s="48"/>
    </row>
    <row r="29" spans="2:11" x14ac:dyDescent="0.25">
      <c r="B29" s="10"/>
      <c r="C29" s="69"/>
      <c r="D29" s="70"/>
      <c r="E29" s="69"/>
      <c r="F29" s="11"/>
      <c r="H29" s="130"/>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3" t="s">
        <v>35</v>
      </c>
      <c r="J33" s="144"/>
      <c r="K33" s="145"/>
    </row>
    <row r="34" spans="2:11" ht="15.75" customHeight="1" x14ac:dyDescent="0.25">
      <c r="B34" s="10"/>
      <c r="C34" s="69"/>
      <c r="D34" s="70"/>
      <c r="E34" s="69"/>
      <c r="F34" s="11"/>
      <c r="H34" s="20" t="s">
        <v>28</v>
      </c>
      <c r="I34" s="146" t="s">
        <v>37</v>
      </c>
      <c r="J34" s="147"/>
      <c r="K34" s="148"/>
    </row>
    <row r="35" spans="2:11" x14ac:dyDescent="0.25">
      <c r="B35" s="10"/>
      <c r="C35" s="69"/>
      <c r="D35" s="52"/>
      <c r="E35" s="29"/>
      <c r="F35" s="11"/>
      <c r="H35" s="115" t="s">
        <v>36</v>
      </c>
      <c r="I35" s="118" t="s">
        <v>38</v>
      </c>
      <c r="J35" s="119"/>
      <c r="K35" s="120"/>
    </row>
    <row r="36" spans="2:11" x14ac:dyDescent="0.25">
      <c r="B36" s="10"/>
      <c r="C36" s="69"/>
      <c r="D36" s="30"/>
      <c r="E36" s="29"/>
      <c r="F36" s="11"/>
      <c r="H36" s="116"/>
      <c r="I36" s="121"/>
      <c r="J36" s="122"/>
      <c r="K36" s="123"/>
    </row>
    <row r="37" spans="2:11" x14ac:dyDescent="0.25">
      <c r="B37" s="10"/>
      <c r="C37" s="69"/>
      <c r="D37" s="53"/>
      <c r="E37" s="29"/>
      <c r="F37" s="11"/>
      <c r="H37" s="117"/>
      <c r="I37" s="124"/>
      <c r="J37" s="125"/>
      <c r="K37" s="126"/>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activeCell="A25" sqref="A25"/>
    </sheetView>
  </sheetViews>
  <sheetFormatPr defaultColWidth="0" defaultRowHeight="15" x14ac:dyDescent="0.25"/>
  <cols>
    <col min="1" max="2" width="15.7109375" style="61" customWidth="1"/>
    <col min="3" max="24" width="9.140625" style="62" hidden="1"/>
    <col min="25" max="16318" width="0" style="62" hidden="1"/>
    <col min="16319" max="16384" width="9.140625" style="62" hidden="1"/>
  </cols>
  <sheetData>
    <row r="1" spans="1:2 16362:16362" s="60" customFormat="1" x14ac:dyDescent="0.25">
      <c r="A1" s="149" t="str">
        <f>_xlfn.CONCAT("Year ",ClassInformation!D4,ClassInformation!E4," ",ClassInformation!D5," - ","Semester 1 ",ClassInformation!D6)</f>
        <v>Year 7A [Subject] - Semester 1 2020</v>
      </c>
      <c r="B1" s="150"/>
    </row>
    <row r="2" spans="1:2 16362:16362" s="60" customFormat="1" x14ac:dyDescent="0.25">
      <c r="A2" s="149"/>
      <c r="B2" s="150"/>
    </row>
    <row r="3" spans="1:2 16362:16362" s="60" customFormat="1" x14ac:dyDescent="0.25">
      <c r="A3" s="151" t="s">
        <v>21</v>
      </c>
      <c r="B3" s="152"/>
    </row>
    <row r="4" spans="1:2 16362:16362" s="60" customFormat="1" ht="15.75" thickBot="1" x14ac:dyDescent="0.3">
      <c r="A4" s="107" t="str">
        <f>ClassInformation!C9</f>
        <v>Last Name</v>
      </c>
      <c r="B4" s="57" t="str">
        <f>ClassInformation!D9</f>
        <v>First Name</v>
      </c>
    </row>
    <row r="5" spans="1:2 16362:16362" s="28" customFormat="1" x14ac:dyDescent="0.25">
      <c r="A5" s="112"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164:16362" s="28" customFormat="1" x14ac:dyDescent="0.25">
      <c r="A33" s="58" t="str">
        <f>IF(ISBLANK(ClassInformation!C38),"ZZZZZ",ClassInformation!C38)</f>
        <v>ZZZZZ</v>
      </c>
      <c r="B33" s="59" t="str">
        <f>IF(ISBLANK(ClassInformation!D38),"ZZZZZ",ClassInformation!D38)</f>
        <v>ZZZZZ</v>
      </c>
      <c r="XEH33" s="28">
        <f>ClassInformation!E38</f>
        <v>0</v>
      </c>
    </row>
    <row r="34" spans="1:2 16164:16362" s="28" customFormat="1" x14ac:dyDescent="0.25">
      <c r="A34" s="58" t="str">
        <f>IF(ISBLANK(ClassInformation!C39),"ZZZZZ",ClassInformation!C39)</f>
        <v>ZZZZZ</v>
      </c>
      <c r="B34" s="59" t="str">
        <f>IF(ISBLANK(ClassInformation!D39),"ZZZZZ",ClassInformation!D39)</f>
        <v>ZZZZZ</v>
      </c>
      <c r="XEH34" s="28">
        <f>ClassInformation!E39</f>
        <v>0</v>
      </c>
    </row>
    <row r="35" spans="1:2 16164:16362" s="28" customFormat="1" x14ac:dyDescent="0.25">
      <c r="A35" s="58" t="str">
        <f>IF(ISBLANK(ClassInformation!C40),"ZZZZZ",ClassInformation!C40)</f>
        <v>ZZZZZ</v>
      </c>
      <c r="B35" s="59" t="str">
        <f>IF(ISBLANK(ClassInformation!D40),"ZZZZZ",ClassInformation!D40)</f>
        <v>ZZZZZ</v>
      </c>
      <c r="XEH35" s="28">
        <f>ClassInformation!E40</f>
        <v>0</v>
      </c>
    </row>
    <row r="36" spans="1:2 16164:16362" s="28" customFormat="1" x14ac:dyDescent="0.25">
      <c r="A36" s="58" t="str">
        <f>IF(ISBLANK(ClassInformation!C41),"ZZZZZ",ClassInformation!C41)</f>
        <v>ZZZZZ</v>
      </c>
      <c r="B36" s="59" t="str">
        <f>IF(ISBLANK(ClassInformation!D41),"ZZZZZ",ClassInformation!D41)</f>
        <v>ZZZZZ</v>
      </c>
      <c r="XEH36" s="28">
        <f>ClassInformation!E41</f>
        <v>0</v>
      </c>
    </row>
    <row r="37" spans="1:2 16164:16362" s="28" customFormat="1" x14ac:dyDescent="0.25">
      <c r="A37" s="58" t="str">
        <f>IF(ISBLANK(ClassInformation!C42),"ZZZZZ",ClassInformation!C42)</f>
        <v>ZZZZZ</v>
      </c>
      <c r="B37" s="59" t="str">
        <f>IF(ISBLANK(ClassInformation!D42),"ZZZZZ",ClassInformation!D42)</f>
        <v>ZZZZZ</v>
      </c>
      <c r="XEH37" s="28">
        <f>ClassInformation!E42</f>
        <v>0</v>
      </c>
    </row>
    <row r="38" spans="1:2 16164:16362" s="28" customFormat="1" x14ac:dyDescent="0.25">
      <c r="A38" s="58" t="str">
        <f>IF(ISBLANK(ClassInformation!C43),"ZZZZZ",ClassInformation!C43)</f>
        <v>ZZZZZ</v>
      </c>
      <c r="B38" s="59" t="str">
        <f>IF(ISBLANK(ClassInformation!D43),"ZZZZZ",ClassInformation!D43)</f>
        <v>ZZZZZ</v>
      </c>
      <c r="XEH38" s="28">
        <f>ClassInformation!E43</f>
        <v>0</v>
      </c>
    </row>
    <row r="39" spans="1:2 16164:16362" s="28" customFormat="1" x14ac:dyDescent="0.25">
      <c r="A39" s="58" t="str">
        <f>IF(ISBLANK(ClassInformation!C44),"ZZZZZ",ClassInformation!C44)</f>
        <v>ZZZZZ</v>
      </c>
      <c r="B39" s="59" t="str">
        <f>IF(ISBLANK(ClassInformation!D44),"ZZZZZ",ClassInformation!D44)</f>
        <v>ZZZZZ</v>
      </c>
      <c r="XEH39" s="28">
        <f>ClassInformation!E44</f>
        <v>0</v>
      </c>
    </row>
    <row r="40" spans="1:2 16164:16362" s="28" customFormat="1" ht="15.75" thickBot="1" x14ac:dyDescent="0.3">
      <c r="A40" s="105" t="str">
        <f>IF(ISBLANK(ClassInformation!C45),"ZZZZZ",ClassInformation!C45)</f>
        <v>ZZZZZ</v>
      </c>
      <c r="B40" s="106" t="str">
        <f>IF(ISBLANK(ClassInformation!D45),"ZZZZZ",ClassInformation!D45)</f>
        <v>ZZZZZ</v>
      </c>
      <c r="XEH40" s="28">
        <f>ClassInformation!E45</f>
        <v>0</v>
      </c>
    </row>
    <row r="41" spans="1:2 16164:16362" x14ac:dyDescent="0.25">
      <c r="WWR41" s="28"/>
    </row>
    <row r="46" spans="1:2 16164:16362" x14ac:dyDescent="0.25">
      <c r="A46" s="28"/>
    </row>
    <row r="47" spans="1:2 16164:16362" x14ac:dyDescent="0.25">
      <c r="A47" s="28"/>
    </row>
    <row r="48" spans="1:2 16164:1636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XEH40">
    <sortCondition ref="A5"/>
  </sortState>
  <mergeCells count="2">
    <mergeCell ref="A1:B2"/>
    <mergeCell ref="A3:B3"/>
  </mergeCells>
  <conditionalFormatting sqref="A5:B40">
    <cfRule type="expression" dxfId="13" priority="957">
      <formula>$XEH5="N"</formula>
    </cfRule>
    <cfRule type="expression" dxfId="12" priority="958">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activeCell="B21" sqref="B21"/>
    </sheetView>
  </sheetViews>
  <sheetFormatPr defaultColWidth="0" defaultRowHeight="15" customHeight="1" x14ac:dyDescent="0.25"/>
  <cols>
    <col min="1" max="2" width="15.7109375" style="61" customWidth="1"/>
    <col min="3" max="24" width="9.140625" style="62" hidden="1"/>
    <col min="25" max="16318" width="0" style="62" hidden="1"/>
    <col min="16319" max="16384" width="9.140625" style="62" hidden="1"/>
  </cols>
  <sheetData>
    <row r="1" spans="1:2 16362:16362" s="60" customFormat="1" x14ac:dyDescent="0.25">
      <c r="A1" s="149" t="str">
        <f>_xlfn.CONCAT("Year ",ClassInformation!D4,ClassInformation!E4," ",ClassInformation!D5," - ","Semester 2 ",ClassInformation!D6)</f>
        <v>Year 7A [Subject] - Semester 2 2020</v>
      </c>
      <c r="B1" s="150"/>
    </row>
    <row r="2" spans="1:2 16362:16362" s="60" customFormat="1" x14ac:dyDescent="0.25">
      <c r="A2" s="149"/>
      <c r="B2" s="150"/>
    </row>
    <row r="3" spans="1:2 16362:16362" s="60" customFormat="1" x14ac:dyDescent="0.25">
      <c r="A3" s="151" t="s">
        <v>21</v>
      </c>
      <c r="B3" s="152"/>
    </row>
    <row r="4" spans="1:2 16362:16362" s="60" customFormat="1" ht="15.75" thickBot="1" x14ac:dyDescent="0.3">
      <c r="A4" s="107" t="str">
        <f>ClassInformation!C9</f>
        <v>Last Name</v>
      </c>
      <c r="B4" s="57" t="str">
        <f>ClassInformation!D9</f>
        <v>First Name</v>
      </c>
    </row>
    <row r="5" spans="1:2 16362:16362" s="28" customFormat="1" x14ac:dyDescent="0.25">
      <c r="A5" s="112"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164:16362" s="28" customFormat="1" x14ac:dyDescent="0.25">
      <c r="A33" s="58" t="str">
        <f>IF(ISBLANK(ClassInformation!C38),"ZZZZZ",ClassInformation!C38)</f>
        <v>ZZZZZ</v>
      </c>
      <c r="B33" s="59" t="str">
        <f>IF(ISBLANK(ClassInformation!D38),"ZZZZZ",ClassInformation!D38)</f>
        <v>ZZZZZ</v>
      </c>
      <c r="XEH33" s="28">
        <f>ClassInformation!E38</f>
        <v>0</v>
      </c>
    </row>
    <row r="34" spans="1:2 16164:16362" s="28" customFormat="1" x14ac:dyDescent="0.25">
      <c r="A34" s="58" t="str">
        <f>IF(ISBLANK(ClassInformation!C39),"ZZZZZ",ClassInformation!C39)</f>
        <v>ZZZZZ</v>
      </c>
      <c r="B34" s="59" t="str">
        <f>IF(ISBLANK(ClassInformation!D39),"ZZZZZ",ClassInformation!D39)</f>
        <v>ZZZZZ</v>
      </c>
      <c r="XEH34" s="28">
        <f>ClassInformation!E39</f>
        <v>0</v>
      </c>
    </row>
    <row r="35" spans="1:2 16164:16362" s="28" customFormat="1" x14ac:dyDescent="0.25">
      <c r="A35" s="58" t="str">
        <f>IF(ISBLANK(ClassInformation!C40),"ZZZZZ",ClassInformation!C40)</f>
        <v>ZZZZZ</v>
      </c>
      <c r="B35" s="59" t="str">
        <f>IF(ISBLANK(ClassInformation!D40),"ZZZZZ",ClassInformation!D40)</f>
        <v>ZZZZZ</v>
      </c>
      <c r="XEH35" s="28">
        <f>ClassInformation!E40</f>
        <v>0</v>
      </c>
    </row>
    <row r="36" spans="1:2 16164:16362" s="28" customFormat="1" x14ac:dyDescent="0.25">
      <c r="A36" s="58" t="str">
        <f>IF(ISBLANK(ClassInformation!C41),"ZZZZZ",ClassInformation!C41)</f>
        <v>ZZZZZ</v>
      </c>
      <c r="B36" s="59" t="str">
        <f>IF(ISBLANK(ClassInformation!D41),"ZZZZZ",ClassInformation!D41)</f>
        <v>ZZZZZ</v>
      </c>
      <c r="XEH36" s="28">
        <f>ClassInformation!E41</f>
        <v>0</v>
      </c>
    </row>
    <row r="37" spans="1:2 16164:16362" s="28" customFormat="1" x14ac:dyDescent="0.25">
      <c r="A37" s="58" t="str">
        <f>IF(ISBLANK(ClassInformation!C42),"ZZZZZ",ClassInformation!C42)</f>
        <v>ZZZZZ</v>
      </c>
      <c r="B37" s="59" t="str">
        <f>IF(ISBLANK(ClassInformation!D42),"ZZZZZ",ClassInformation!D42)</f>
        <v>ZZZZZ</v>
      </c>
      <c r="XEH37" s="28">
        <f>ClassInformation!E42</f>
        <v>0</v>
      </c>
    </row>
    <row r="38" spans="1:2 16164:16362" s="28" customFormat="1" x14ac:dyDescent="0.25">
      <c r="A38" s="58" t="str">
        <f>IF(ISBLANK(ClassInformation!C43),"ZZZZZ",ClassInformation!C43)</f>
        <v>ZZZZZ</v>
      </c>
      <c r="B38" s="59" t="str">
        <f>IF(ISBLANK(ClassInformation!D43),"ZZZZZ",ClassInformation!D43)</f>
        <v>ZZZZZ</v>
      </c>
      <c r="XEH38" s="28">
        <f>ClassInformation!E43</f>
        <v>0</v>
      </c>
    </row>
    <row r="39" spans="1:2 16164:16362" s="28" customFormat="1" x14ac:dyDescent="0.25">
      <c r="A39" s="58" t="str">
        <f>IF(ISBLANK(ClassInformation!C44),"ZZZZZ",ClassInformation!C44)</f>
        <v>ZZZZZ</v>
      </c>
      <c r="B39" s="59" t="str">
        <f>IF(ISBLANK(ClassInformation!D44),"ZZZZZ",ClassInformation!D44)</f>
        <v>ZZZZZ</v>
      </c>
      <c r="XEH39" s="28">
        <f>ClassInformation!E44</f>
        <v>0</v>
      </c>
    </row>
    <row r="40" spans="1:2 16164:16362" s="28" customFormat="1" ht="15.75" thickBot="1" x14ac:dyDescent="0.3">
      <c r="A40" s="105" t="str">
        <f>IF(ISBLANK(ClassInformation!C45),"ZZZZZ",ClassInformation!C45)</f>
        <v>ZZZZZ</v>
      </c>
      <c r="B40" s="106" t="str">
        <f>IF(ISBLANK(ClassInformation!D45),"ZZZZZ",ClassInformation!D45)</f>
        <v>ZZZZZ</v>
      </c>
      <c r="XEH40" s="28">
        <f>ClassInformation!E45</f>
        <v>0</v>
      </c>
    </row>
    <row r="41" spans="1:2 16164:16362" x14ac:dyDescent="0.25">
      <c r="WWR41" s="28"/>
    </row>
    <row r="46" spans="1:2 16164:16362" x14ac:dyDescent="0.25">
      <c r="A46" s="28"/>
    </row>
    <row r="47" spans="1:2 16164:16362" x14ac:dyDescent="0.25">
      <c r="A47" s="28"/>
    </row>
    <row r="48" spans="1:2 16164:1636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1" priority="959">
      <formula>$XEH5="N"</formula>
    </cfRule>
    <cfRule type="expression" dxfId="10" priority="96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0"/>
  <sheetViews>
    <sheetView tabSelected="1" zoomScale="85" zoomScaleNormal="85" workbookViewId="0">
      <selection activeCell="M5" sqref="M5"/>
    </sheetView>
  </sheetViews>
  <sheetFormatPr defaultColWidth="9.140625"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59"/>
      <c r="C1" s="159"/>
      <c r="D1" s="159"/>
      <c r="E1" s="159"/>
      <c r="F1" s="159"/>
      <c r="G1" s="159"/>
      <c r="H1" s="159"/>
      <c r="I1" s="159"/>
      <c r="J1" s="159"/>
      <c r="K1" s="159"/>
      <c r="L1" s="159"/>
      <c r="M1" s="159"/>
      <c r="N1" s="159"/>
      <c r="O1" s="159"/>
      <c r="P1" s="159"/>
      <c r="Q1" s="159"/>
      <c r="R1" s="159"/>
      <c r="S1" s="159"/>
      <c r="T1" s="159"/>
      <c r="U1" s="159"/>
      <c r="V1" s="160"/>
      <c r="W1" s="63"/>
      <c r="X1" s="63"/>
      <c r="Y1" s="63"/>
      <c r="Z1" s="63"/>
      <c r="AA1" s="63"/>
    </row>
    <row r="2" spans="1:27"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c r="X2" s="64"/>
      <c r="Y2" s="64"/>
      <c r="Z2" s="64"/>
      <c r="AA2" s="64"/>
    </row>
    <row r="3" spans="1:27" x14ac:dyDescent="0.25">
      <c r="A3" s="99" t="s">
        <v>74</v>
      </c>
      <c r="B3" s="99" t="s">
        <v>73</v>
      </c>
      <c r="C3" s="99" t="s">
        <v>73</v>
      </c>
      <c r="D3" s="99" t="s">
        <v>73</v>
      </c>
      <c r="E3" s="99" t="s">
        <v>73</v>
      </c>
      <c r="F3" s="99" t="s">
        <v>73</v>
      </c>
      <c r="G3" s="99" t="s">
        <v>73</v>
      </c>
      <c r="H3" s="99" t="s">
        <v>73</v>
      </c>
      <c r="I3" s="99" t="s">
        <v>73</v>
      </c>
      <c r="J3" s="99" t="s">
        <v>73</v>
      </c>
      <c r="K3" s="99" t="s">
        <v>73</v>
      </c>
      <c r="L3" s="99" t="s">
        <v>73</v>
      </c>
      <c r="M3" s="98" t="str">
        <f>_xlfn.TEXTJOIN(" ",TRUE,"Max",A2,":")</f>
        <v>Max UD :</v>
      </c>
      <c r="N3" s="153">
        <f>IF(OR(A4="-",B4="-",C4="-",D4="-",E4="-"),"-",SUM(A4,B4,C4,D4,E4))</f>
        <v>0</v>
      </c>
      <c r="O3" s="154"/>
      <c r="P3" s="98" t="str">
        <f>_xlfn.TEXTJOIN(" ",TRUE,"Max",F2,":")</f>
        <v>Max SD :</v>
      </c>
      <c r="Q3" s="155">
        <f>IF(OR(F4="-",G4="-",H4="-",I4="-",J4="-"),"-",SUM(F4,G4,H4,I4,J4))</f>
        <v>0</v>
      </c>
      <c r="R3" s="156"/>
      <c r="S3" s="75"/>
      <c r="T3" s="75"/>
      <c r="U3" s="75"/>
      <c r="V3" s="74" t="s">
        <v>18</v>
      </c>
    </row>
    <row r="4" spans="1:27" x14ac:dyDescent="0.25">
      <c r="A4" s="113"/>
      <c r="B4" s="114"/>
      <c r="C4" s="114"/>
      <c r="D4" s="114"/>
      <c r="E4" s="114"/>
      <c r="F4" s="114"/>
      <c r="G4" s="114"/>
      <c r="H4" s="114"/>
      <c r="I4" s="114"/>
      <c r="J4" s="114"/>
      <c r="K4" s="114"/>
      <c r="L4" s="114"/>
      <c r="M4" s="82" t="str">
        <f>_xlfn.TEXTJOIN(" ",TRUE,M2,A2)</f>
        <v>Overall UD</v>
      </c>
      <c r="N4" s="100" t="s">
        <v>87</v>
      </c>
      <c r="O4" s="101" t="s">
        <v>1</v>
      </c>
      <c r="P4" s="76" t="str">
        <f>_xlfn.TEXTJOIN(" ",TRUE,M2,F2)</f>
        <v>Overall SD</v>
      </c>
      <c r="Q4" s="102" t="s">
        <v>87</v>
      </c>
      <c r="R4" s="103" t="s">
        <v>1</v>
      </c>
      <c r="S4" s="77" t="s">
        <v>49</v>
      </c>
      <c r="T4" s="77" t="s">
        <v>50</v>
      </c>
      <c r="U4" s="77" t="s">
        <v>72</v>
      </c>
      <c r="V4" s="74" t="s">
        <v>18</v>
      </c>
    </row>
    <row r="5" spans="1:27" x14ac:dyDescent="0.25">
      <c r="A5" s="68"/>
      <c r="B5" s="68"/>
      <c r="C5" s="68"/>
      <c r="D5" s="68"/>
      <c r="E5" s="68"/>
      <c r="F5" s="79"/>
      <c r="G5" s="68"/>
      <c r="H5" s="68"/>
      <c r="I5" s="68"/>
      <c r="J5" s="68"/>
      <c r="K5" s="79"/>
      <c r="L5" s="68"/>
      <c r="M5" s="108" t="str">
        <f t="shared" ref="M5:M40" si="0">IF(COUNTIF(A5:E5,"*-*")&gt;0,"-",IF(COUNTBLANK(A5:E5)=5,"",IF(N$3="-","-",SUM(A5:E5))))</f>
        <v/>
      </c>
      <c r="N5" s="94" t="str">
        <f>IF(M5="","",IF(M5="-","-",M5/N$3))</f>
        <v/>
      </c>
      <c r="O5" s="83" t="str">
        <f>IF(N5="","",VLOOKUP(N5,Table1[],2,TRUE))</f>
        <v/>
      </c>
      <c r="P5" s="89" t="str">
        <f t="shared" ref="P5:P40" si="1">IF(COUNTIF(F5:J5,"*-*")&gt;0,"-",IF(COUNTBLANK(F5:J5)=5,"",IF(Q$3="-","-",SUM(F5:J5))))</f>
        <v/>
      </c>
      <c r="Q5" s="96" t="str">
        <f>IF(P5="","",IF(P5="-", "-",P5/Q$3))</f>
        <v/>
      </c>
      <c r="R5" s="84" t="str">
        <f>IF(Q5="","",VLOOKUP(Q5,Table1[],2,TRUE))</f>
        <v/>
      </c>
      <c r="S5" s="92" t="str">
        <f>IF(AND(N5="",Q5=""),"",IF(OR(N5="-",Q5="-"),"-",IF(AND(N$3&lt;&gt;0,Q$3&lt;&gt;0),VLOOKUP(AVERAGE(N5,Q5),Table1[],2,TRUE),IF(AND(N$3&lt;&gt;0,Q$3=0),O5,R5))))</f>
        <v/>
      </c>
      <c r="T5" s="72"/>
      <c r="U5" s="72" t="str">
        <f>IF(ISBLANK(T5),S5,T5)</f>
        <v/>
      </c>
      <c r="V5" s="74" t="s">
        <v>18</v>
      </c>
    </row>
    <row r="6" spans="1:27" x14ac:dyDescent="0.25">
      <c r="A6" s="68"/>
      <c r="B6" s="68"/>
      <c r="C6" s="68"/>
      <c r="D6" s="68"/>
      <c r="E6" s="68"/>
      <c r="F6" s="79"/>
      <c r="G6" s="68"/>
      <c r="H6" s="68"/>
      <c r="I6" s="68"/>
      <c r="J6" s="68"/>
      <c r="K6" s="79"/>
      <c r="L6" s="68"/>
      <c r="M6" s="108" t="str">
        <f t="shared" si="0"/>
        <v/>
      </c>
      <c r="N6" s="94" t="str">
        <f t="shared" ref="N6:N39" si="2">IF(M6="","",IF(M6="-","-",M6/N$3))</f>
        <v/>
      </c>
      <c r="O6" s="83" t="str">
        <f>IF(M6="","",VLOOKUP(N6,Table1[],2,TRUE))</f>
        <v/>
      </c>
      <c r="P6" s="90" t="str">
        <f t="shared" si="1"/>
        <v/>
      </c>
      <c r="Q6" s="96" t="str">
        <f>IF(P6="","",IF(P6="-", "-",P6/Q$3))</f>
        <v/>
      </c>
      <c r="R6" s="84" t="str">
        <f>IF(P6="","",VLOOKUP(Q6,Table1[],2,TRUE))</f>
        <v/>
      </c>
      <c r="S6" s="92" t="str">
        <f>IF(AND(N6="",Q6=""),"",IF(OR(N6="-",Q6="-"),"-",IF(AND(N$3&lt;&gt;0,Q$3&lt;&gt;0),VLOOKUP(AVERAGE(N6,Q6),Table1[],2,TRUE),IF(AND(N$3&lt;&gt;0,Q$3=0),O6,R6))))</f>
        <v/>
      </c>
      <c r="T6" s="72"/>
      <c r="U6" s="72" t="str">
        <f t="shared" ref="U6:U40" si="3">IF(ISBLANK(T6),S6,T6)</f>
        <v/>
      </c>
      <c r="V6" s="74" t="s">
        <v>18</v>
      </c>
    </row>
    <row r="7" spans="1:27" x14ac:dyDescent="0.25">
      <c r="A7" s="68"/>
      <c r="B7" s="68"/>
      <c r="C7" s="68"/>
      <c r="D7" s="68"/>
      <c r="E7" s="68"/>
      <c r="F7" s="79"/>
      <c r="G7" s="68"/>
      <c r="H7" s="68"/>
      <c r="I7" s="68"/>
      <c r="J7" s="68"/>
      <c r="K7" s="79"/>
      <c r="L7" s="68"/>
      <c r="M7" s="108" t="str">
        <f t="shared" si="0"/>
        <v/>
      </c>
      <c r="N7" s="94" t="str">
        <f t="shared" si="2"/>
        <v/>
      </c>
      <c r="O7" s="83" t="str">
        <f>IF(M7="","",VLOOKUP(N7,Table1[],2,TRUE))</f>
        <v/>
      </c>
      <c r="P7" s="90" t="str">
        <f t="shared" si="1"/>
        <v/>
      </c>
      <c r="Q7" s="96" t="str">
        <f t="shared" ref="Q7:Q39" si="4">IF(P7="","",IF(P7="-", "-",P7/Q$3))</f>
        <v/>
      </c>
      <c r="R7" s="84" t="str">
        <f>IF(P7="","",VLOOKUP(Q7,Table1[],2,TRUE))</f>
        <v/>
      </c>
      <c r="S7" s="92" t="str">
        <f>IF(AND(N7="",Q7=""),"",IF(OR(N7="-",Q7="-"),"-",IF(AND(N$3&lt;&gt;0,Q$3&lt;&gt;0),VLOOKUP(AVERAGE(N7,Q7),Table1[],2,TRUE),IF(AND(N$3&lt;&gt;0,Q$3=0),O7,R7))))</f>
        <v/>
      </c>
      <c r="T7" s="72"/>
      <c r="U7" s="72" t="str">
        <f t="shared" si="3"/>
        <v/>
      </c>
      <c r="V7" s="74" t="s">
        <v>18</v>
      </c>
    </row>
    <row r="8" spans="1:27"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7"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7"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7"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7"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7"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7"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7"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7"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sheetData>
  <sheetProtection sheet="1" objects="1" scenarios="1"/>
  <mergeCells count="7">
    <mergeCell ref="N3:O3"/>
    <mergeCell ref="Q3:R3"/>
    <mergeCell ref="K2:L2"/>
    <mergeCell ref="B1:V1"/>
    <mergeCell ref="A2:E2"/>
    <mergeCell ref="F2:J2"/>
    <mergeCell ref="M2:U2"/>
  </mergeCells>
  <conditionalFormatting sqref="R5:U40 O5:O40">
    <cfRule type="expression" dxfId="9" priority="8" stopIfTrue="1">
      <formula>OR(ISNUMBER(SEARCH("D",O5)),ISNUMBER(SEARCH("E",O5)))</formula>
    </cfRule>
  </conditionalFormatting>
  <conditionalFormatting sqref="A5:J40">
    <cfRule type="expression" dxfId="8" priority="2" stopIfTrue="1">
      <formula>NOT(ISBLANK(A5))</formula>
    </cfRule>
    <cfRule type="expression" dxfId="7"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topLeftCell="A13" zoomScaleNormal="100" workbookViewId="0">
      <selection activeCell="E35" sqref="E35"/>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59" t="s">
        <v>80</v>
      </c>
      <c r="C1" s="159"/>
      <c r="D1" s="159"/>
      <c r="E1" s="159"/>
      <c r="F1" s="159"/>
      <c r="G1" s="159"/>
      <c r="H1" s="159"/>
      <c r="I1" s="159"/>
      <c r="J1" s="159"/>
      <c r="K1" s="159"/>
      <c r="L1" s="159"/>
      <c r="M1" s="159"/>
      <c r="N1" s="159"/>
      <c r="O1" s="159"/>
      <c r="P1" s="159"/>
      <c r="Q1" s="159"/>
      <c r="R1" s="159"/>
      <c r="S1" s="159"/>
      <c r="T1" s="159"/>
      <c r="U1" s="159"/>
      <c r="V1" s="160"/>
    </row>
    <row r="2" spans="1:22"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row>
    <row r="3" spans="1:22" ht="15" customHeight="1" x14ac:dyDescent="0.25">
      <c r="A3" s="99" t="s">
        <v>81</v>
      </c>
      <c r="B3" s="99" t="s">
        <v>82</v>
      </c>
      <c r="C3" s="99" t="s">
        <v>73</v>
      </c>
      <c r="D3" s="99" t="s">
        <v>73</v>
      </c>
      <c r="E3" s="99" t="s">
        <v>73</v>
      </c>
      <c r="F3" s="99" t="s">
        <v>33</v>
      </c>
      <c r="G3" s="99" t="s">
        <v>73</v>
      </c>
      <c r="H3" s="99" t="s">
        <v>73</v>
      </c>
      <c r="I3" s="99" t="s">
        <v>73</v>
      </c>
      <c r="J3" s="99" t="s">
        <v>73</v>
      </c>
      <c r="K3" s="99" t="s">
        <v>73</v>
      </c>
      <c r="L3" s="99" t="s">
        <v>73</v>
      </c>
      <c r="M3" s="98" t="str">
        <f>_xlfn.TEXTJOIN(" ",TRUE,"Max",A2,":")</f>
        <v>Max UD :</v>
      </c>
      <c r="N3" s="153">
        <f>IF(OR(A4="-",B4="-",C4="-",D4="-",E4="-"),"-",SUM(A4,B4,C4,D4,E4))</f>
        <v>100</v>
      </c>
      <c r="O3" s="154"/>
      <c r="P3" s="98" t="str">
        <f>_xlfn.TEXTJOIN(" ",TRUE,"Max",F2,":")</f>
        <v>Max SD :</v>
      </c>
      <c r="Q3" s="155">
        <f>IF(OR(F4="-",G4="-",H4="-",I4="-",J4="-"),"-",SUM(F4,G4,H4,I4,J4))</f>
        <v>100</v>
      </c>
      <c r="R3" s="156"/>
      <c r="S3" s="75"/>
      <c r="T3" s="75"/>
      <c r="U3" s="75"/>
      <c r="V3" s="74" t="s">
        <v>18</v>
      </c>
    </row>
    <row r="4" spans="1:22" ht="15" customHeight="1" x14ac:dyDescent="0.25">
      <c r="A4" s="113">
        <v>25</v>
      </c>
      <c r="B4" s="114">
        <v>75</v>
      </c>
      <c r="C4" s="114"/>
      <c r="D4" s="114"/>
      <c r="E4" s="114"/>
      <c r="F4" s="114">
        <v>100</v>
      </c>
      <c r="G4" s="114"/>
      <c r="H4" s="114"/>
      <c r="I4" s="114"/>
      <c r="J4" s="114"/>
      <c r="K4" s="114"/>
      <c r="L4" s="114"/>
      <c r="M4" s="82" t="str">
        <f>_xlfn.TEXTJOIN(" ",TRUE,M2,A2)</f>
        <v>Overall UD</v>
      </c>
      <c r="N4" s="100" t="s">
        <v>32</v>
      </c>
      <c r="O4" s="101" t="s">
        <v>1</v>
      </c>
      <c r="P4" s="76" t="str">
        <f>_xlfn.TEXTJOIN(" ",TRUE,M2,F2)</f>
        <v>Overall SD</v>
      </c>
      <c r="Q4" s="102" t="s">
        <v>32</v>
      </c>
      <c r="R4" s="103"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08">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08"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10"/>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08"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10" t="s">
        <v>11</v>
      </c>
      <c r="U7" s="72" t="str">
        <f t="shared" si="3"/>
        <v>C+</v>
      </c>
      <c r="V7" s="74" t="s">
        <v>18</v>
      </c>
    </row>
    <row r="8" spans="1:22" ht="15" customHeight="1"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F28" sqref="F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1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10" zoomScaleNormal="100" workbookViewId="0">
      <selection activeCell="C25" sqref="C25"/>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79</v>
      </c>
      <c r="C15" s="45" t="s">
        <v>43</v>
      </c>
      <c r="D15" s="71">
        <v>43895</v>
      </c>
      <c r="E15" s="47" t="s">
        <v>83</v>
      </c>
    </row>
    <row r="16" spans="2:7" x14ac:dyDescent="0.25">
      <c r="B16" s="45" t="s">
        <v>78</v>
      </c>
      <c r="C16" s="45" t="s">
        <v>43</v>
      </c>
      <c r="D16" s="71">
        <v>43895</v>
      </c>
      <c r="E16" s="47" t="s">
        <v>84</v>
      </c>
    </row>
    <row r="17" spans="2:5" ht="90" x14ac:dyDescent="0.25">
      <c r="B17" s="45" t="s">
        <v>86</v>
      </c>
      <c r="C17" s="45" t="s">
        <v>43</v>
      </c>
      <c r="D17" s="71">
        <v>43896</v>
      </c>
      <c r="E17" s="47" t="s">
        <v>85</v>
      </c>
    </row>
    <row r="18" spans="2:5" x14ac:dyDescent="0.25">
      <c r="B18" s="45" t="s">
        <v>88</v>
      </c>
      <c r="C18" s="45" t="s">
        <v>43</v>
      </c>
      <c r="D18" s="71">
        <v>43898</v>
      </c>
      <c r="E18" s="47" t="s">
        <v>89</v>
      </c>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2020-09-24T23:43:45Z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