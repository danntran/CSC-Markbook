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1dca33e2598669c1/"/>
    </mc:Choice>
  </mc:AlternateContent>
  <xr:revisionPtr revIDLastSave="62" documentId="14_{61637FFD-76F8-4C29-9A47-FA78C0F9204E}" xr6:coauthVersionLast="47" xr6:coauthVersionMax="47" xr10:uidLastSave="{7BFA2EE0-D02C-4428-BC83-3AF4A78F9DC4}"/>
  <bookViews>
    <workbookView xWindow="-11955" yWindow="-21720" windowWidth="51840" windowHeight="21240" tabRatio="794" xr2:uid="{819FE5EB-A8BE-46E7-8C57-623FF87BA6E9}"/>
  </bookViews>
  <sheets>
    <sheet name="ClassInformation" sheetId="3" r:id="rId1"/>
    <sheet name="Semester1" sheetId="4" r:id="rId2"/>
    <sheet name="Semester2" sheetId="21" r:id="rId3"/>
    <sheet name="StudentProfile" sheetId="19" r:id="rId4"/>
    <sheet name="AssessmentTemplate" sheetId="14" state="hidden" r:id="rId5"/>
    <sheet name="EOSTemplate" sheetId="18" state="hidden" r:id="rId6"/>
    <sheet name="TemplateInstruction" sheetId="9" r:id="rId7"/>
    <sheet name="GradeScheme" sheetId="2" r:id="rId8"/>
    <sheet name="Changelog" sheetId="11" r:id="rId9"/>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 name="OVERGrade1">AssessmentTemplate!$AF$5:$AF$40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FC6" i="21" l="1"/>
  <c r="XFC7" i="21"/>
  <c r="XFC8" i="21"/>
  <c r="XFC9" i="21"/>
  <c r="XFC10" i="21"/>
  <c r="XFC11" i="21"/>
  <c r="XFC12" i="21"/>
  <c r="XFC13" i="21"/>
  <c r="XFC14" i="21"/>
  <c r="XFC15" i="21"/>
  <c r="XFC16" i="21"/>
  <c r="XFC17" i="21"/>
  <c r="XFC18" i="21"/>
  <c r="XFC19" i="21"/>
  <c r="XFC20" i="21"/>
  <c r="XFC21" i="21"/>
  <c r="XFC22" i="21"/>
  <c r="XFC23" i="21"/>
  <c r="XFC24" i="21"/>
  <c r="XFC25" i="21"/>
  <c r="XFC26" i="21"/>
  <c r="XFC27" i="21"/>
  <c r="XFC28" i="21"/>
  <c r="XFC29" i="21"/>
  <c r="XFC30" i="21"/>
  <c r="XFC31" i="21"/>
  <c r="XFC32" i="21"/>
  <c r="XFC33" i="21"/>
  <c r="XFC34" i="21"/>
  <c r="XFC35" i="21"/>
  <c r="XFC36" i="21"/>
  <c r="XFC37" i="21"/>
  <c r="XFC38" i="21"/>
  <c r="XFC39" i="21"/>
  <c r="XFC40" i="21"/>
  <c r="XFC5" i="21"/>
  <c r="AD25" i="14" a="1"/>
  <c r="AD33" i="14" a="1"/>
  <c r="AD24" i="14" a="1"/>
  <c r="AD18" i="14" a="1"/>
  <c r="AD9" i="14" a="1"/>
  <c r="AD35" i="14" a="1"/>
  <c r="AD29" i="14" a="1"/>
  <c r="AD20" i="14" a="1"/>
  <c r="AD17" i="14" a="1"/>
  <c r="AD8" i="14" a="1"/>
  <c r="AD40" i="14" a="1"/>
  <c r="AD37" i="14" a="1"/>
  <c r="AD34" i="14" a="1"/>
  <c r="AD31" i="14" a="1"/>
  <c r="AD28" i="14" a="1"/>
  <c r="AD22" i="14" a="1"/>
  <c r="AD19" i="14" a="1"/>
  <c r="AD16" i="14" a="1"/>
  <c r="AD13" i="14" a="1"/>
  <c r="AD10" i="14" a="1"/>
  <c r="AD7" i="14" a="1"/>
  <c r="AD15" i="14" a="1"/>
  <c r="AD26" i="14" a="1"/>
  <c r="AD14" i="14" a="1"/>
  <c r="AD39" i="14" a="1"/>
  <c r="AD36" i="14" a="1"/>
  <c r="AD30" i="14" a="1"/>
  <c r="AD27" i="14" a="1"/>
  <c r="AD21" i="14" a="1"/>
  <c r="AD12" i="14" a="1"/>
  <c r="AD6" i="14" a="1"/>
  <c r="AD38" i="14" a="1"/>
  <c r="AD32" i="14" a="1"/>
  <c r="AD23" i="14" a="1"/>
  <c r="AD11" i="14" a="1"/>
  <c r="AD5" i="14" a="1"/>
  <c r="AD11" i="14" l="1"/>
  <c r="AD23" i="14"/>
  <c r="AD32" i="14"/>
  <c r="AD38" i="14"/>
  <c r="AD6" i="14"/>
  <c r="AD12" i="14"/>
  <c r="AD21" i="14"/>
  <c r="AD27" i="14"/>
  <c r="AD30" i="14"/>
  <c r="AD36" i="14"/>
  <c r="AD39" i="14"/>
  <c r="AD14" i="14"/>
  <c r="AD26" i="14"/>
  <c r="AD15" i="14"/>
  <c r="AD7" i="14"/>
  <c r="AD10" i="14"/>
  <c r="AD13" i="14"/>
  <c r="AD16" i="14"/>
  <c r="AD19" i="14"/>
  <c r="AD22" i="14"/>
  <c r="AD28" i="14"/>
  <c r="AD31" i="14"/>
  <c r="AD34" i="14"/>
  <c r="AD37" i="14"/>
  <c r="AD40" i="14"/>
  <c r="AD8" i="14"/>
  <c r="AD17" i="14"/>
  <c r="AD20" i="14"/>
  <c r="AD29" i="14"/>
  <c r="AD35" i="14"/>
  <c r="AD9" i="14"/>
  <c r="AD18" i="14"/>
  <c r="AD24" i="14"/>
  <c r="AD33" i="14"/>
  <c r="AD25" i="14"/>
  <c r="AD5" i="14"/>
  <c r="XFC6" i="4"/>
  <c r="XFC7" i="4"/>
  <c r="XFC8" i="4"/>
  <c r="XFC9" i="4"/>
  <c r="XFC10" i="4"/>
  <c r="XFC11" i="4"/>
  <c r="XFC12" i="4"/>
  <c r="XFC13" i="4"/>
  <c r="XFC14" i="4"/>
  <c r="XFC15" i="4"/>
  <c r="XFC16" i="4"/>
  <c r="XFC17" i="4"/>
  <c r="XFC18" i="4"/>
  <c r="XFC19" i="4"/>
  <c r="XFC20" i="4"/>
  <c r="XFC21" i="4"/>
  <c r="XFC22" i="4"/>
  <c r="XFC23" i="4"/>
  <c r="XFC24" i="4"/>
  <c r="XFC25" i="4"/>
  <c r="XFC26" i="4"/>
  <c r="XFC27" i="4"/>
  <c r="XFC28" i="4"/>
  <c r="XFC29" i="4"/>
  <c r="XFC30" i="4"/>
  <c r="XFC31" i="4"/>
  <c r="XFC32" i="4"/>
  <c r="XFC33" i="4"/>
  <c r="XFC34" i="4"/>
  <c r="XFC35" i="4"/>
  <c r="XFC36" i="4"/>
  <c r="XFC37" i="4"/>
  <c r="XFC38" i="4"/>
  <c r="XFC39" i="4"/>
  <c r="XFC40" i="4"/>
  <c r="XFC5" i="4"/>
  <c r="B2" i="3"/>
  <c r="B40" i="21"/>
  <c r="A40" i="21"/>
  <c r="B39" i="21"/>
  <c r="A39" i="21"/>
  <c r="B38" i="21"/>
  <c r="A38" i="21"/>
  <c r="B37" i="21"/>
  <c r="A37" i="21"/>
  <c r="B36" i="21"/>
  <c r="A36" i="21"/>
  <c r="B35" i="21"/>
  <c r="A35" i="21"/>
  <c r="B34" i="21"/>
  <c r="A34" i="21"/>
  <c r="B33" i="21"/>
  <c r="A33" i="21"/>
  <c r="B32" i="21"/>
  <c r="A32" i="21"/>
  <c r="B31" i="21"/>
  <c r="A31" i="21"/>
  <c r="B30" i="21"/>
  <c r="A30" i="21"/>
  <c r="B29" i="21"/>
  <c r="A29" i="21"/>
  <c r="B28" i="21"/>
  <c r="A28" i="21"/>
  <c r="B27" i="21"/>
  <c r="A27" i="21"/>
  <c r="B26" i="21"/>
  <c r="A26" i="21"/>
  <c r="B25" i="21"/>
  <c r="A25" i="21"/>
  <c r="B24" i="21"/>
  <c r="A24" i="21"/>
  <c r="B23" i="21"/>
  <c r="A23" i="21"/>
  <c r="B22" i="21"/>
  <c r="A22" i="21"/>
  <c r="B21" i="21"/>
  <c r="A21" i="21"/>
  <c r="B20" i="21"/>
  <c r="A20" i="21"/>
  <c r="B19" i="21"/>
  <c r="A19" i="21"/>
  <c r="B18" i="21"/>
  <c r="A18" i="21"/>
  <c r="B17" i="21"/>
  <c r="A17" i="21"/>
  <c r="B16" i="21"/>
  <c r="A16" i="21"/>
  <c r="B15" i="21"/>
  <c r="A15" i="21"/>
  <c r="B14" i="21"/>
  <c r="A14" i="21"/>
  <c r="B13" i="21"/>
  <c r="A13" i="21"/>
  <c r="B12" i="21"/>
  <c r="A12" i="21"/>
  <c r="B11" i="21"/>
  <c r="A11" i="21"/>
  <c r="B10" i="21"/>
  <c r="A10" i="21"/>
  <c r="B9" i="21"/>
  <c r="A9" i="21"/>
  <c r="B8" i="21"/>
  <c r="A8" i="21"/>
  <c r="B7" i="21"/>
  <c r="A7" i="21"/>
  <c r="B6" i="21"/>
  <c r="A6" i="21"/>
  <c r="B5" i="21"/>
  <c r="A5" i="21"/>
  <c r="A1" i="21"/>
  <c r="R8" i="9" a="1"/>
  <c r="R8" i="9" s="1"/>
  <c r="R9" i="9" a="1"/>
  <c r="R9" i="9" s="1"/>
  <c r="R10" i="9" a="1"/>
  <c r="R10" i="9" s="1"/>
  <c r="R11" i="9" a="1"/>
  <c r="R11" i="9" s="1"/>
  <c r="R12" i="9" a="1"/>
  <c r="R12" i="9" s="1"/>
  <c r="R13" i="9" a="1"/>
  <c r="R13" i="9" s="1"/>
  <c r="R14" i="9" a="1"/>
  <c r="R14" i="9" s="1"/>
  <c r="R15" i="9" a="1"/>
  <c r="R15" i="9" s="1"/>
  <c r="R16" i="9" a="1"/>
  <c r="R16" i="9" s="1"/>
  <c r="R17" i="9" a="1"/>
  <c r="R17" i="9" s="1"/>
  <c r="R18" i="9" a="1"/>
  <c r="R18" i="9" s="1"/>
  <c r="R19" i="9" a="1"/>
  <c r="R19" i="9" s="1"/>
  <c r="R20" i="9" a="1"/>
  <c r="R20" i="9" s="1"/>
  <c r="R21" i="9" a="1"/>
  <c r="R21" i="9" s="1"/>
  <c r="R22" i="9" a="1"/>
  <c r="R22" i="9" s="1"/>
  <c r="R23" i="9" a="1"/>
  <c r="R23" i="9" s="1"/>
  <c r="R24" i="9" a="1"/>
  <c r="R24" i="9" s="1"/>
  <c r="R25" i="9" a="1"/>
  <c r="R25" i="9" s="1"/>
  <c r="R26" i="9" a="1"/>
  <c r="R26" i="9" s="1"/>
  <c r="R27" i="9" a="1"/>
  <c r="R27" i="9" s="1"/>
  <c r="R28" i="9" a="1"/>
  <c r="R28" i="9" s="1"/>
  <c r="R29" i="9" a="1"/>
  <c r="R29" i="9" s="1"/>
  <c r="R30" i="9" a="1"/>
  <c r="R30" i="9" s="1"/>
  <c r="R31" i="9" a="1"/>
  <c r="R31" i="9" s="1"/>
  <c r="R32" i="9" a="1"/>
  <c r="R32" i="9" s="1"/>
  <c r="R33" i="9" a="1"/>
  <c r="R33" i="9" s="1"/>
  <c r="R34" i="9" a="1"/>
  <c r="R34" i="9" s="1"/>
  <c r="R35" i="9" a="1"/>
  <c r="R35" i="9" s="1"/>
  <c r="R36" i="9" a="1"/>
  <c r="R36" i="9" s="1"/>
  <c r="R37" i="9" a="1"/>
  <c r="R37" i="9" s="1"/>
  <c r="R38" i="9" a="1"/>
  <c r="R38" i="9" s="1"/>
  <c r="R39" i="9" a="1"/>
  <c r="R39" i="9" s="1"/>
  <c r="R40" i="9" a="1"/>
  <c r="R40" i="9" s="1"/>
  <c r="O8" i="9" a="1"/>
  <c r="O8" i="9" s="1"/>
  <c r="O9" i="9" a="1"/>
  <c r="O9" i="9" s="1"/>
  <c r="O10" i="9" a="1"/>
  <c r="O10" i="9" s="1"/>
  <c r="O11" i="9" a="1"/>
  <c r="O11" i="9" s="1"/>
  <c r="O12" i="9" a="1"/>
  <c r="O12" i="9" s="1"/>
  <c r="O13" i="9" a="1"/>
  <c r="O13" i="9" s="1"/>
  <c r="O14" i="9" a="1"/>
  <c r="O14" i="9" s="1"/>
  <c r="O15" i="9" a="1"/>
  <c r="O15" i="9" s="1"/>
  <c r="O16" i="9" a="1"/>
  <c r="O16" i="9" s="1"/>
  <c r="O17" i="9" a="1"/>
  <c r="O17" i="9" s="1"/>
  <c r="O18" i="9" a="1"/>
  <c r="O18" i="9" s="1"/>
  <c r="O19" i="9" a="1"/>
  <c r="O19" i="9" s="1"/>
  <c r="O20" i="9" a="1"/>
  <c r="O20" i="9" s="1"/>
  <c r="O21" i="9" a="1"/>
  <c r="O21" i="9" s="1"/>
  <c r="O22" i="9" a="1"/>
  <c r="O22" i="9" s="1"/>
  <c r="O23" i="9" a="1"/>
  <c r="O23" i="9" s="1"/>
  <c r="O24" i="9" a="1"/>
  <c r="O24" i="9" s="1"/>
  <c r="O25" i="9" a="1"/>
  <c r="O25" i="9" s="1"/>
  <c r="O26" i="9" a="1"/>
  <c r="O26" i="9" s="1"/>
  <c r="O27" i="9" a="1"/>
  <c r="O27" i="9" s="1"/>
  <c r="O28" i="9" a="1"/>
  <c r="O28" i="9" s="1"/>
  <c r="O29" i="9" a="1"/>
  <c r="O29" i="9" s="1"/>
  <c r="O30" i="9" a="1"/>
  <c r="O30" i="9" s="1"/>
  <c r="O31" i="9" a="1"/>
  <c r="O31" i="9" s="1"/>
  <c r="O32" i="9" a="1"/>
  <c r="O32" i="9" s="1"/>
  <c r="O33" i="9" a="1"/>
  <c r="O33" i="9" s="1"/>
  <c r="O34" i="9" a="1"/>
  <c r="O34" i="9" s="1"/>
  <c r="O35" i="9" a="1"/>
  <c r="O35" i="9" s="1"/>
  <c r="O36" i="9" a="1"/>
  <c r="O36" i="9" s="1"/>
  <c r="O37" i="9" a="1"/>
  <c r="O37" i="9" s="1"/>
  <c r="O38" i="9" a="1"/>
  <c r="O38" i="9" s="1"/>
  <c r="O39" i="9" a="1"/>
  <c r="O39" i="9" s="1"/>
  <c r="O40" i="9" a="1"/>
  <c r="O40" i="9" s="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R7" i="9" a="1"/>
  <c r="O7" i="9" a="1"/>
  <c r="R6" i="9" a="1"/>
  <c r="S6" i="9" a="1"/>
  <c r="O5" i="9" a="1"/>
  <c r="S5" i="9" a="1"/>
  <c r="R5" i="9" a="1"/>
  <c r="O6" i="9" a="1"/>
  <c r="S7" i="9" a="1"/>
  <c r="XFD8" i="21" l="1"/>
  <c r="XFD17" i="21"/>
  <c r="XFD7" i="21"/>
  <c r="XFD10" i="21"/>
  <c r="XFD24" i="21"/>
  <c r="XFD30" i="21"/>
  <c r="XFD25" i="21"/>
  <c r="XFD31" i="21"/>
  <c r="XFD37" i="21"/>
  <c r="XFD6" i="21"/>
  <c r="XFD9" i="21"/>
  <c r="XFD14" i="21"/>
  <c r="XFD22" i="21"/>
  <c r="XFD28" i="21"/>
  <c r="XFD34" i="21"/>
  <c r="XFD40" i="21"/>
  <c r="XFD23" i="21"/>
  <c r="XFD29" i="21"/>
  <c r="XFD35" i="21"/>
  <c r="XFD5" i="21"/>
  <c r="XFD6" i="4"/>
  <c r="XFD12" i="4"/>
  <c r="XFD18" i="4"/>
  <c r="XFD24" i="4"/>
  <c r="XFD36" i="4"/>
  <c r="XFD8" i="4"/>
  <c r="XFD14" i="4"/>
  <c r="XFD20" i="4"/>
  <c r="XFD26" i="4"/>
  <c r="XFD32" i="4"/>
  <c r="XFD38" i="4"/>
  <c r="XFD36" i="21"/>
  <c r="XFD19" i="21"/>
  <c r="XFD11" i="21"/>
  <c r="XFD13" i="21"/>
  <c r="XFD15" i="21"/>
  <c r="XFD16" i="21"/>
  <c r="XFD18" i="21"/>
  <c r="XFD12" i="21"/>
  <c r="XFD20" i="21"/>
  <c r="XFD26" i="21"/>
  <c r="XFD32" i="21"/>
  <c r="XFD38" i="21"/>
  <c r="XFD21" i="21"/>
  <c r="XFD27" i="21"/>
  <c r="XFD33" i="21"/>
  <c r="XFD39" i="21"/>
  <c r="XFD10" i="4"/>
  <c r="XFD16" i="4"/>
  <c r="XFD22" i="4"/>
  <c r="XFD5" i="4"/>
  <c r="XFD11" i="4"/>
  <c r="XFD17" i="4"/>
  <c r="XFD23" i="4"/>
  <c r="XFD29" i="4"/>
  <c r="XFD35" i="4"/>
  <c r="XFD30" i="4"/>
  <c r="XFD37" i="4"/>
  <c r="XFD9" i="4"/>
  <c r="XFD15" i="4"/>
  <c r="XFD21" i="4"/>
  <c r="XFD27" i="4"/>
  <c r="XFD33" i="4"/>
  <c r="XFD39" i="4"/>
  <c r="XFD28" i="4"/>
  <c r="XFD34" i="4"/>
  <c r="XFD40" i="4"/>
  <c r="XFD7" i="4"/>
  <c r="XFD13" i="4"/>
  <c r="XFD19" i="4"/>
  <c r="XFD25" i="4"/>
  <c r="XFD31" i="4"/>
  <c r="S7" i="9"/>
  <c r="S6" i="9"/>
  <c r="S5" i="9"/>
  <c r="R7" i="9"/>
  <c r="R6" i="9"/>
  <c r="R5" i="9"/>
  <c r="O7" i="9"/>
  <c r="O6" i="9"/>
  <c r="O5" i="9"/>
  <c r="C1" i="19"/>
  <c r="B2" i="19"/>
  <c r="AG40" i="14" a="1"/>
  <c r="AG40" i="14" s="1"/>
  <c r="AA6" i="14" a="1"/>
  <c r="U5" i="14" a="1"/>
  <c r="AA5" i="14" a="1"/>
  <c r="AA5" i="14" l="1"/>
  <c r="AA6" i="14"/>
  <c r="U5" i="14"/>
  <c r="AB3" i="14"/>
  <c r="Y3" i="14"/>
  <c r="V3" i="14"/>
  <c r="U4" i="14"/>
  <c r="AA4" i="14"/>
  <c r="X4" i="14"/>
  <c r="AA3" i="14"/>
  <c r="X19" i="14" a="1"/>
  <c r="U35" i="14" a="1"/>
  <c r="AA33" i="14" a="1"/>
  <c r="AA15" i="14" a="1"/>
  <c r="U12" i="14" a="1"/>
  <c r="X18" i="14" a="1"/>
  <c r="X35" i="14" a="1"/>
  <c r="AA35" i="14" a="1"/>
  <c r="AA9" i="14" a="1"/>
  <c r="X12" i="14" a="1"/>
  <c r="AA23" i="14" a="1"/>
  <c r="U39" i="14" a="1"/>
  <c r="AA17" i="14" a="1"/>
  <c r="X15" i="14" a="1"/>
  <c r="AA27" i="14" a="1"/>
  <c r="AA32" i="14" a="1"/>
  <c r="X27" i="14" a="1"/>
  <c r="X8" i="14" a="1"/>
  <c r="U8" i="14" a="1"/>
  <c r="X9" i="14" a="1"/>
  <c r="X25" i="14" a="1"/>
  <c r="AA10" i="14" a="1"/>
  <c r="U18" i="14" a="1"/>
  <c r="AA29" i="14" a="1"/>
  <c r="U31" i="14" a="1"/>
  <c r="U21" i="14" a="1"/>
  <c r="AA20" i="14" a="1"/>
  <c r="U29" i="14" a="1"/>
  <c r="AA16" i="14" a="1"/>
  <c r="AA25" i="14" a="1"/>
  <c r="X26" i="14" a="1"/>
  <c r="X11" i="14" a="1"/>
  <c r="X36" i="14" a="1"/>
  <c r="U40" i="14" a="1"/>
  <c r="X28" i="14" a="1"/>
  <c r="AA28" i="14" a="1"/>
  <c r="AA18" i="14" a="1"/>
  <c r="U27" i="14" a="1"/>
  <c r="AA40" i="14" a="1"/>
  <c r="X14" i="14" a="1"/>
  <c r="X38" i="14" a="1"/>
  <c r="U19" i="14" a="1"/>
  <c r="X16" i="14" a="1"/>
  <c r="U24" i="14" a="1"/>
  <c r="X20" i="14" a="1"/>
  <c r="U16" i="14" a="1"/>
  <c r="AA22" i="14" a="1"/>
  <c r="U23" i="14" a="1"/>
  <c r="U11" i="14" a="1"/>
  <c r="X30" i="14" a="1"/>
  <c r="U33" i="14" a="1"/>
  <c r="AA11" i="14" a="1"/>
  <c r="U34" i="14" a="1"/>
  <c r="U10" i="14" a="1"/>
  <c r="U13" i="14" a="1"/>
  <c r="X6" i="14" a="1"/>
  <c r="AA19" i="14" a="1"/>
  <c r="X33" i="14" a="1"/>
  <c r="X39" i="14" a="1"/>
  <c r="U6" i="14" a="1"/>
  <c r="AA36" i="14" a="1"/>
  <c r="AA21" i="14" a="1"/>
  <c r="X23" i="14" a="1"/>
  <c r="U36" i="14" a="1"/>
  <c r="X5" i="14" a="1"/>
  <c r="AA31" i="14" a="1"/>
  <c r="AA8" i="14" a="1"/>
  <c r="X31" i="14" a="1"/>
  <c r="U15" i="14" a="1"/>
  <c r="AA38" i="14" a="1"/>
  <c r="U28" i="14" a="1"/>
  <c r="X37" i="14" a="1"/>
  <c r="AA39" i="14" a="1"/>
  <c r="U22" i="14" a="1"/>
  <c r="X40" i="14" a="1"/>
  <c r="X29" i="14" a="1"/>
  <c r="U25" i="14" a="1"/>
  <c r="AA34" i="14" a="1"/>
  <c r="AA24" i="14" a="1"/>
  <c r="AA26" i="14" a="1"/>
  <c r="X24" i="14" a="1"/>
  <c r="X7" i="14" a="1"/>
  <c r="AA12" i="14" a="1"/>
  <c r="X34" i="14" a="1"/>
  <c r="X17" i="14" a="1"/>
  <c r="U9" i="14" a="1"/>
  <c r="U38" i="14" a="1"/>
  <c r="AA37" i="14" a="1"/>
  <c r="X10" i="14" a="1"/>
  <c r="AA30" i="14" a="1"/>
  <c r="U37" i="14" a="1"/>
  <c r="U17" i="14" a="1"/>
  <c r="U26" i="14" a="1"/>
  <c r="U32" i="14" a="1"/>
  <c r="U14" i="14" a="1"/>
  <c r="U20" i="14" a="1"/>
  <c r="X32" i="14" a="1"/>
  <c r="U7" i="14" a="1"/>
  <c r="U30" i="14" a="1"/>
  <c r="X22" i="14" a="1"/>
  <c r="AA7" i="14" a="1"/>
  <c r="AA13" i="14" a="1"/>
  <c r="AA14" i="14" a="1"/>
  <c r="X21" i="14" a="1"/>
  <c r="X13" i="14" a="1"/>
  <c r="U17" i="14" l="1"/>
  <c r="V17" i="14" s="1"/>
  <c r="W17" i="14" s="1" a="1"/>
  <c r="W17" i="14" s="1"/>
  <c r="U38" i="14"/>
  <c r="V38" i="14" s="1"/>
  <c r="W38" i="14" s="1" a="1"/>
  <c r="W38" i="14" s="1"/>
  <c r="U39" i="14"/>
  <c r="V39" i="14" s="1"/>
  <c r="W39" i="14" s="1" a="1"/>
  <c r="W39" i="14" s="1"/>
  <c r="U8" i="14"/>
  <c r="V8" i="14" s="1"/>
  <c r="W8" i="14" s="1" a="1"/>
  <c r="W8" i="14" s="1"/>
  <c r="U24" i="14"/>
  <c r="V24" i="14" s="1"/>
  <c r="W24" i="14" s="1" a="1"/>
  <c r="W24" i="14" s="1"/>
  <c r="U14" i="14"/>
  <c r="V14" i="14" s="1"/>
  <c r="W14" i="14" s="1" a="1"/>
  <c r="W14" i="14" s="1"/>
  <c r="U20" i="14"/>
  <c r="V20" i="14" s="1"/>
  <c r="W20" i="14" s="1" a="1"/>
  <c r="W20" i="14" s="1"/>
  <c r="U26" i="14"/>
  <c r="V26" i="14" s="1"/>
  <c r="W26" i="14" s="1" a="1"/>
  <c r="W26" i="14" s="1"/>
  <c r="U29" i="14"/>
  <c r="V29" i="14" s="1"/>
  <c r="W29" i="14" s="1" a="1"/>
  <c r="W29" i="14" s="1"/>
  <c r="U32" i="14"/>
  <c r="V32" i="14" s="1"/>
  <c r="W32" i="14" s="1" a="1"/>
  <c r="W32" i="14" s="1"/>
  <c r="U35" i="14"/>
  <c r="V35" i="14" s="1"/>
  <c r="W35" i="14" s="1" a="1"/>
  <c r="W35" i="14" s="1"/>
  <c r="U6" i="14"/>
  <c r="V6" i="14" s="1"/>
  <c r="W6" i="14" s="1" a="1"/>
  <c r="W6" i="14" s="1"/>
  <c r="U9" i="14"/>
  <c r="V9" i="14" s="1"/>
  <c r="W9" i="14" s="1" a="1"/>
  <c r="W9" i="14" s="1"/>
  <c r="U12" i="14"/>
  <c r="V12" i="14" s="1"/>
  <c r="W12" i="14" s="1" a="1"/>
  <c r="W12" i="14" s="1"/>
  <c r="U15" i="14"/>
  <c r="V15" i="14" s="1"/>
  <c r="W15" i="14" s="1" a="1"/>
  <c r="W15" i="14" s="1"/>
  <c r="U18" i="14"/>
  <c r="V18" i="14" s="1"/>
  <c r="W18" i="14" s="1" a="1"/>
  <c r="W18" i="14" s="1"/>
  <c r="U21" i="14"/>
  <c r="V21" i="14" s="1"/>
  <c r="W21" i="14" s="1" a="1"/>
  <c r="W21" i="14" s="1"/>
  <c r="U27" i="14"/>
  <c r="V27" i="14" s="1"/>
  <c r="W27" i="14" s="1" a="1"/>
  <c r="W27" i="14" s="1"/>
  <c r="U30" i="14"/>
  <c r="V30" i="14" s="1"/>
  <c r="W30" i="14" s="1" a="1"/>
  <c r="W30" i="14" s="1"/>
  <c r="U36" i="14"/>
  <c r="V36" i="14" s="1"/>
  <c r="W36" i="14" s="1" a="1"/>
  <c r="W36" i="14" s="1"/>
  <c r="U7" i="14"/>
  <c r="V7" i="14" s="1"/>
  <c r="W7" i="14" s="1" a="1"/>
  <c r="W7" i="14" s="1"/>
  <c r="U10" i="14"/>
  <c r="V10" i="14" s="1"/>
  <c r="W10" i="14" s="1" a="1"/>
  <c r="W10" i="14" s="1"/>
  <c r="U13" i="14"/>
  <c r="V13" i="14" s="1"/>
  <c r="W13" i="14" s="1" a="1"/>
  <c r="W13" i="14" s="1"/>
  <c r="U16" i="14"/>
  <c r="V16" i="14" s="1"/>
  <c r="W16" i="14" s="1" a="1"/>
  <c r="W16" i="14" s="1"/>
  <c r="U19" i="14"/>
  <c r="V19" i="14" s="1"/>
  <c r="W19" i="14" s="1" a="1"/>
  <c r="W19" i="14" s="1"/>
  <c r="U22" i="14"/>
  <c r="V22" i="14" s="1"/>
  <c r="W22" i="14" s="1" a="1"/>
  <c r="W22" i="14" s="1"/>
  <c r="U25" i="14"/>
  <c r="V25" i="14" s="1"/>
  <c r="W25" i="14" s="1" a="1"/>
  <c r="W25" i="14" s="1"/>
  <c r="U28" i="14"/>
  <c r="V28" i="14" s="1"/>
  <c r="W28" i="14" s="1" a="1"/>
  <c r="W28" i="14" s="1"/>
  <c r="U31" i="14"/>
  <c r="V31" i="14" s="1"/>
  <c r="W31" i="14" s="1" a="1"/>
  <c r="W31" i="14" s="1"/>
  <c r="U34" i="14"/>
  <c r="V34" i="14" s="1"/>
  <c r="W34" i="14" s="1" a="1"/>
  <c r="W34" i="14" s="1"/>
  <c r="U37" i="14"/>
  <c r="V37" i="14" s="1"/>
  <c r="W37" i="14" s="1" a="1"/>
  <c r="W37" i="14" s="1"/>
  <c r="U40" i="14"/>
  <c r="U11" i="14"/>
  <c r="V11" i="14" s="1"/>
  <c r="W11" i="14" s="1" a="1"/>
  <c r="W11" i="14" s="1"/>
  <c r="U23" i="14"/>
  <c r="V23" i="14" s="1"/>
  <c r="W23" i="14" s="1" a="1"/>
  <c r="W23" i="14" s="1"/>
  <c r="U33" i="14"/>
  <c r="V33" i="14" s="1"/>
  <c r="W33" i="14" s="1" a="1"/>
  <c r="W33" i="14" s="1"/>
  <c r="X8" i="14"/>
  <c r="Y8" i="14" s="1"/>
  <c r="Z8" i="14" s="1" a="1"/>
  <c r="Z8" i="14" s="1"/>
  <c r="X23" i="14"/>
  <c r="Y23" i="14" s="1"/>
  <c r="Z23" i="14" s="1" a="1"/>
  <c r="Z23" i="14" s="1"/>
  <c r="X32" i="14"/>
  <c r="Y32" i="14" s="1"/>
  <c r="Z32" i="14" s="1" a="1"/>
  <c r="Z32" i="14" s="1"/>
  <c r="X9" i="14"/>
  <c r="Y9" i="14" s="1"/>
  <c r="Z9" i="14" s="1" a="1"/>
  <c r="Z9" i="14" s="1"/>
  <c r="X12" i="14"/>
  <c r="Y12" i="14" s="1"/>
  <c r="Z12" i="14" s="1" a="1"/>
  <c r="Z12" i="14" s="1"/>
  <c r="X15" i="14"/>
  <c r="Y15" i="14" s="1"/>
  <c r="Z15" i="14" s="1" a="1"/>
  <c r="Z15" i="14" s="1"/>
  <c r="X18" i="14"/>
  <c r="Y18" i="14" s="1"/>
  <c r="Z18" i="14" s="1" a="1"/>
  <c r="Z18" i="14" s="1"/>
  <c r="X24" i="14"/>
  <c r="Y24" i="14" s="1"/>
  <c r="Z24" i="14" s="1" a="1"/>
  <c r="Z24" i="14" s="1"/>
  <c r="X27" i="14"/>
  <c r="Y27" i="14" s="1"/>
  <c r="Z27" i="14" s="1" a="1"/>
  <c r="Z27" i="14" s="1"/>
  <c r="X30" i="14"/>
  <c r="Y30" i="14" s="1"/>
  <c r="Z30" i="14" s="1" a="1"/>
  <c r="Z30" i="14" s="1"/>
  <c r="X33" i="14"/>
  <c r="Y33" i="14" s="1"/>
  <c r="Z33" i="14" s="1" a="1"/>
  <c r="Z33" i="14" s="1"/>
  <c r="X36" i="14"/>
  <c r="Y36" i="14" s="1"/>
  <c r="Z36" i="14" s="1" a="1"/>
  <c r="Z36" i="14" s="1"/>
  <c r="X39" i="14"/>
  <c r="Y39" i="14" s="1"/>
  <c r="Z39" i="14" s="1" a="1"/>
  <c r="Z39" i="14" s="1"/>
  <c r="X11" i="14"/>
  <c r="Y11" i="14" s="1"/>
  <c r="Z11" i="14" s="1" a="1"/>
  <c r="Z11" i="14" s="1"/>
  <c r="X14" i="14"/>
  <c r="Y14" i="14" s="1"/>
  <c r="Z14" i="14" s="1" a="1"/>
  <c r="Z14" i="14" s="1"/>
  <c r="X20" i="14"/>
  <c r="Y20" i="14" s="1"/>
  <c r="Z20" i="14" s="1" a="1"/>
  <c r="Z20" i="14" s="1"/>
  <c r="X29" i="14"/>
  <c r="Y29" i="14" s="1"/>
  <c r="Z29" i="14" s="1" a="1"/>
  <c r="Z29" i="14" s="1"/>
  <c r="X38" i="14"/>
  <c r="Y38" i="14" s="1"/>
  <c r="Z38" i="14" s="1" a="1"/>
  <c r="Z38" i="14" s="1"/>
  <c r="X6" i="14"/>
  <c r="X21" i="14"/>
  <c r="Y21" i="14" s="1"/>
  <c r="Z21" i="14" s="1" a="1"/>
  <c r="Z21" i="14" s="1"/>
  <c r="X17" i="14"/>
  <c r="Y17" i="14" s="1"/>
  <c r="Z17" i="14" s="1" a="1"/>
  <c r="Z17" i="14" s="1"/>
  <c r="X35" i="14"/>
  <c r="Y35" i="14" s="1"/>
  <c r="Z35" i="14" s="1" a="1"/>
  <c r="Z35" i="14" s="1"/>
  <c r="X7" i="14"/>
  <c r="Y7" i="14" s="1"/>
  <c r="Z7" i="14" s="1" a="1"/>
  <c r="Z7" i="14" s="1"/>
  <c r="X10" i="14"/>
  <c r="Y10" i="14" s="1"/>
  <c r="Z10" i="14" s="1" a="1"/>
  <c r="Z10" i="14" s="1"/>
  <c r="X16" i="14"/>
  <c r="Y16" i="14" s="1"/>
  <c r="Z16" i="14" s="1" a="1"/>
  <c r="Z16" i="14" s="1"/>
  <c r="X19" i="14"/>
  <c r="Y19" i="14" s="1"/>
  <c r="Z19" i="14" s="1" a="1"/>
  <c r="Z19" i="14" s="1"/>
  <c r="X22" i="14"/>
  <c r="Y22" i="14" s="1"/>
  <c r="Z22" i="14" s="1" a="1"/>
  <c r="Z22" i="14" s="1"/>
  <c r="X25" i="14"/>
  <c r="Y25" i="14" s="1"/>
  <c r="Z25" i="14" s="1" a="1"/>
  <c r="Z25" i="14" s="1"/>
  <c r="X28" i="14"/>
  <c r="Y28" i="14" s="1"/>
  <c r="Z28" i="14" s="1" a="1"/>
  <c r="Z28" i="14" s="1"/>
  <c r="X31" i="14"/>
  <c r="Y31" i="14" s="1"/>
  <c r="Z31" i="14" s="1" a="1"/>
  <c r="Z31" i="14" s="1"/>
  <c r="X34" i="14"/>
  <c r="Y34" i="14" s="1"/>
  <c r="Z34" i="14" s="1" a="1"/>
  <c r="Z34" i="14" s="1"/>
  <c r="X37" i="14"/>
  <c r="Y37" i="14" s="1"/>
  <c r="Z37" i="14" s="1" a="1"/>
  <c r="Z37" i="14" s="1"/>
  <c r="X40" i="14"/>
  <c r="Y40" i="14" s="1"/>
  <c r="Z40" i="14" s="1" a="1"/>
  <c r="Z40" i="14" s="1"/>
  <c r="X26" i="14"/>
  <c r="Y26" i="14" s="1"/>
  <c r="Z26" i="14" s="1" a="1"/>
  <c r="Z26" i="14" s="1"/>
  <c r="X13" i="14"/>
  <c r="Y13" i="14" s="1"/>
  <c r="Z13" i="14" s="1" a="1"/>
  <c r="Z13" i="14" s="1"/>
  <c r="X5" i="14"/>
  <c r="AB5" i="14"/>
  <c r="AA10" i="14"/>
  <c r="AA40" i="14"/>
  <c r="AA34" i="14"/>
  <c r="AA28" i="14"/>
  <c r="AA22" i="14"/>
  <c r="AA16" i="14"/>
  <c r="AA36" i="14"/>
  <c r="AA27" i="14"/>
  <c r="AA9" i="14"/>
  <c r="AA37" i="14"/>
  <c r="AA31" i="14"/>
  <c r="AA25" i="14"/>
  <c r="AA19" i="14"/>
  <c r="AA13" i="14"/>
  <c r="AA39" i="14"/>
  <c r="AA33" i="14"/>
  <c r="AA30" i="14"/>
  <c r="AA24" i="14"/>
  <c r="AA21" i="14"/>
  <c r="AA18" i="14"/>
  <c r="AA15" i="14"/>
  <c r="AA12" i="14"/>
  <c r="AA38" i="14"/>
  <c r="AA35" i="14"/>
  <c r="AA32" i="14"/>
  <c r="AA29" i="14"/>
  <c r="AA26" i="14"/>
  <c r="AA23" i="14"/>
  <c r="AA20" i="14"/>
  <c r="AA17" i="14"/>
  <c r="AA14" i="14"/>
  <c r="AA11" i="14"/>
  <c r="AA8" i="14"/>
  <c r="AA7" i="14"/>
  <c r="AB7" i="14" s="1"/>
  <c r="AC7" i="14" l="1" a="1"/>
  <c r="AC7" i="14" s="1"/>
  <c r="V40" i="14"/>
  <c r="W40" i="14" a="1"/>
  <c r="W40" i="14" s="1"/>
  <c r="AB9" i="14"/>
  <c r="AB15" i="14"/>
  <c r="AB12" i="14"/>
  <c r="AB8" i="14"/>
  <c r="AB6" i="14"/>
  <c r="AB39" i="14"/>
  <c r="AC39" i="14" s="1" a="1"/>
  <c r="AC39" i="14" s="1"/>
  <c r="AB34" i="14"/>
  <c r="AB33" i="14"/>
  <c r="AB26" i="14"/>
  <c r="AB31" i="14"/>
  <c r="AB28" i="14"/>
  <c r="AB35" i="14"/>
  <c r="AB40" i="14"/>
  <c r="AC40" i="14" s="1" a="1"/>
  <c r="AC40" i="14" s="1"/>
  <c r="AB27" i="14"/>
  <c r="AB13" i="14"/>
  <c r="AB11" i="14"/>
  <c r="AB10" i="14"/>
  <c r="AB38" i="14"/>
  <c r="AB22" i="14"/>
  <c r="AB23" i="14"/>
  <c r="AB24" i="14"/>
  <c r="AB36" i="14"/>
  <c r="AB20" i="14"/>
  <c r="AB37" i="14"/>
  <c r="AB21" i="14"/>
  <c r="AB32" i="14"/>
  <c r="AB19" i="14"/>
  <c r="AB30" i="14"/>
  <c r="AB18" i="14"/>
  <c r="AB29" i="14"/>
  <c r="AB17" i="14"/>
  <c r="AB16" i="14"/>
  <c r="AB14" i="14"/>
  <c r="AB25" i="14"/>
  <c r="AC5" i="14" a="1"/>
  <c r="AF25" i="14" l="1" a="1"/>
  <c r="AF25" i="14" s="1"/>
  <c r="AF30" i="14" a="1"/>
  <c r="AF30" i="14" s="1"/>
  <c r="AF32" i="14" a="1"/>
  <c r="AF32" i="14" s="1"/>
  <c r="AF19" i="14" a="1"/>
  <c r="AF19" i="14" s="1"/>
  <c r="AF23" i="14" a="1"/>
  <c r="AF23" i="14" s="1"/>
  <c r="AC24" i="14" a="1"/>
  <c r="AC24" i="14" s="1"/>
  <c r="AC26" i="14" a="1"/>
  <c r="AC26" i="14" s="1"/>
  <c r="AC23" i="14" a="1"/>
  <c r="AC23" i="14" s="1"/>
  <c r="AC14" i="14" a="1"/>
  <c r="AC14" i="14" s="1"/>
  <c r="AC13" i="14" a="1"/>
  <c r="AC13" i="14" s="1"/>
  <c r="AC32" i="14" a="1"/>
  <c r="AC32" i="14" s="1"/>
  <c r="AC33" i="14" a="1"/>
  <c r="AC33" i="14" s="1"/>
  <c r="AC34" i="14" a="1"/>
  <c r="AC34" i="14" s="1"/>
  <c r="AC29" i="14" a="1"/>
  <c r="AC29" i="14" s="1"/>
  <c r="AC38" i="14" a="1"/>
  <c r="AC38" i="14" s="1"/>
  <c r="AC18" i="14" a="1"/>
  <c r="AC18" i="14" s="1"/>
  <c r="AC20" i="14" a="1"/>
  <c r="AC20" i="14" s="1"/>
  <c r="AC10" i="14" a="1"/>
  <c r="AC10" i="14" s="1"/>
  <c r="AC28" i="14" a="1"/>
  <c r="AC28" i="14" s="1"/>
  <c r="AC6" i="14" a="1"/>
  <c r="AC6" i="14" s="1"/>
  <c r="AC25" i="14" a="1"/>
  <c r="AC25" i="14" s="1"/>
  <c r="AC30" i="14" a="1"/>
  <c r="AC30" i="14" s="1"/>
  <c r="AC36" i="14" a="1"/>
  <c r="AC36" i="14" s="1"/>
  <c r="AC11" i="14" a="1"/>
  <c r="AC11" i="14" s="1"/>
  <c r="AC31" i="14" a="1"/>
  <c r="AC31" i="14" s="1"/>
  <c r="AC8" i="14" a="1"/>
  <c r="AC8" i="14" s="1"/>
  <c r="AC19" i="14" a="1"/>
  <c r="AC19" i="14" s="1"/>
  <c r="AC12" i="14" a="1"/>
  <c r="AC12" i="14" s="1"/>
  <c r="AC16" i="14" a="1"/>
  <c r="AC16" i="14" s="1"/>
  <c r="AC27" i="14" a="1"/>
  <c r="AC27" i="14" s="1"/>
  <c r="AC15" i="14" a="1"/>
  <c r="AC15" i="14" s="1"/>
  <c r="AC17" i="14" a="1"/>
  <c r="AC17" i="14" s="1"/>
  <c r="AC21" i="14" a="1"/>
  <c r="AC21" i="14" s="1"/>
  <c r="AC22" i="14" a="1"/>
  <c r="AC22" i="14" s="1"/>
  <c r="AC9" i="14" a="1"/>
  <c r="AC9" i="14" s="1"/>
  <c r="AC37" i="14" a="1"/>
  <c r="AC37" i="14" s="1"/>
  <c r="AC35" i="14" a="1"/>
  <c r="AC35" i="14" s="1"/>
  <c r="AC5" i="14"/>
  <c r="AF15" i="14" a="1"/>
  <c r="AF15" i="14" s="1"/>
  <c r="AF9" i="14" a="1"/>
  <c r="AF9" i="14" s="1"/>
  <c r="AF39" i="14" a="1"/>
  <c r="AF39" i="14" s="1"/>
  <c r="AF12" i="14" a="1"/>
  <c r="AF12" i="14" s="1"/>
  <c r="AF31" i="14" a="1"/>
  <c r="AF31" i="14" s="1"/>
  <c r="AF26" i="14" a="1"/>
  <c r="AF26" i="14" s="1"/>
  <c r="AF33" i="14" a="1"/>
  <c r="AF33" i="14" s="1"/>
  <c r="AF34" i="14" a="1"/>
  <c r="AF34" i="14" s="1"/>
  <c r="AF40" i="14" a="1"/>
  <c r="AF40" i="14" s="1"/>
  <c r="AF35" i="14" a="1"/>
  <c r="AF35" i="14" s="1"/>
  <c r="AF28" i="14" a="1"/>
  <c r="AF28" i="14" s="1"/>
  <c r="AF11" i="14" a="1"/>
  <c r="AF11" i="14" s="1"/>
  <c r="AF13" i="14" a="1"/>
  <c r="AF13" i="14" s="1"/>
  <c r="AF27" i="14" a="1"/>
  <c r="AF27" i="14" s="1"/>
  <c r="AF38" i="14" a="1"/>
  <c r="AF38" i="14" s="1"/>
  <c r="AF36" i="14" a="1"/>
  <c r="AF36" i="14" s="1"/>
  <c r="AF24" i="14" a="1"/>
  <c r="AF24" i="14" s="1"/>
  <c r="AF22" i="14" a="1"/>
  <c r="AF22" i="14" s="1"/>
  <c r="AF37" i="14" a="1"/>
  <c r="AF37" i="14" s="1"/>
  <c r="AF20" i="14" a="1"/>
  <c r="AF20" i="14" s="1"/>
  <c r="AF10" i="14" a="1"/>
  <c r="AF10" i="14" s="1"/>
  <c r="AF29" i="14" a="1"/>
  <c r="AF29" i="14" s="1"/>
  <c r="AF18" i="14" a="1"/>
  <c r="AF18" i="14" s="1"/>
  <c r="AF14" i="14" a="1"/>
  <c r="AF14" i="14" s="1"/>
  <c r="AF16" i="14" a="1"/>
  <c r="AF16" i="14" s="1"/>
  <c r="AF17" i="14" a="1"/>
  <c r="AF17" i="14" s="1"/>
  <c r="AF21" i="14" a="1"/>
  <c r="AF21" i="14" s="1"/>
  <c r="P40" i="9"/>
  <c r="M40" i="9"/>
  <c r="P39" i="9"/>
  <c r="M39" i="9"/>
  <c r="P38" i="9"/>
  <c r="M38" i="9"/>
  <c r="P37" i="9"/>
  <c r="M37" i="9"/>
  <c r="P36" i="9"/>
  <c r="M36" i="9"/>
  <c r="P35" i="9"/>
  <c r="M35" i="9"/>
  <c r="P34" i="9"/>
  <c r="M34" i="9"/>
  <c r="P33" i="9"/>
  <c r="M33" i="9"/>
  <c r="P32" i="9"/>
  <c r="Q32" i="9" s="1"/>
  <c r="M32" i="9"/>
  <c r="P31" i="9"/>
  <c r="M31" i="9"/>
  <c r="P30" i="9"/>
  <c r="M30" i="9"/>
  <c r="P29" i="9"/>
  <c r="M29" i="9"/>
  <c r="P28" i="9"/>
  <c r="Q28" i="9" s="1"/>
  <c r="M28" i="9"/>
  <c r="P27" i="9"/>
  <c r="M27" i="9"/>
  <c r="P26" i="9"/>
  <c r="Q26" i="9" s="1"/>
  <c r="M26" i="9"/>
  <c r="P25" i="9"/>
  <c r="M25" i="9"/>
  <c r="P24" i="9"/>
  <c r="Q24" i="9" s="1"/>
  <c r="M24" i="9"/>
  <c r="P23" i="9"/>
  <c r="M23" i="9"/>
  <c r="Q22" i="9"/>
  <c r="P22" i="9"/>
  <c r="M22" i="9"/>
  <c r="P21" i="9"/>
  <c r="M21" i="9"/>
  <c r="P20" i="9"/>
  <c r="Q20" i="9" s="1"/>
  <c r="M20" i="9"/>
  <c r="P19" i="9"/>
  <c r="M19" i="9"/>
  <c r="P18" i="9"/>
  <c r="M18" i="9"/>
  <c r="P17" i="9"/>
  <c r="M17" i="9"/>
  <c r="P16" i="9"/>
  <c r="Q16" i="9" s="1"/>
  <c r="M16" i="9"/>
  <c r="P15" i="9"/>
  <c r="M15" i="9"/>
  <c r="P14" i="9"/>
  <c r="M14" i="9"/>
  <c r="P13" i="9"/>
  <c r="M13" i="9"/>
  <c r="P12" i="9"/>
  <c r="Q12" i="9" s="1"/>
  <c r="M12" i="9"/>
  <c r="P11" i="9"/>
  <c r="M11" i="9"/>
  <c r="P10" i="9"/>
  <c r="Q10" i="9" s="1"/>
  <c r="M10" i="9"/>
  <c r="P9" i="9"/>
  <c r="M9" i="9"/>
  <c r="P8" i="9"/>
  <c r="Q8" i="9" s="1"/>
  <c r="M8" i="9"/>
  <c r="M7" i="9"/>
  <c r="M6" i="9"/>
  <c r="P4" i="9"/>
  <c r="M4" i="9"/>
  <c r="Q3" i="9"/>
  <c r="P5" i="9" s="1"/>
  <c r="Q5" i="9" s="1"/>
  <c r="P3" i="9"/>
  <c r="N3" i="9"/>
  <c r="M5" i="9" s="1"/>
  <c r="N5" i="9" s="1"/>
  <c r="M3" i="9"/>
  <c r="A1" i="4"/>
  <c r="Q25" i="9" l="1"/>
  <c r="P6" i="9"/>
  <c r="Q6" i="9" s="1"/>
  <c r="Q21" i="9"/>
  <c r="Q34" i="9"/>
  <c r="Q9" i="9"/>
  <c r="Q18" i="9"/>
  <c r="S18" i="9" s="1"/>
  <c r="U18" i="9" s="1"/>
  <c r="Q38" i="9"/>
  <c r="P7" i="9"/>
  <c r="Q40" i="9"/>
  <c r="Q14" i="9"/>
  <c r="Q17" i="9"/>
  <c r="Q30" i="9"/>
  <c r="Q33" i="9"/>
  <c r="Q36" i="9"/>
  <c r="Q13" i="9"/>
  <c r="Q29" i="9"/>
  <c r="N26" i="9"/>
  <c r="S26" i="9" s="1"/>
  <c r="U26" i="9" s="1"/>
  <c r="N33" i="9"/>
  <c r="S33" i="9" s="1"/>
  <c r="U33" i="9" s="1"/>
  <c r="N34" i="9"/>
  <c r="N9" i="9"/>
  <c r="N10" i="9"/>
  <c r="S10" i="9" s="1"/>
  <c r="U10" i="9" s="1"/>
  <c r="N17" i="9"/>
  <c r="S17" i="9" s="1"/>
  <c r="U17" i="9" s="1"/>
  <c r="N18" i="9"/>
  <c r="N25" i="9"/>
  <c r="N13" i="9"/>
  <c r="N14" i="9"/>
  <c r="S14" i="9" s="1"/>
  <c r="U14" i="9" s="1"/>
  <c r="N29" i="9"/>
  <c r="N30" i="9"/>
  <c r="N6" i="9"/>
  <c r="U6" i="9" s="1"/>
  <c r="N21" i="9"/>
  <c r="S21" i="9" s="1"/>
  <c r="U21" i="9" s="1"/>
  <c r="N22" i="9"/>
  <c r="S22" i="9" s="1"/>
  <c r="U22" i="9" s="1"/>
  <c r="S25" i="9"/>
  <c r="U25" i="9" s="1"/>
  <c r="Q7" i="9"/>
  <c r="N11" i="9"/>
  <c r="N12" i="9"/>
  <c r="S12" i="9" s="1"/>
  <c r="U12" i="9" s="1"/>
  <c r="Q15" i="9"/>
  <c r="N19" i="9"/>
  <c r="N20" i="9"/>
  <c r="S20" i="9" s="1"/>
  <c r="U20" i="9" s="1"/>
  <c r="Q23" i="9"/>
  <c r="N27" i="9"/>
  <c r="N28" i="9"/>
  <c r="S28" i="9" s="1"/>
  <c r="U28" i="9" s="1"/>
  <c r="Q31" i="9"/>
  <c r="Q35" i="9"/>
  <c r="Q39" i="9"/>
  <c r="N7" i="9"/>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U5" i="9"/>
  <c r="N35" i="9"/>
  <c r="N36" i="9"/>
  <c r="N37" i="9"/>
  <c r="N38" i="9"/>
  <c r="N39" i="9"/>
  <c r="N40" i="9"/>
  <c r="X3" i="14"/>
  <c r="U3" i="14"/>
  <c r="Y5" i="14" l="1"/>
  <c r="Y6" i="14"/>
  <c r="V5" i="14"/>
  <c r="W5" i="14" s="1" a="1"/>
  <c r="W5" i="14" s="1"/>
  <c r="S9" i="9"/>
  <c r="U9" i="9" s="1"/>
  <c r="S40" i="9"/>
  <c r="U40" i="9" s="1"/>
  <c r="S36" i="9"/>
  <c r="U36" i="9" s="1"/>
  <c r="S34" i="9"/>
  <c r="U34" i="9" s="1"/>
  <c r="S19" i="9"/>
  <c r="U19" i="9" s="1"/>
  <c r="S38" i="9"/>
  <c r="U38" i="9" s="1"/>
  <c r="S30" i="9"/>
  <c r="U30" i="9" s="1"/>
  <c r="S35" i="9"/>
  <c r="U35" i="9" s="1"/>
  <c r="S11" i="9"/>
  <c r="U11" i="9" s="1"/>
  <c r="S29" i="9"/>
  <c r="U29" i="9" s="1"/>
  <c r="S13" i="9"/>
  <c r="U13" i="9" s="1"/>
  <c r="S39" i="9"/>
  <c r="U39" i="9" s="1"/>
  <c r="S37" i="9"/>
  <c r="U37" i="9" s="1"/>
  <c r="S27" i="9"/>
  <c r="U27" i="9" s="1"/>
  <c r="AF8" i="14" l="1" a="1"/>
  <c r="AF8" i="14" s="1"/>
  <c r="AF7" i="14" a="1"/>
  <c r="AF7" i="14" s="1"/>
  <c r="Z6" i="14" a="1"/>
  <c r="Z6" i="14" s="1"/>
  <c r="Z5" i="14" a="1"/>
  <c r="Z5" i="14" s="1"/>
  <c r="AF6" i="14" a="1"/>
  <c r="AF6" i="14" s="1"/>
  <c r="AF5" i="14" a="1"/>
  <c r="AF5" i="1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<sst xmlns="http://schemas.openxmlformats.org/spreadsheetml/2006/main" count="428" uniqueCount="140">
  <si>
    <t>Grade</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</si>
  <si>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</si>
  <si>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</si>
  <si>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</si>
  <si>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</si>
  <si>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</si>
  <si>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</si>
  <si>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</si>
  <si>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</si>
  <si>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</si>
  <si>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</si>
  <si>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</si>
  <si>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</si>
  <si>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</si>
  <si>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</si>
  <si>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</si>
  <si>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</si>
  <si>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</si>
  <si>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</si>
  <si>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</si>
  <si>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</si>
  <si>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</si>
  <si>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</si>
  <si>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</si>
  <si>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</si>
  <si>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</si>
  <si>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</si>
  <si>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</si>
  <si>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</si>
  <si>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</si>
  <si>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</si>
  <si>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</si>
  <si>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</si>
  <si>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</si>
  <si>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</si>
  <si>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</si>
  <si>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</si>
  <si>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</si>
  <si>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</si>
  <si>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</si>
  <si>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</si>
  <si>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</si>
  <si>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</si>
  <si>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</si>
  <si>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</si>
  <si>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</si>
  <si>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</si>
  <si>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</si>
  <si>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</si>
  <si>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</si>
  <si>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</si>
  <si>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</si>
  <si>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</si>
  <si>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</si>
  <si>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</si>
  <si>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</si>
  <si>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</si>
  <si>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</si>
  <si>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</si>
  <si>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</si>
  <si>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</si>
  <si>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</si>
  <si>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</si>
  <si>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</si>
  <si>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</si>
  <si>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</si>
  <si>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</si>
  <si>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</si>
  <si>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</si>
  <si>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</si>
  <si>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</si>
  <si>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</si>
  <si>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</si>
  <si>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</si>
  <si>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</si>
  <si>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</si>
  <si>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</si>
  <si>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</si>
  <si>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</si>
  <si>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</si>
  <si>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</si>
  <si>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</si>
  <si>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</si>
  <si>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</si>
  <si>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</si>
  <si>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</si>
  <si>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</si>
  <si>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</si>
  <si>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</si>
  <si>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</si>
  <si>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</si>
  <si>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</si>
  <si>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</si>
  <si>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</si>
  <si>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</si>
  <si>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</si>
  <si>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</si>
  <si>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</si>
  <si>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</si>
  <si>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</si>
  <si>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</si>
  <si>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</si>
  <si>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</si>
  <si>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</si>
  <si>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</si>
  <si>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</si>
  <si>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</si>
  <si>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</si>
  <si>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</si>
  <si>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</si>
  <si>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1.11.0</t>
  </si>
  <si>
    <t>Added Functionality to import data from old revisions</t>
  </si>
  <si>
    <t>1.11.1</t>
  </si>
  <si>
    <t>Added Paste Values as Default</t>
  </si>
  <si>
    <t>1.11.2</t>
  </si>
  <si>
    <t>Fixed bug that the Assessment name wouldn't import over. Also added function where the Hide column will hide unused Overall</t>
  </si>
  <si>
    <t>1.11.3</t>
  </si>
  <si>
    <t>Fixed bug where the imported data was importing incorrectly</t>
  </si>
  <si>
    <t>Letter Grade</t>
  </si>
  <si>
    <t>Percentage Grade</t>
  </si>
  <si>
    <t>1.12.0</t>
  </si>
  <si>
    <t>Science</t>
  </si>
  <si>
    <t>Number Grade</t>
  </si>
  <si>
    <t>Assessment</t>
  </si>
  <si>
    <t>Science Understanding</t>
  </si>
  <si>
    <t>Science as a Human Endeavour</t>
  </si>
  <si>
    <t>Science Inquiry Skills</t>
  </si>
  <si>
    <t>Total</t>
  </si>
  <si>
    <t>Student:</t>
  </si>
  <si>
    <t>#</t>
  </si>
  <si>
    <t xml:space="preserve">Check </t>
  </si>
  <si>
    <t>Overall:</t>
  </si>
  <si>
    <t>[Assessment]</t>
  </si>
  <si>
    <t>Optimised Code using AI.
- Added ability to see Individual student mark using the StudentProfile
- Letter Grades can be placed directly in the fields now and will convert them to the 15 point scale</t>
  </si>
  <si>
    <t>1.12.1</t>
  </si>
  <si>
    <t>Mr/Ms Smith</t>
  </si>
  <si>
    <t>Bug fixes to sorting, Student Profile</t>
  </si>
  <si>
    <t>End of Semester</t>
  </si>
  <si>
    <t>1.12.2</t>
  </si>
  <si>
    <t>Grades were calculated by average of the %SU %SHE %SIS. It is now the sum( SU SHE SIS) divide sum(max SU max SHE max SIS). Fixed a bug with the strikethrough if N was placed on the ClassInfo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</si>
</sst>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93">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theme="0" tint="-0.24994659260841701"/>
      </bottom>
      <diagonal/>
    </border>
    <border>
      <left/>
      <right style="medium">
        <color indexed="64"/>
      </right>
      <top style="thin">
        <color theme="0" tint="-0.24994659260841701"/>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style="medium">
        <color indexed="64"/>
      </left>
      <right style="thin">
        <color theme="0" tint="-0.249977111117893"/>
      </right>
      <top style="thin">
        <color theme="0" tint="-0.24994659260841701"/>
      </top>
      <bottom style="medium">
        <color indexed="64"/>
      </bottom>
      <diagonal/>
    </border>
    <border>
      <left style="medium">
        <color indexed="64"/>
      </left>
      <right style="thin">
        <color theme="0" tint="-0.249977111117893"/>
      </right>
      <top style="thin">
        <color theme="0" tint="-0.24994659260841701"/>
      </top>
      <bottom style="thin">
        <color theme="0" tint="-0.24994659260841701"/>
      </bottom>
      <diagonal/>
    </border>
    <border>
      <left style="thin">
        <color theme="0" tint="-0.249977111117893"/>
      </left>
      <right style="medium">
        <color indexed="64"/>
      </right>
      <top style="thin">
        <color theme="0" tint="-0.24994659260841701"/>
      </top>
      <bottom style="thin">
        <color theme="0" tint="-0.2499465926084170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0">
    <xf numFmtId="0" fontId="0" fillId="0" borderId="0" xfId="0"/>
    <xf numFmtId="0" fontId="0" fillId="3" borderId="10" xfId="0" applyFill="1" applyBorder="1"/>
    <xf numFmtId="0" fontId="0" fillId="3" borderId="11" xfId="0" applyFill="1" applyBorder="1"/>
    <xf numFmtId="0" fontId="4" fillId="3" borderId="6" xfId="0" applyFont="1" applyFill="1" applyBorder="1"/>
    <xf numFmtId="0" fontId="4" fillId="3" borderId="17" xfId="0" applyFont="1" applyFill="1" applyBorder="1" applyAlignment="1">
      <alignment horizontal="center"/>
    </xf>
    <xf numFmtId="0" fontId="4" fillId="3" borderId="18" xfId="0" applyFont="1" applyFill="1" applyBorder="1" applyAlignment="1">
      <alignment horizontal="center"/>
    </xf>
    <xf numFmtId="0" fontId="4" fillId="3" borderId="19" xfId="0" applyFont="1" applyFill="1" applyBorder="1"/>
    <xf numFmtId="9" fontId="0" fillId="0" borderId="0" xfId="4" applyFont="1" applyBorder="1"/>
    <xf numFmtId="0" fontId="0" fillId="0" borderId="27" xfId="0" applyBorder="1"/>
    <xf numFmtId="0" fontId="3" fillId="2" borderId="27" xfId="3" applyBorder="1"/>
    <xf numFmtId="0" fontId="0" fillId="3" borderId="0" xfId="0" applyFill="1"/>
    <xf numFmtId="0" fontId="0" fillId="3" borderId="0" xfId="0" applyFill="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15"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32" xfId="0" applyFont="1" applyFill="1" applyBorder="1" applyAlignment="1" applyProtection="1">
      <alignment horizontal="left" vertical="center"/>
      <protection locked="0"/>
    </xf>
    <xf numFmtId="0" fontId="4" fillId="3" borderId="33" xfId="0" applyFont="1" applyFill="1" applyBorder="1" applyAlignment="1" applyProtection="1">
      <alignment horizontal="left" vertical="center"/>
      <protection locked="0"/>
    </xf>
    <xf numFmtId="0" fontId="4" fillId="3" borderId="34"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31" xfId="0" applyNumberFormat="1" applyFill="1" applyBorder="1" applyAlignment="1" applyProtection="1">
      <alignment horizontal="left" vertical="center"/>
      <protection locked="0"/>
    </xf>
    <xf numFmtId="0" fontId="0" fillId="3" borderId="31" xfId="0" applyFill="1" applyBorder="1" applyAlignment="1" applyProtection="1">
      <alignment horizontal="left" vertical="center"/>
      <protection locked="0"/>
    </xf>
    <xf numFmtId="14" fontId="0" fillId="3" borderId="31" xfId="0" applyNumberFormat="1" applyFill="1" applyBorder="1" applyAlignment="1" applyProtection="1">
      <alignment horizontal="left" vertical="center"/>
      <protection locked="0"/>
    </xf>
    <xf numFmtId="0" fontId="0" fillId="3" borderId="31" xfId="0" applyFill="1" applyBorder="1" applyAlignment="1" applyProtection="1">
      <alignment horizontal="left" vertical="center" wrapText="1"/>
      <protection locked="0"/>
    </xf>
    <xf numFmtId="0" fontId="0" fillId="3" borderId="30" xfId="0" applyFill="1" applyBorder="1" applyAlignment="1" applyProtection="1">
      <alignment horizontal="left" vertical="center"/>
      <protection locked="0"/>
    </xf>
    <xf numFmtId="14" fontId="0" fillId="3" borderId="30" xfId="0" applyNumberFormat="1" applyFill="1" applyBorder="1" applyAlignment="1" applyProtection="1">
      <alignment horizontal="left" vertical="center"/>
      <protection locked="0"/>
    </xf>
    <xf numFmtId="0" fontId="0" fillId="3" borderId="30" xfId="0" applyFill="1" applyBorder="1" applyAlignment="1" applyProtection="1">
      <alignment horizontal="left" vertical="center" wrapText="1"/>
      <protection locked="0"/>
    </xf>
    <xf numFmtId="0" fontId="0" fillId="3" borderId="0" xfId="0" applyFill="1" applyAlignment="1">
      <alignment wrapText="1"/>
    </xf>
    <xf numFmtId="0" fontId="4" fillId="3" borderId="0" xfId="0" applyFont="1" applyFill="1"/>
    <xf numFmtId="0" fontId="3" fillId="3" borderId="0" xfId="3" applyFill="1" applyBorder="1"/>
    <xf numFmtId="0" fontId="4" fillId="0" borderId="42" xfId="0" applyFont="1" applyBorder="1"/>
    <xf numFmtId="0" fontId="0" fillId="3" borderId="12" xfId="0" applyFill="1" applyBorder="1"/>
    <xf numFmtId="0" fontId="0" fillId="3" borderId="13" xfId="0" applyFill="1" applyBorder="1"/>
    <xf numFmtId="0" fontId="0" fillId="3" borderId="14" xfId="0" applyFill="1" applyBorder="1"/>
    <xf numFmtId="0" fontId="0" fillId="0" borderId="0" xfId="0" applyAlignment="1" applyProtection="1">
      <alignment horizontal="center"/>
      <protection locked="0"/>
    </xf>
    <xf numFmtId="0" fontId="0" fillId="0" borderId="0" xfId="0" applyAlignment="1">
      <alignment horizontal="center"/>
    </xf>
    <xf numFmtId="9" fontId="0" fillId="0" borderId="0" xfId="4" applyFont="1" applyBorder="1" applyAlignment="1">
      <alignment horizontal="center"/>
    </xf>
    <xf numFmtId="0" fontId="0" fillId="0" borderId="10" xfId="0" applyBorder="1" applyAlignment="1">
      <alignment horizontal="center"/>
    </xf>
    <xf numFmtId="164" fontId="0" fillId="0" borderId="45" xfId="0" applyNumberFormat="1" applyBorder="1" applyAlignment="1">
      <alignment horizontal="center" vertical="center"/>
    </xf>
    <xf numFmtId="0" fontId="5" fillId="4" borderId="44" xfId="6" applyBorder="1" applyAlignment="1" applyProtection="1">
      <alignment horizontal="center" vertical="center"/>
    </xf>
    <xf numFmtId="0" fontId="4" fillId="0" borderId="7" xfId="0" applyFont="1" applyBorder="1" applyAlignment="1">
      <alignment horizontal="center"/>
    </xf>
    <xf numFmtId="0" fontId="9" fillId="10" borderId="27" xfId="0" applyFont="1" applyFill="1" applyBorder="1" applyAlignment="1">
      <alignment horizontal="center"/>
    </xf>
    <xf numFmtId="0" fontId="0" fillId="3" borderId="17" xfId="0" applyFill="1" applyBorder="1" applyAlignment="1">
      <alignment horizontal="center"/>
    </xf>
    <xf numFmtId="0" fontId="4" fillId="8" borderId="29" xfId="8" applyFont="1" applyFill="1" applyBorder="1" applyAlignment="1" applyProtection="1">
      <alignment horizontal="center"/>
    </xf>
    <xf numFmtId="0" fontId="4" fillId="0" borderId="19" xfId="0" applyFont="1" applyBorder="1" applyAlignment="1">
      <alignment horizontal="center" vertical="center"/>
    </xf>
    <xf numFmtId="0" fontId="9" fillId="10" borderId="26" xfId="0" applyFont="1" applyFill="1" applyBorder="1" applyAlignment="1">
      <alignment horizontal="center"/>
    </xf>
    <xf numFmtId="164" fontId="0" fillId="0" borderId="47" xfId="0" applyNumberFormat="1" applyBorder="1" applyAlignment="1">
      <alignment horizontal="center" vertical="center"/>
    </xf>
    <xf numFmtId="164" fontId="0" fillId="0" borderId="48" xfId="0" applyNumberFormat="1" applyBorder="1" applyAlignment="1">
      <alignment horizontal="center" vertical="center"/>
    </xf>
    <xf numFmtId="164" fontId="0" fillId="0" borderId="49" xfId="0" applyNumberFormat="1" applyBorder="1" applyAlignment="1">
      <alignment horizontal="center" vertical="center"/>
    </xf>
    <xf numFmtId="0" fontId="4" fillId="7" borderId="51" xfId="7" applyFont="1" applyFill="1" applyBorder="1" applyAlignment="1" applyProtection="1">
      <alignment horizontal="center"/>
    </xf>
    <xf numFmtId="164" fontId="5" fillId="8" borderId="44" xfId="8" applyNumberFormat="1" applyFill="1" applyBorder="1" applyAlignment="1" applyProtection="1">
      <alignment horizontal="center" vertical="center"/>
    </xf>
    <xf numFmtId="0" fontId="5" fillId="4" borderId="54" xfId="6" applyBorder="1" applyAlignment="1" applyProtection="1">
      <alignment horizontal="center" vertical="center"/>
    </xf>
    <xf numFmtId="0" fontId="5" fillId="4" borderId="55" xfId="6" applyBorder="1" applyAlignment="1" applyProtection="1">
      <alignment horizontal="center" vertical="center"/>
    </xf>
    <xf numFmtId="164" fontId="5" fillId="8" borderId="28" xfId="8" applyNumberFormat="1" applyFill="1" applyBorder="1" applyAlignment="1" applyProtection="1">
      <alignment horizontal="center" vertical="center"/>
    </xf>
    <xf numFmtId="164" fontId="5" fillId="8" borderId="56" xfId="8" applyNumberFormat="1" applyFill="1" applyBorder="1" applyAlignment="1" applyProtection="1">
      <alignment horizontal="center" vertical="center"/>
    </xf>
    <xf numFmtId="164" fontId="5" fillId="8" borderId="57" xfId="8" applyNumberFormat="1" applyFill="1" applyBorder="1" applyAlignment="1" applyProtection="1">
      <alignment horizontal="center" vertical="center"/>
    </xf>
    <xf numFmtId="0" fontId="5" fillId="4" borderId="56" xfId="6" applyBorder="1" applyAlignment="1" applyProtection="1">
      <alignment horizontal="center" vertical="center"/>
    </xf>
    <xf numFmtId="0" fontId="5" fillId="4" borderId="57" xfId="6" applyBorder="1" applyAlignment="1" applyProtection="1">
      <alignment horizontal="center" vertical="center"/>
    </xf>
    <xf numFmtId="9" fontId="5" fillId="7" borderId="46" xfId="4" applyFill="1" applyBorder="1" applyAlignment="1" applyProtection="1">
      <alignment horizontal="center"/>
    </xf>
    <xf numFmtId="9" fontId="5" fillId="7" borderId="53" xfId="4" applyFill="1" applyBorder="1" applyAlignment="1" applyProtection="1">
      <alignment horizontal="center"/>
    </xf>
    <xf numFmtId="9" fontId="5" fillId="8" borderId="44" xfId="4" applyFill="1" applyBorder="1" applyAlignment="1" applyProtection="1">
      <alignment horizontal="center" vertical="center"/>
    </xf>
    <xf numFmtId="9" fontId="5" fillId="8" borderId="54" xfId="4" applyFill="1" applyBorder="1" applyAlignment="1" applyProtection="1">
      <alignment horizontal="center" vertical="center"/>
    </xf>
    <xf numFmtId="0" fontId="0" fillId="0" borderId="24" xfId="0" applyBorder="1" applyAlignment="1">
      <alignment horizontal="center"/>
    </xf>
    <xf numFmtId="0" fontId="6" fillId="2" borderId="21" xfId="3" applyFont="1" applyBorder="1" applyAlignment="1" applyProtection="1">
      <alignment horizontal="center"/>
    </xf>
    <xf numFmtId="9" fontId="4" fillId="7" borderId="58" xfId="4" applyFont="1" applyFill="1" applyBorder="1" applyAlignment="1" applyProtection="1">
      <alignment horizontal="center"/>
    </xf>
    <xf numFmtId="0" fontId="4" fillId="7" borderId="6" xfId="7" applyFont="1" applyFill="1" applyBorder="1" applyAlignment="1" applyProtection="1">
      <alignment horizontal="center"/>
    </xf>
    <xf numFmtId="9" fontId="4" fillId="8" borderId="60" xfId="8" applyNumberFormat="1" applyFont="1" applyFill="1" applyBorder="1" applyAlignment="1" applyProtection="1">
      <alignment horizontal="center"/>
    </xf>
    <xf numFmtId="0" fontId="4" fillId="8" borderId="61" xfId="8" applyFont="1" applyFill="1" applyBorder="1" applyAlignment="1" applyProtection="1">
      <alignment horizontal="center"/>
    </xf>
    <xf numFmtId="164" fontId="0" fillId="0" borderId="62" xfId="0" applyNumberFormat="1" applyBorder="1" applyAlignment="1">
      <alignment horizontal="center" vertical="center"/>
    </xf>
    <xf numFmtId="164" fontId="5" fillId="7" borderId="50" xfId="7" applyNumberFormat="1" applyFill="1" applyBorder="1" applyAlignment="1" applyProtection="1">
      <alignment horizontal="center"/>
    </xf>
    <xf numFmtId="164" fontId="5" fillId="7" borderId="52" xfId="7" applyNumberFormat="1" applyFill="1" applyBorder="1" applyAlignment="1" applyProtection="1">
      <alignment horizontal="center"/>
    </xf>
    <xf numFmtId="0" fontId="0" fillId="4" borderId="44" xfId="6" applyFont="1" applyBorder="1" applyAlignment="1" applyProtection="1">
      <alignment horizontal="center" vertical="center"/>
    </xf>
    <xf numFmtId="0" fontId="6" fillId="2" borderId="24" xfId="3" applyFont="1" applyBorder="1" applyAlignment="1" applyProtection="1">
      <alignment horizontal="center" vertical="center"/>
    </xf>
    <xf numFmtId="0" fontId="6" fillId="2" borderId="22" xfId="3" applyFont="1" applyBorder="1" applyAlignment="1" applyProtection="1">
      <alignment horizontal="center" vertical="center"/>
    </xf>
    <xf numFmtId="0" fontId="9" fillId="10" borderId="27" xfId="0" applyFont="1" applyFill="1" applyBorder="1" applyAlignment="1" applyProtection="1">
      <alignment horizontal="center"/>
      <protection locked="0"/>
    </xf>
    <xf numFmtId="0" fontId="6" fillId="2" borderId="21" xfId="3" applyFont="1" applyBorder="1" applyAlignment="1" applyProtection="1">
      <alignment horizontal="center"/>
      <protection locked="0"/>
    </xf>
    <xf numFmtId="0" fontId="6" fillId="2" borderId="24" xfId="3" applyFont="1" applyBorder="1" applyAlignment="1" applyProtection="1">
      <alignment horizontal="center" vertical="center"/>
      <protection locked="0"/>
    </xf>
    <xf numFmtId="0" fontId="6" fillId="2" borderId="22" xfId="3" applyFont="1" applyBorder="1" applyAlignment="1" applyProtection="1">
      <alignment horizontal="center" vertical="center"/>
      <protection locked="0"/>
    </xf>
    <xf numFmtId="0" fontId="4" fillId="8" borderId="29" xfId="8" applyFont="1" applyFill="1" applyBorder="1" applyAlignment="1" applyProtection="1">
      <alignment horizontal="center"/>
      <protection locked="0"/>
    </xf>
    <xf numFmtId="9" fontId="4" fillId="8" borderId="60" xfId="8" applyNumberFormat="1" applyFont="1" applyFill="1" applyBorder="1" applyAlignment="1" applyProtection="1">
      <alignment horizontal="center"/>
      <protection locked="0"/>
    </xf>
    <xf numFmtId="0" fontId="4" fillId="8" borderId="61" xfId="8" applyFont="1" applyFill="1" applyBorder="1" applyAlignment="1" applyProtection="1">
      <alignment horizontal="center"/>
      <protection locked="0"/>
    </xf>
    <xf numFmtId="0" fontId="4" fillId="0" borderId="19" xfId="0" applyFont="1" applyBorder="1" applyAlignment="1" applyProtection="1">
      <alignment horizontal="center" vertical="center"/>
      <protection locked="0"/>
    </xf>
    <xf numFmtId="164" fontId="0" fillId="0" borderId="45" xfId="0" applyNumberFormat="1" applyBorder="1" applyAlignment="1" applyProtection="1">
      <alignment horizontal="center" vertical="center"/>
      <protection locked="0"/>
    </xf>
    <xf numFmtId="164" fontId="0" fillId="0" borderId="47" xfId="0" applyNumberFormat="1" applyBorder="1" applyAlignment="1" applyProtection="1">
      <alignment horizontal="center" vertical="center"/>
      <protection locked="0"/>
    </xf>
    <xf numFmtId="164" fontId="5" fillId="8" borderId="28" xfId="8" applyNumberFormat="1" applyFill="1" applyBorder="1" applyAlignment="1" applyProtection="1">
      <alignment horizontal="center" vertical="center"/>
      <protection locked="0"/>
    </xf>
    <xf numFmtId="9" fontId="5" fillId="8" borderId="44" xfId="4" applyFill="1" applyBorder="1" applyAlignment="1" applyProtection="1">
      <alignment horizontal="center" vertical="center"/>
      <protection locked="0"/>
    </xf>
    <xf numFmtId="164" fontId="5" fillId="8" borderId="44" xfId="8" applyNumberFormat="1" applyFill="1" applyBorder="1" applyAlignment="1" applyProtection="1">
      <alignment horizontal="center" vertical="center"/>
      <protection locked="0"/>
    </xf>
    <xf numFmtId="0" fontId="5" fillId="4" borderId="44" xfId="6"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164" fontId="0" fillId="0" borderId="48" xfId="0" applyNumberFormat="1" applyBorder="1" applyAlignment="1" applyProtection="1">
      <alignment horizontal="center" vertical="center"/>
      <protection locked="0"/>
    </xf>
    <xf numFmtId="164" fontId="0" fillId="0" borderId="49" xfId="0" applyNumberFormat="1" applyBorder="1" applyAlignment="1" applyProtection="1">
      <alignment horizontal="center" vertical="center"/>
      <protection locked="0"/>
    </xf>
    <xf numFmtId="164" fontId="0" fillId="0" borderId="62" xfId="0" applyNumberFormat="1" applyBorder="1" applyAlignment="1" applyProtection="1">
      <alignment horizontal="center" vertical="center"/>
      <protection locked="0"/>
    </xf>
    <xf numFmtId="164" fontId="5" fillId="8" borderId="57" xfId="8" applyNumberFormat="1" applyFill="1" applyBorder="1" applyAlignment="1" applyProtection="1">
      <alignment horizontal="center" vertical="center"/>
      <protection locked="0"/>
    </xf>
    <xf numFmtId="9" fontId="5" fillId="8" borderId="54" xfId="4" applyFill="1" applyBorder="1" applyAlignment="1" applyProtection="1">
      <alignment horizontal="center" vertical="center"/>
      <protection locked="0"/>
    </xf>
    <xf numFmtId="164" fontId="5" fillId="8" borderId="54" xfId="8" applyNumberFormat="1" applyFill="1" applyBorder="1" applyAlignment="1" applyProtection="1">
      <alignment horizontal="center" vertical="center"/>
      <protection locked="0"/>
    </xf>
    <xf numFmtId="0" fontId="5" fillId="4" borderId="54" xfId="6" applyBorder="1" applyAlignment="1" applyProtection="1">
      <alignment horizontal="center" vertical="center"/>
      <protection locked="0"/>
    </xf>
    <xf numFmtId="0" fontId="9" fillId="10" borderId="26" xfId="0" applyFont="1" applyFill="1" applyBorder="1" applyAlignment="1" applyProtection="1">
      <alignment horizontal="center"/>
      <protection locked="0"/>
    </xf>
    <xf numFmtId="164" fontId="0" fillId="0" borderId="63" xfId="0" applyNumberFormat="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17" xfId="3" applyFont="1" applyBorder="1" applyAlignment="1" applyProtection="1">
      <alignment horizontal="center"/>
      <protection locked="0"/>
    </xf>
    <xf numFmtId="0" fontId="6" fillId="11" borderId="8" xfId="3" applyFont="1" applyFill="1" applyBorder="1" applyAlignment="1" applyProtection="1">
      <alignment horizontal="center"/>
      <protection locked="0"/>
    </xf>
    <xf numFmtId="0" fontId="6" fillId="11" borderId="8" xfId="3" applyFont="1" applyFill="1" applyBorder="1" applyAlignment="1" applyProtection="1">
      <protection locked="0"/>
    </xf>
    <xf numFmtId="0" fontId="6" fillId="11" borderId="9" xfId="3" applyFont="1" applyFill="1" applyBorder="1" applyAlignment="1" applyProtection="1">
      <protection locked="0"/>
    </xf>
    <xf numFmtId="0" fontId="9" fillId="11" borderId="27" xfId="0" applyFont="1" applyFill="1" applyBorder="1" applyAlignment="1" applyProtection="1">
      <alignment horizontal="center"/>
      <protection locked="0"/>
    </xf>
    <xf numFmtId="0" fontId="9" fillId="11" borderId="26" xfId="0" applyFont="1" applyFill="1" applyBorder="1" applyAlignment="1" applyProtection="1">
      <alignment horizontal="center"/>
      <protection locked="0"/>
    </xf>
    <xf numFmtId="0" fontId="4" fillId="4" borderId="64" xfId="6" applyFont="1" applyBorder="1" applyAlignment="1" applyProtection="1">
      <alignment horizontal="center" vertical="center"/>
      <protection locked="0"/>
    </xf>
    <xf numFmtId="0" fontId="4" fillId="4" borderId="65" xfId="6" applyFont="1" applyBorder="1" applyAlignment="1" applyProtection="1">
      <alignment horizontal="center" vertical="center"/>
      <protection locked="0"/>
    </xf>
    <xf numFmtId="0" fontId="12" fillId="0" borderId="25" xfId="5" applyFont="1" applyBorder="1" applyAlignment="1" applyProtection="1">
      <alignment horizontal="centerContinuous"/>
      <protection locked="0"/>
    </xf>
    <xf numFmtId="0" fontId="12" fillId="0" borderId="24" xfId="5" applyFont="1" applyBorder="1" applyAlignment="1" applyProtection="1">
      <alignment horizontal="centerContinuous"/>
      <protection locked="0"/>
    </xf>
    <xf numFmtId="0" fontId="6" fillId="2" borderId="22" xfId="3" applyFont="1" applyBorder="1" applyAlignment="1" applyProtection="1">
      <alignment horizontal="center"/>
      <protection locked="0"/>
    </xf>
    <xf numFmtId="164" fontId="0" fillId="0" borderId="66" xfId="0" applyNumberFormat="1" applyBorder="1" applyAlignment="1" applyProtection="1">
      <alignment horizontal="center" vertical="center"/>
      <protection locked="0"/>
    </xf>
    <xf numFmtId="164" fontId="0" fillId="0" borderId="67" xfId="0" applyNumberFormat="1" applyBorder="1" applyAlignment="1" applyProtection="1">
      <alignment horizontal="center" vertical="center"/>
      <protection locked="0"/>
    </xf>
    <xf numFmtId="0" fontId="4" fillId="12" borderId="29" xfId="8" applyFont="1" applyFill="1" applyBorder="1" applyAlignment="1" applyProtection="1">
      <alignment horizontal="center"/>
      <protection locked="0"/>
    </xf>
    <xf numFmtId="9" fontId="4" fillId="12" borderId="60" xfId="8" applyNumberFormat="1" applyFont="1" applyFill="1" applyBorder="1" applyAlignment="1" applyProtection="1">
      <alignment horizontal="center"/>
      <protection locked="0"/>
    </xf>
    <xf numFmtId="0" fontId="4" fillId="12" borderId="61" xfId="8" applyFont="1" applyFill="1" applyBorder="1" applyAlignment="1" applyProtection="1">
      <alignment horizontal="center"/>
      <protection locked="0"/>
    </xf>
    <xf numFmtId="164" fontId="5" fillId="12" borderId="28" xfId="8" applyNumberFormat="1" applyFill="1" applyBorder="1" applyAlignment="1" applyProtection="1">
      <alignment horizontal="center" vertical="center"/>
      <protection locked="0"/>
    </xf>
    <xf numFmtId="9" fontId="5" fillId="12" borderId="44" xfId="4" applyFill="1" applyBorder="1" applyAlignment="1" applyProtection="1">
      <alignment horizontal="center" vertical="center"/>
      <protection locked="0"/>
    </xf>
    <xf numFmtId="164" fontId="5" fillId="12" borderId="44" xfId="8" applyNumberFormat="1"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9" fontId="5" fillId="12" borderId="54" xfId="4" applyFill="1" applyBorder="1" applyAlignment="1" applyProtection="1">
      <alignment horizontal="center" vertical="center"/>
      <protection locked="0"/>
    </xf>
    <xf numFmtId="164" fontId="5" fillId="12" borderId="54" xfId="8" applyNumberFormat="1" applyFill="1" applyBorder="1" applyAlignment="1" applyProtection="1">
      <alignment horizontal="center" vertical="center"/>
      <protection locked="0"/>
    </xf>
    <xf numFmtId="164" fontId="0" fillId="0" borderId="68" xfId="0" applyNumberFormat="1" applyBorder="1" applyAlignment="1" applyProtection="1">
      <alignment horizontal="center" vertical="center"/>
      <protection locked="0"/>
    </xf>
    <xf numFmtId="164" fontId="0" fillId="0" borderId="69" xfId="0" applyNumberFormat="1" applyBorder="1" applyAlignment="1" applyProtection="1">
      <alignment horizontal="center" vertical="center"/>
      <protection locked="0"/>
    </xf>
    <xf numFmtId="164" fontId="0" fillId="0" borderId="70" xfId="0" applyNumberFormat="1" applyBorder="1" applyAlignment="1" applyProtection="1">
      <alignment horizontal="center" vertical="center"/>
      <protection locked="0"/>
    </xf>
    <xf numFmtId="0" fontId="4" fillId="14" borderId="51" xfId="7" applyFont="1" applyFill="1" applyBorder="1" applyAlignment="1" applyProtection="1">
      <alignment horizontal="center"/>
      <protection locked="0"/>
    </xf>
    <xf numFmtId="9" fontId="4" fillId="14" borderId="58" xfId="4" applyFont="1" applyFill="1" applyBorder="1" applyAlignment="1" applyProtection="1">
      <alignment horizontal="center"/>
      <protection locked="0"/>
    </xf>
    <xf numFmtId="0" fontId="4" fillId="14" borderId="6" xfId="7" applyFont="1" applyFill="1" applyBorder="1" applyAlignment="1" applyProtection="1">
      <alignment horizontal="center"/>
      <protection locked="0"/>
    </xf>
    <xf numFmtId="164" fontId="5" fillId="14" borderId="50" xfId="7" applyNumberFormat="1" applyFill="1" applyBorder="1" applyAlignment="1" applyProtection="1">
      <alignment horizontal="center"/>
      <protection locked="0"/>
    </xf>
    <xf numFmtId="9" fontId="5" fillId="14" borderId="46" xfId="4" applyFill="1" applyBorder="1" applyAlignment="1" applyProtection="1">
      <alignment horizontal="center"/>
      <protection locked="0"/>
    </xf>
    <xf numFmtId="0" fontId="5" fillId="14" borderId="46" xfId="7" applyFill="1" applyBorder="1" applyAlignment="1" applyProtection="1">
      <alignment horizontal="center"/>
      <protection locked="0"/>
    </xf>
    <xf numFmtId="164" fontId="5" fillId="14" borderId="52" xfId="7" applyNumberFormat="1" applyFill="1" applyBorder="1" applyAlignment="1" applyProtection="1">
      <alignment horizontal="center"/>
      <protection locked="0"/>
    </xf>
    <xf numFmtId="9" fontId="5" fillId="14" borderId="53" xfId="4" applyFill="1" applyBorder="1" applyAlignment="1" applyProtection="1">
      <alignment horizontal="center"/>
      <protection locked="0"/>
    </xf>
    <xf numFmtId="0" fontId="5" fillId="14" borderId="53" xfId="7" applyFill="1" applyBorder="1" applyAlignment="1" applyProtection="1">
      <alignment horizontal="center"/>
      <protection locked="0"/>
    </xf>
    <xf numFmtId="0" fontId="0" fillId="14" borderId="24" xfId="0" applyFill="1" applyBorder="1" applyAlignment="1" applyProtection="1">
      <alignment horizontal="center"/>
      <protection locked="0"/>
    </xf>
    <xf numFmtId="0" fontId="0" fillId="13" borderId="24" xfId="0" applyFill="1" applyBorder="1" applyAlignment="1" applyProtection="1">
      <alignment horizontal="center"/>
      <protection locked="0"/>
    </xf>
    <xf numFmtId="0" fontId="0" fillId="12" borderId="24"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56" xfId="4" applyFill="1" applyBorder="1" applyAlignment="1" applyProtection="1">
      <alignment horizontal="center" vertical="center"/>
      <protection locked="0"/>
    </xf>
    <xf numFmtId="9" fontId="5" fillId="4" borderId="71" xfId="4" applyFill="1" applyBorder="1" applyAlignment="1" applyProtection="1">
      <alignment horizontal="center" vertical="center"/>
      <protection locked="0"/>
    </xf>
    <xf numFmtId="164" fontId="5" fillId="12" borderId="71" xfId="8" applyNumberFormat="1" applyFill="1" applyBorder="1" applyAlignment="1" applyProtection="1">
      <alignment horizontal="center" vertical="center"/>
      <protection locked="0"/>
    </xf>
    <xf numFmtId="0" fontId="6" fillId="15" borderId="19" xfId="3" applyFont="1" applyFill="1" applyBorder="1" applyAlignment="1" applyProtection="1">
      <alignment horizontal="center"/>
      <protection locked="0"/>
    </xf>
    <xf numFmtId="0" fontId="6" fillId="16" borderId="6" xfId="3" applyFont="1" applyFill="1" applyBorder="1" applyAlignment="1" applyProtection="1">
      <alignment horizontal="center"/>
      <protection locked="0"/>
    </xf>
    <xf numFmtId="0" fontId="6" fillId="17" borderId="6" xfId="3" applyFont="1" applyFill="1" applyBorder="1" applyAlignment="1" applyProtection="1">
      <alignment horizontal="center"/>
      <protection locked="0"/>
    </xf>
    <xf numFmtId="0" fontId="6" fillId="3" borderId="6"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16" xfId="3" applyBorder="1" applyAlignment="1" applyProtection="1">
      <alignment horizontal="center" vertical="center"/>
      <protection locked="0"/>
    </xf>
    <xf numFmtId="0" fontId="7" fillId="3" borderId="17" xfId="0" applyFont="1" applyFill="1" applyBorder="1" applyAlignment="1" applyProtection="1">
      <alignment horizontal="center"/>
      <protection locked="0"/>
    </xf>
    <xf numFmtId="9" fontId="0" fillId="0" borderId="0" xfId="4" applyFont="1"/>
    <xf numFmtId="0" fontId="7" fillId="0" borderId="0" xfId="0" applyFont="1"/>
    <xf numFmtId="0" fontId="4" fillId="0" borderId="0" xfId="0" applyFont="1"/>
    <xf numFmtId="0" fontId="0" fillId="0" borderId="0" xfId="0" applyAlignment="1">
      <alignment horizontal="center" vertical="center"/>
    </xf>
    <xf numFmtId="0" fontId="0" fillId="0" borderId="13" xfId="0" applyBorder="1" applyAlignment="1">
      <alignment horizontal="center" vertical="center"/>
    </xf>
    <xf numFmtId="0" fontId="0" fillId="0" borderId="14" xfId="0" applyBorder="1"/>
    <xf numFmtId="0" fontId="4" fillId="0" borderId="13" xfId="0" applyFont="1" applyBorder="1"/>
    <xf numFmtId="0" fontId="0" fillId="0" borderId="82" xfId="0" applyBorder="1" applyAlignment="1">
      <alignment horizontal="center" vertical="center"/>
    </xf>
    <xf numFmtId="0" fontId="0" fillId="0" borderId="85" xfId="0" applyBorder="1" applyAlignment="1">
      <alignment horizontal="center" vertical="center"/>
    </xf>
    <xf numFmtId="0" fontId="4" fillId="0" borderId="76" xfId="0" applyFont="1" applyBorder="1" applyAlignment="1">
      <alignment horizontal="center" vertical="center"/>
    </xf>
    <xf numFmtId="9" fontId="0" fillId="0" borderId="81" xfId="4" applyFont="1" applyBorder="1" applyAlignment="1">
      <alignment horizontal="center" vertical="center"/>
    </xf>
    <xf numFmtId="0" fontId="0" fillId="0" borderId="86" xfId="0" applyBorder="1" applyAlignment="1">
      <alignment horizontal="center" vertical="center"/>
    </xf>
    <xf numFmtId="0" fontId="7" fillId="0" borderId="87" xfId="0" applyFont="1" applyBorder="1" applyAlignment="1">
      <alignment horizontal="center" vertical="center"/>
    </xf>
    <xf numFmtId="0" fontId="7" fillId="0" borderId="82" xfId="0" applyFont="1" applyBorder="1" applyAlignment="1">
      <alignment horizontal="center" vertical="center"/>
    </xf>
    <xf numFmtId="0" fontId="7" fillId="0" borderId="81" xfId="0" applyFont="1" applyBorder="1" applyAlignment="1">
      <alignment horizontal="center" vertical="center"/>
    </xf>
    <xf numFmtId="0" fontId="7" fillId="0" borderId="88" xfId="0" applyFont="1" applyBorder="1" applyAlignment="1">
      <alignment horizontal="center" vertical="center"/>
    </xf>
    <xf numFmtId="0" fontId="7" fillId="0" borderId="13" xfId="0" applyFont="1" applyBorder="1" applyAlignment="1">
      <alignment horizontal="center" vertical="center"/>
    </xf>
    <xf numFmtId="0" fontId="7" fillId="0" borderId="80" xfId="0" applyFont="1" applyBorder="1"/>
    <xf numFmtId="0" fontId="7" fillId="0" borderId="34" xfId="0" applyFont="1" applyBorder="1" applyAlignment="1">
      <alignment horizontal="center"/>
    </xf>
    <xf numFmtId="0" fontId="7" fillId="0" borderId="75" xfId="0" applyFont="1" applyBorder="1" applyAlignment="1">
      <alignment horizontal="center" vertical="center"/>
    </xf>
    <xf numFmtId="0" fontId="0" fillId="0" borderId="14" xfId="0" applyBorder="1" applyAlignment="1">
      <alignment horizontal="center" vertical="center" wrapText="1"/>
    </xf>
    <xf numFmtId="0" fontId="0" fillId="0" borderId="89" xfId="0" applyBorder="1" applyAlignment="1">
      <alignment horizontal="center" vertical="center"/>
    </xf>
    <xf numFmtId="0" fontId="0" fillId="0" borderId="83" xfId="0" applyBorder="1" applyAlignment="1">
      <alignment horizontal="center" vertical="center"/>
    </xf>
    <xf numFmtId="0" fontId="0" fillId="0" borderId="91" xfId="0" applyBorder="1" applyAlignment="1">
      <alignment horizontal="center" vertical="center"/>
    </xf>
    <xf numFmtId="0" fontId="0" fillId="0" borderId="92" xfId="0" applyBorder="1" applyAlignment="1">
      <alignment horizontal="center" vertical="center"/>
    </xf>
    <xf numFmtId="0" fontId="0" fillId="0" borderId="90" xfId="0" applyBorder="1" applyAlignment="1">
      <alignment horizontal="center" vertical="center"/>
    </xf>
    <xf numFmtId="0" fontId="0" fillId="0" borderId="84" xfId="0" applyBorder="1" applyAlignment="1">
      <alignment horizontal="center" vertical="center"/>
    </xf>
    <xf numFmtId="0" fontId="4" fillId="14" borderId="59" xfId="4" applyNumberFormat="1" applyFont="1" applyFill="1" applyBorder="1" applyAlignment="1" applyProtection="1">
      <protection locked="0"/>
    </xf>
    <xf numFmtId="0" fontId="4" fillId="14" borderId="23" xfId="4" applyNumberFormat="1" applyFont="1" applyFill="1" applyBorder="1" applyAlignment="1" applyProtection="1">
      <protection locked="0"/>
    </xf>
    <xf numFmtId="0" fontId="4" fillId="6" borderId="59" xfId="8" applyFont="1" applyBorder="1" applyAlignment="1" applyProtection="1">
      <protection locked="0"/>
    </xf>
    <xf numFmtId="0" fontId="4" fillId="6" borderId="23" xfId="8" applyFont="1" applyBorder="1" applyAlignment="1" applyProtection="1">
      <protection locked="0"/>
    </xf>
    <xf numFmtId="0" fontId="4" fillId="12" borderId="59" xfId="8" applyFont="1" applyFill="1" applyBorder="1" applyAlignment="1" applyProtection="1">
      <protection locked="0"/>
    </xf>
    <xf numFmtId="0" fontId="4" fillId="12" borderId="23" xfId="8" applyFont="1" applyFill="1" applyBorder="1" applyAlignment="1" applyProtection="1">
      <protection locked="0"/>
    </xf>
    <xf numFmtId="0" fontId="0" fillId="9" borderId="35" xfId="0" applyFill="1" applyBorder="1" applyAlignment="1">
      <alignment vertical="center"/>
    </xf>
    <xf numFmtId="0" fontId="0" fillId="9" borderId="27" xfId="0" applyFill="1" applyBorder="1" applyAlignment="1">
      <alignment vertical="center"/>
    </xf>
    <xf numFmtId="0" fontId="0" fillId="9" borderId="36" xfId="0" applyFill="1" applyBorder="1" applyAlignment="1">
      <alignment vertical="center"/>
    </xf>
    <xf numFmtId="0" fontId="0" fillId="0" borderId="37" xfId="0" applyBorder="1" applyAlignment="1">
      <alignment horizontal="center" wrapText="1"/>
    </xf>
    <xf numFmtId="0" fontId="0" fillId="0" borderId="20" xfId="0" applyBorder="1" applyAlignment="1">
      <alignment horizontal="center" wrapText="1"/>
    </xf>
    <xf numFmtId="0" fontId="0" fillId="0" borderId="38" xfId="0" applyBorder="1" applyAlignment="1">
      <alignment horizontal="center" wrapText="1"/>
    </xf>
    <xf numFmtId="0" fontId="0" fillId="0" borderId="10" xfId="0" applyBorder="1" applyAlignment="1">
      <alignment horizontal="center" wrapText="1"/>
    </xf>
    <xf numFmtId="0" fontId="0" fillId="0" borderId="0" xfId="0" applyAlignment="1">
      <alignment horizontal="center" wrapText="1"/>
    </xf>
    <xf numFmtId="0" fontId="0" fillId="0" borderId="11" xfId="0" applyBorder="1" applyAlignment="1">
      <alignment horizontal="center" wrapText="1"/>
    </xf>
    <xf numFmtId="0" fontId="0" fillId="0" borderId="39"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11" fillId="3" borderId="7" xfId="0" applyFont="1" applyFill="1" applyBorder="1" applyAlignment="1">
      <alignment horizontal="center"/>
    </xf>
    <xf numFmtId="0" fontId="11" fillId="3" borderId="8" xfId="0" applyFont="1" applyFill="1" applyBorder="1" applyAlignment="1">
      <alignment horizontal="center"/>
    </xf>
    <xf numFmtId="0" fontId="11" fillId="3" borderId="9" xfId="0" applyFont="1" applyFill="1" applyBorder="1" applyAlignment="1">
      <alignment horizontal="center"/>
    </xf>
    <xf numFmtId="0" fontId="0" fillId="3" borderId="0" xfId="0" applyFill="1" applyAlignment="1">
      <alignment vertical="center"/>
    </xf>
    <xf numFmtId="0" fontId="4" fillId="3" borderId="0" xfId="0" applyFont="1" applyFill="1" applyAlignment="1">
      <alignment horizontal="center"/>
    </xf>
    <xf numFmtId="0" fontId="0" fillId="3" borderId="0" xfId="0" applyFill="1" applyAlignment="1">
      <alignment horizontal="center"/>
    </xf>
    <xf numFmtId="0" fontId="4" fillId="3" borderId="4" xfId="0" applyFont="1" applyFill="1" applyBorder="1" applyAlignment="1">
      <alignment horizontal="center"/>
    </xf>
    <xf numFmtId="0" fontId="4" fillId="3" borderId="20" xfId="0" applyFont="1" applyFill="1" applyBorder="1" applyAlignment="1">
      <alignment horizontal="center"/>
    </xf>
    <xf numFmtId="0" fontId="4" fillId="3" borderId="5" xfId="0" applyFont="1" applyFill="1" applyBorder="1" applyAlignment="1">
      <alignment horizontal="center"/>
    </xf>
    <xf numFmtId="0" fontId="3" fillId="2" borderId="74" xfId="3" applyBorder="1" applyAlignment="1" applyProtection="1">
      <alignment horizontal="center"/>
      <protection locked="0"/>
    </xf>
    <xf numFmtId="0" fontId="3" fillId="2" borderId="16" xfId="3" applyBorder="1" applyAlignment="1" applyProtection="1">
      <alignment horizontal="center"/>
      <protection locked="0"/>
    </xf>
    <xf numFmtId="0" fontId="3" fillId="2" borderId="74" xfId="3" applyBorder="1" applyAlignment="1" applyProtection="1">
      <alignment horizontal="center" vertical="center"/>
      <protection locked="0"/>
    </xf>
    <xf numFmtId="0" fontId="3" fillId="2" borderId="16" xfId="3" applyBorder="1" applyAlignment="1" applyProtection="1">
      <alignment horizontal="center" vertical="center"/>
      <protection locked="0"/>
    </xf>
    <xf numFmtId="0" fontId="3" fillId="2" borderId="72" xfId="3" applyBorder="1" applyAlignment="1" applyProtection="1">
      <alignment horizontal="center" vertical="center"/>
      <protection locked="0"/>
    </xf>
    <xf numFmtId="0" fontId="3" fillId="2" borderId="73" xfId="3" applyBorder="1" applyAlignment="1" applyProtection="1">
      <alignment horizontal="center" vertical="center"/>
      <protection locked="0"/>
    </xf>
    <xf numFmtId="0" fontId="1" fillId="3" borderId="1" xfId="1" applyFill="1" applyAlignment="1">
      <alignment horizontal="center"/>
    </xf>
    <xf numFmtId="0" fontId="4" fillId="0" borderId="25" xfId="0" applyFont="1" applyBorder="1" applyAlignment="1">
      <alignment horizontal="center"/>
    </xf>
    <xf numFmtId="0" fontId="4" fillId="0" borderId="24" xfId="0" applyFont="1" applyBorder="1" applyAlignment="1">
      <alignment horizontal="center"/>
    </xf>
    <xf numFmtId="0" fontId="4" fillId="0" borderId="43" xfId="0" applyFont="1" applyBorder="1" applyAlignment="1">
      <alignment horizontal="center"/>
    </xf>
    <xf numFmtId="0" fontId="0" fillId="0" borderId="10" xfId="0" applyBorder="1" applyAlignment="1">
      <alignment horizontal="center"/>
    </xf>
    <xf numFmtId="0" fontId="0" fillId="0" borderId="0" xfId="0" applyAlignment="1">
      <alignment horizontal="center"/>
    </xf>
    <xf numFmtId="0" fontId="0" fillId="0" borderId="11" xfId="0" applyBorder="1" applyAlignment="1">
      <alignment horizontal="center"/>
    </xf>
    <xf numFmtId="0" fontId="2" fillId="0" borderId="0" xfId="2" applyBorder="1" applyAlignment="1">
      <alignment horizontal="center" vertical="center" wrapText="1"/>
    </xf>
    <xf numFmtId="0" fontId="2" fillId="0" borderId="11" xfId="2" applyBorder="1" applyAlignment="1">
      <alignment horizontal="center" vertical="center" wrapText="1"/>
    </xf>
    <xf numFmtId="0" fontId="4" fillId="0" borderId="0" xfId="0" applyFont="1" applyAlignment="1">
      <alignment horizontal="center"/>
    </xf>
    <xf numFmtId="0" fontId="4" fillId="0" borderId="11" xfId="0" applyFont="1" applyBorder="1" applyAlignment="1">
      <alignment horizontal="center"/>
    </xf>
    <xf numFmtId="0" fontId="4" fillId="0" borderId="77" xfId="0" applyFont="1" applyBorder="1" applyAlignment="1">
      <alignment horizontal="center" wrapText="1"/>
    </xf>
    <xf numFmtId="0" fontId="4" fillId="0" borderId="78" xfId="0" applyFont="1" applyBorder="1" applyAlignment="1">
      <alignment horizontal="center" wrapText="1"/>
    </xf>
    <xf numFmtId="0" fontId="4" fillId="0" borderId="79" xfId="0" applyFont="1" applyBorder="1" applyAlignment="1">
      <alignment horizontal="center" wrapText="1"/>
    </xf>
    <xf numFmtId="0" fontId="2" fillId="0" borderId="22" xfId="5" applyBorder="1" applyAlignment="1" applyProtection="1">
      <alignment horizontal="left"/>
      <protection locked="0"/>
    </xf>
    <xf numFmtId="0" fontId="2" fillId="0" borderId="24" xfId="5" applyBorder="1" applyAlignment="1" applyProtection="1">
      <alignment horizontal="left"/>
      <protection locked="0"/>
    </xf>
    <xf numFmtId="0" fontId="2" fillId="0" borderId="43" xfId="5" applyBorder="1" applyAlignment="1" applyProtection="1">
      <alignment horizontal="left"/>
      <protection locked="0"/>
    </xf>
    <xf numFmtId="0" fontId="6" fillId="2" borderId="8" xfId="3" applyFont="1" applyBorder="1" applyAlignment="1" applyProtection="1">
      <alignment horizontal="left"/>
      <protection locked="0"/>
    </xf>
    <xf numFmtId="0" fontId="6" fillId="2" borderId="9" xfId="3" applyFont="1" applyBorder="1" applyAlignment="1" applyProtection="1">
      <alignment horizontal="left"/>
      <protection locked="0"/>
    </xf>
    <xf numFmtId="0" fontId="2" fillId="0" borderId="23" xfId="5" applyBorder="1" applyAlignment="1" applyProtection="1">
      <alignment horizontal="left"/>
      <protection locked="0"/>
    </xf>
    <xf numFmtId="0" fontId="2" fillId="14" borderId="25" xfId="5" applyFill="1" applyBorder="1" applyAlignment="1" applyProtection="1">
      <alignment horizontal="left"/>
      <protection locked="0"/>
    </xf>
    <xf numFmtId="0" fontId="2" fillId="14" borderId="24" xfId="5" applyFill="1" applyBorder="1" applyAlignment="1" applyProtection="1">
      <alignment horizontal="left"/>
      <protection locked="0"/>
    </xf>
    <xf numFmtId="0" fontId="2" fillId="13" borderId="22" xfId="5" applyFill="1" applyBorder="1" applyAlignment="1" applyProtection="1">
      <alignment horizontal="left"/>
      <protection locked="0"/>
    </xf>
    <xf numFmtId="0" fontId="2" fillId="13" borderId="24" xfId="5" applyFill="1" applyBorder="1" applyAlignment="1" applyProtection="1">
      <alignment horizontal="left"/>
      <protection locked="0"/>
    </xf>
    <xf numFmtId="0" fontId="2" fillId="12" borderId="22" xfId="5" applyFill="1" applyBorder="1" applyAlignment="1" applyProtection="1">
      <alignment horizontal="left"/>
      <protection locked="0"/>
    </xf>
    <xf numFmtId="0" fontId="2" fillId="12" borderId="24" xfId="5" applyFill="1" applyBorder="1" applyAlignment="1" applyProtection="1">
      <alignment horizontal="left"/>
      <protection locked="0"/>
    </xf>
    <xf numFmtId="0" fontId="2" fillId="12" borderId="23" xfId="5" applyFill="1" applyBorder="1" applyAlignment="1" applyProtection="1">
      <alignment horizontal="left"/>
      <protection locked="0"/>
    </xf>
    <xf numFmtId="0" fontId="2" fillId="0" borderId="22" xfId="5" applyBorder="1" applyAlignment="1" applyProtection="1">
      <alignment horizontal="center"/>
    </xf>
    <xf numFmtId="0" fontId="2" fillId="0" borderId="24" xfId="5" applyBorder="1" applyAlignment="1" applyProtection="1">
      <alignment horizontal="center"/>
    </xf>
    <xf numFmtId="0" fontId="2" fillId="0" borderId="23" xfId="5" applyBorder="1" applyAlignment="1" applyProtection="1">
      <alignment horizontal="center"/>
    </xf>
    <xf numFmtId="0" fontId="6" fillId="2" borderId="8" xfId="3" applyFont="1" applyBorder="1" applyAlignment="1" applyProtection="1">
      <alignment horizontal="center"/>
    </xf>
    <xf numFmtId="0" fontId="6" fillId="2" borderId="9" xfId="3" applyFont="1" applyBorder="1" applyAlignment="1" applyProtection="1">
      <alignment horizontal="center"/>
    </xf>
    <xf numFmtId="0" fontId="2" fillId="0" borderId="43" xfId="5" applyBorder="1" applyAlignment="1" applyProtection="1">
      <alignment horizontal="center"/>
    </xf>
    <xf numFmtId="0" fontId="4" fillId="7" borderId="59" xfId="4" applyNumberFormat="1" applyFont="1" applyFill="1" applyBorder="1" applyAlignment="1" applyProtection="1">
      <alignment horizontal="center"/>
    </xf>
    <xf numFmtId="0" fontId="4" fillId="7" borderId="23" xfId="4" applyNumberFormat="1" applyFont="1" applyFill="1" applyBorder="1" applyAlignment="1" applyProtection="1">
      <alignment horizontal="center"/>
    </xf>
    <xf numFmtId="0" fontId="4" fillId="6" borderId="59" xfId="8" applyFont="1" applyBorder="1" applyAlignment="1" applyProtection="1">
      <alignment horizontal="center"/>
    </xf>
    <xf numFmtId="0" fontId="4" fillId="6" borderId="23" xfId="8" applyFont="1" applyBorder="1" applyAlignment="1" applyProtection="1">
      <alignment horizontal="center"/>
    </xf>
    <xf numFmtId="0" fontId="2" fillId="0" borderId="25"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7">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font>
        <strike val="0"/>
        <color theme="0"/>
      </font>
    </dxf>
  </dxfs>
  <tableStyles count="0" defaultTableStyle="TableStyleMedium2" defaultPivotStyle="PivotStyleLight16"/>
  <colors>
    <mruColors>
      <color rgb="FFBAC2FE"/>
      <color rgb="FFC9C9C9"/>
      <color rgb="FFCCECFF"/>
      <color rgb="FFFACDAC"/>
      <color rgb="FFFFB9B9"/>
      <color rgb="FFFF9B9B"/>
      <color rgb="FFFFCCFF"/>
      <color rgb="FFFF9F9F"/>
      <color rgb="FFFF6969"/>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34</xdr:row>
      <xdr:rowOff>123825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191000" y="190499"/>
          <a:ext cx="2419350" cy="658177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solidFill>
                <a:schemeClr val="dk1"/>
              </a:solidFill>
              <a:effectLst/>
              <a:latin typeface="+mn-lt"/>
              <a:ea typeface="+mn-ea"/>
              <a:cs typeface="+mn-cs"/>
            </a:rPr>
            <a:t>Please </a:t>
          </a:r>
          <a:r>
            <a:rPr lang="en-AU" sz="1100" b="1">
              <a:solidFill>
                <a:schemeClr val="dk1"/>
              </a:solidFill>
              <a:effectLst/>
              <a:latin typeface="+mn-lt"/>
              <a:ea typeface="+mn-ea"/>
              <a:cs typeface="+mn-cs"/>
            </a:rPr>
            <a:t>ONLY use</a:t>
          </a:r>
          <a:r>
            <a:rPr lang="en-AU" sz="1100" b="1" baseline="0">
              <a:solidFill>
                <a:schemeClr val="dk1"/>
              </a:solidFill>
              <a:effectLst/>
              <a:latin typeface="+mn-lt"/>
              <a:ea typeface="+mn-ea"/>
              <a:cs typeface="+mn-cs"/>
            </a:rPr>
            <a:t> this page </a:t>
          </a:r>
          <a:r>
            <a:rPr lang="en-AU" sz="1100" b="0" baseline="0">
              <a:solidFill>
                <a:schemeClr val="dk1"/>
              </a:solidFill>
              <a:effectLst/>
              <a:latin typeface="+mn-lt"/>
              <a:ea typeface="+mn-ea"/>
              <a:cs typeface="+mn-cs"/>
            </a:rPr>
            <a:t>to</a:t>
          </a:r>
          <a:r>
            <a:rPr lang="en-AU" sz="1100">
              <a:solidFill>
                <a:schemeClr val="dk1"/>
              </a:solidFill>
              <a:effectLst/>
              <a:latin typeface="+mn-lt"/>
              <a:ea typeface="+mn-ea"/>
              <a:cs typeface="+mn-cs"/>
            </a:rPr>
            <a:t> add/delete students. If they are not in the class anymore, put a N in the "Enrolled" Column.</a:t>
          </a:r>
          <a:endParaRPr lang="en-AU">
            <a:effectLst/>
          </a:endParaRPr>
        </a:p>
        <a:p>
          <a:r>
            <a:rPr lang="en-AU" sz="1100">
              <a:solidFill>
                <a:schemeClr val="dk1"/>
              </a:solidFill>
              <a:effectLst/>
              <a:latin typeface="+mn-lt"/>
              <a:ea typeface="+mn-ea"/>
              <a:cs typeface="+mn-cs"/>
            </a:rPr>
            <a:t>Add students to the end of the list.</a:t>
          </a:r>
          <a:r>
            <a:rPr lang="en-AU" sz="1100" baseline="0">
              <a:solidFill>
                <a:schemeClr val="dk1"/>
              </a:solidFill>
              <a:effectLst/>
              <a:latin typeface="+mn-lt"/>
              <a:ea typeface="+mn-ea"/>
              <a:cs typeface="+mn-cs"/>
            </a:rPr>
            <a:t> </a:t>
          </a:r>
          <a:r>
            <a:rPr lang="en-AU" sz="1100" b="1" baseline="0">
              <a:solidFill>
                <a:schemeClr val="dk1"/>
              </a:solidFill>
              <a:effectLst/>
              <a:latin typeface="+mn-lt"/>
              <a:ea typeface="+mn-ea"/>
              <a:cs typeface="+mn-cs"/>
            </a:rPr>
            <a:t>DO NOT</a:t>
          </a:r>
          <a:r>
            <a:rPr lang="en-AU" sz="1100" b="0" baseline="0">
              <a:solidFill>
                <a:schemeClr val="dk1"/>
              </a:solidFill>
              <a:effectLst/>
              <a:latin typeface="+mn-lt"/>
              <a:ea typeface="+mn-ea"/>
              <a:cs typeface="+mn-cs"/>
            </a:rPr>
            <a:t> manually add them to the Semester Tab!</a:t>
          </a:r>
          <a:endParaRPr lang="en-AU">
            <a:effectLst/>
          </a:endParaRP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p>
        <a:p>
          <a:r>
            <a:rPr lang="en-AU" sz="1100" baseline="0">
              <a:solidFill>
                <a:srgbClr val="FF0000"/>
              </a:solidFill>
            </a:rPr>
            <a:t>File&gt;Options&gt;Trust Center&gt;Trust Center Settings&gt;Macro Settings&gt;Enable All Macros</a:t>
          </a:r>
        </a:p>
        <a:p>
          <a:r>
            <a:rPr lang="en-AU" sz="1100">
              <a:solidFill>
                <a:srgbClr val="FF0000"/>
              </a:solidFill>
            </a:rPr>
            <a:t>If you see this:</a:t>
          </a:r>
        </a:p>
        <a:p>
          <a:endParaRPr lang="en-AU" sz="1100"/>
        </a:p>
        <a:p>
          <a:endParaRPr lang="en-AU" sz="1100"/>
        </a:p>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Close Markbook&gt;</a:t>
          </a:r>
          <a:r>
            <a:rPr lang="en-AU" sz="1100" baseline="0">
              <a:solidFill>
                <a:srgbClr val="FF0000"/>
              </a:solidFill>
              <a:effectLst/>
              <a:latin typeface="+mn-lt"/>
              <a:ea typeface="+mn-ea"/>
              <a:cs typeface="+mn-cs"/>
            </a:rPr>
            <a:t> Right Click in File Explorer&gt;Properties&gt;Untick Unblock </a:t>
          </a:r>
          <a:endParaRPr lang="en-AU">
            <a:solidFill>
              <a:srgbClr val="FF0000"/>
            </a:solidFill>
            <a:effectLst/>
          </a:endParaRPr>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581025</xdr:colOff>
          <xdr:row>35</xdr:row>
          <xdr:rowOff>123825</xdr:rowOff>
        </xdr:from>
        <xdr:to>
          <xdr:col>10</xdr:col>
          <xdr:colOff>104775</xdr:colOff>
          <xdr:row>38</xdr:row>
          <xdr:rowOff>85725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twoCellAnchor editAs="oneCell">
    <xdr:from>
      <xdr:col>7</xdr:col>
      <xdr:colOff>66675</xdr:colOff>
      <xdr:row>31</xdr:row>
      <xdr:rowOff>19050</xdr:rowOff>
    </xdr:from>
    <xdr:to>
      <xdr:col>8</xdr:col>
      <xdr:colOff>590550</xdr:colOff>
      <xdr:row>32</xdr:row>
      <xdr:rowOff>85726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t="1" r="84178" b="13"/>
        <a:stretch/>
      </xdr:blipFill>
      <xdr:spPr>
        <a:xfrm>
          <a:off x="4257675" y="6086475"/>
          <a:ext cx="1133475" cy="257176"/>
        </a:xfrm>
        <a:prstGeom prst="rect">
          <a:avLst/>
        </a:prstGeom>
      </xdr:spPr>
    </xdr:pic>
    <xdr:clientData/>
  </xdr:twoCellAnchor>
  <xdr:twoCellAnchor editAs="oneCell">
    <xdr:from>
      <xdr:col>11</xdr:col>
      <xdr:colOff>85725</xdr:colOff>
      <xdr:row>23</xdr:row>
      <xdr:rowOff>57150</xdr:rowOff>
    </xdr:from>
    <xdr:to>
      <xdr:col>13</xdr:col>
      <xdr:colOff>265831</xdr:colOff>
      <xdr:row>35</xdr:row>
      <xdr:rowOff>689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715125" y="4600575"/>
          <a:ext cx="1599331" cy="22390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48675"/>
          <a:ext cx="1543049"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86801"/>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36865" name="Group Box 1" hidden="1">
              <a:extLst>
                <a:ext uri="{63B3BB69-23CF-44E3-9099-C40C66FF867C}">
                  <a14:compatExt spid="_x0000_s36865"/>
                </a:ext>
                <a:ext uri="{FF2B5EF4-FFF2-40B4-BE49-F238E27FC236}">
                  <a16:creationId xmlns:a16="http://schemas.microsoft.com/office/drawing/2014/main" id="{00000000-0008-0000-0200-0000019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13469" y="7773328"/>
          <a:ext cx="434895" cy="56746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929493" y="376917"/>
          <a:ext cx="146127" cy="375560"/>
          <a:chOff x="4370613" y="2128157"/>
          <a:chExt cx="146127" cy="375560"/>
        </a:xfrm>
      </xdr:grpSpPr>
      <xdr:sp macro="[0]!AddAssessment" textlink="">
        <xdr:nvSpPr>
          <xdr:cNvPr id="4" name="Trapezoid 3">
            <a:extLst>
              <a:ext uri="{FF2B5EF4-FFF2-40B4-BE49-F238E27FC236}">
                <a16:creationId xmlns:a16="http://schemas.microsoft.com/office/drawing/2014/main" id="{00000000-0008-0000-0200-00000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5" name="Cross 4">
            <a:extLst>
              <a:ext uri="{FF2B5EF4-FFF2-40B4-BE49-F238E27FC236}">
                <a16:creationId xmlns:a16="http://schemas.microsoft.com/office/drawing/2014/main" id="{00000000-0008-0000-0200-00000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2247" y="376918"/>
          <a:ext cx="146127" cy="375560"/>
          <a:chOff x="4659085" y="2122715"/>
          <a:chExt cx="146127" cy="375560"/>
        </a:xfrm>
      </xdr:grpSpPr>
      <xdr:sp macro="[0]!DeleteLastAssess" textlink="">
        <xdr:nvSpPr>
          <xdr:cNvPr id="7" name="Trapezoid 6">
            <a:extLst>
              <a:ext uri="{FF2B5EF4-FFF2-40B4-BE49-F238E27FC236}">
                <a16:creationId xmlns:a16="http://schemas.microsoft.com/office/drawing/2014/main" id="{00000000-0008-0000-0200-000007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8" name="Minus Sign 7">
            <a:extLst>
              <a:ext uri="{FF2B5EF4-FFF2-40B4-BE49-F238E27FC236}">
                <a16:creationId xmlns:a16="http://schemas.microsoft.com/office/drawing/2014/main" id="{00000000-0008-0000-0200-000008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1553765" y="7775942"/>
          <a:ext cx="426482" cy="565415"/>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593011" y="7773535"/>
          <a:ext cx="433945" cy="567055"/>
        </a:xfrm>
        <a:prstGeom prst="rect">
          <a:avLst/>
        </a:prstGeom>
      </xdr:spPr>
    </xdr:pic>
    <xdr:clientData/>
  </xdr:twoCellAnchor>
  <xdr:twoCellAnchor editAs="oneCell">
    <xdr:from>
      <xdr:col>1</xdr:col>
      <xdr:colOff>24488</xdr:colOff>
      <xdr:row>40</xdr:row>
      <xdr:rowOff>132969</xdr:rowOff>
    </xdr:from>
    <xdr:to>
      <xdr:col>1</xdr:col>
      <xdr:colOff>473433</xdr:colOff>
      <xdr:row>43</xdr:row>
      <xdr:rowOff>130285</xdr:rowOff>
    </xdr:to>
    <xdr:pic macro="[0]!ShowAll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4"/>
        <a:stretch>
          <a:fillRect/>
        </a:stretch>
      </xdr:blipFill>
      <xdr:spPr>
        <a:xfrm>
          <a:off x="1072238" y="7772019"/>
          <a:ext cx="448945" cy="56881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333375" y="8448675"/>
          <a:ext cx="1543049" cy="477836"/>
          <a:chOff x="699989" y="3255968"/>
          <a:chExt cx="1884534" cy="576892"/>
        </a:xfrm>
      </xdr:grpSpPr>
      <xdr:pic macro="[0]!AddEOSAssessment">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4" name="Rectangle 13">
            <a:extLst>
              <a:ext uri="{FF2B5EF4-FFF2-40B4-BE49-F238E27FC236}">
                <a16:creationId xmlns:a16="http://schemas.microsoft.com/office/drawing/2014/main" id="{00000000-0008-0000-0200-00000E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xdr:from>
      <xdr:col>0</xdr:col>
      <xdr:colOff>381000</xdr:colOff>
      <xdr:row>45</xdr:row>
      <xdr:rowOff>95251</xdr:rowOff>
    </xdr:from>
    <xdr:to>
      <xdr:col>0</xdr:col>
      <xdr:colOff>672499</xdr:colOff>
      <xdr:row>46</xdr:row>
      <xdr:rowOff>95250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81000" y="8686801"/>
          <a:ext cx="291499" cy="190499"/>
          <a:chOff x="6126341" y="2133035"/>
          <a:chExt cx="337782" cy="220745"/>
        </a:xfrm>
      </xdr:grpSpPr>
      <xdr:pic macro="[0]!ShowOnlyEOSAssessment">
        <xdr:nvPicPr>
          <xdr:cNvPr id="17" name="Picture 16" descr="Related image">
            <a:extLst>
              <a:ext uri="{FF2B5EF4-FFF2-40B4-BE49-F238E27FC236}">
                <a16:creationId xmlns:a16="http://schemas.microsoft.com/office/drawing/2014/main" id="{00000000-0008-0000-0200-000011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18" name="Straight Connector 17">
            <a:extLst>
              <a:ext uri="{FF2B5EF4-FFF2-40B4-BE49-F238E27FC236}">
                <a16:creationId xmlns:a16="http://schemas.microsoft.com/office/drawing/2014/main" id="{00000000-0008-0000-0200-000012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168206</xdr:colOff>
      <xdr:row>0</xdr:row>
      <xdr:rowOff>0</xdr:rowOff>
    </xdr:from>
    <xdr:to>
      <xdr:col>13</xdr:col>
      <xdr:colOff>259315</xdr:colOff>
      <xdr:row>1</xdr:row>
      <xdr:rowOff>17642</xdr:rowOff>
    </xdr:to>
    <xdr:pic macro="[0]!PopulateProfile">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5646" b="15511"/>
        <a:stretch/>
      </xdr:blipFill>
      <xdr:spPr>
        <a:xfrm>
          <a:off x="6421861" y="0"/>
          <a:ext cx="518092" cy="359228"/>
        </a:xfrm>
        <a:prstGeom prst="rect">
          <a:avLst/>
        </a:prstGeom>
      </xdr:spPr>
    </xdr:pic>
    <xdr:clientData/>
  </xdr:twoCellAnchor>
  <xdr:twoCellAnchor>
    <xdr:from>
      <xdr:col>3</xdr:col>
      <xdr:colOff>63719</xdr:colOff>
      <xdr:row>0</xdr:row>
      <xdr:rowOff>0</xdr:rowOff>
    </xdr:from>
    <xdr:to>
      <xdr:col>6</xdr:col>
      <xdr:colOff>391239</xdr:colOff>
      <xdr:row>0</xdr:row>
      <xdr:rowOff>281608</xdr:rowOff>
    </xdr:to>
    <xdr:sp macro="" textlink="$C$1">
      <xdr:nvSpPr>
        <xdr:cNvPr id="9" name="TextBox 8">
          <a:extLst>
            <a:ext uri="{FF2B5EF4-FFF2-40B4-BE49-F238E27FC236}">
              <a16:creationId xmlns:a16="http://schemas.microsoft.com/office/drawing/2014/main" id="{00000000-0008-0000-0300-000009000000}"/>
            </a:ext>
          </a:extLst>
        </xdr:cNvPr>
        <xdr:cNvSpPr txBox="1"/>
      </xdr:nvSpPr>
      <xdr:spPr>
        <a:xfrm>
          <a:off x="2902169" y="0"/>
          <a:ext cx="1613395" cy="28160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1F3908-F510-4446-BC90-23E505638B80}" type="TxLink">
            <a:rPr lang="en-US" sz="1400" b="1" i="0" u="none" strike="noStrike">
              <a:solidFill>
                <a:srgbClr val="000000"/>
              </a:solidFill>
              <a:latin typeface="Calibri"/>
              <a:cs typeface="Calibri"/>
            </a:rPr>
            <a:pPr/>
            <a:t>2022 7A Science</a:t>
          </a:fld>
          <a:endParaRPr lang="en-US" sz="1400" b="1"/>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6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6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6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6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6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6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6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6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6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605880</xdr:colOff>
      <xdr:row>44</xdr:row>
      <xdr:rowOff>140804</xdr:rowOff>
    </xdr:from>
    <xdr:ext cx="853109" cy="843821"/>
    <xdr:sp macro="" textlink="">
      <xdr:nvSpPr>
        <xdr:cNvPr id="66" name="TextBox 65">
          <a:extLst>
            <a:ext uri="{FF2B5EF4-FFF2-40B4-BE49-F238E27FC236}">
              <a16:creationId xmlns:a16="http://schemas.microsoft.com/office/drawing/2014/main" id="{00000000-0008-0000-0600-000042000000}"/>
            </a:ext>
          </a:extLst>
        </xdr:cNvPr>
        <xdr:cNvSpPr txBox="1"/>
      </xdr:nvSpPr>
      <xdr:spPr>
        <a:xfrm>
          <a:off x="1996530"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6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6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6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6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6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600-00001D000000}"/>
            </a:ext>
          </a:extLst>
        </xdr:cNvPr>
        <xdr:cNvGrpSpPr/>
      </xdr:nvGrpSpPr>
      <xdr:grpSpPr>
        <a:xfrm>
          <a:off x="3476625" y="7829550"/>
          <a:ext cx="1543049" cy="477836"/>
          <a:chOff x="699989" y="3255968"/>
          <a:chExt cx="1884534" cy="576892"/>
        </a:xfrm>
      </xdr:grpSpPr>
      <xdr:pic>
        <xdr:nvPicPr>
          <xdr:cNvPr id="30" name="Picture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6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600-000022000000}"/>
            </a:ext>
          </a:extLst>
        </xdr:cNvPr>
        <xdr:cNvGrpSpPr/>
      </xdr:nvGrpSpPr>
      <xdr:grpSpPr>
        <a:xfrm>
          <a:off x="3524250" y="8067676"/>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600-000024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6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oneCellAnchor>
    <xdr:from>
      <xdr:col>4</xdr:col>
      <xdr:colOff>342900</xdr:colOff>
      <xdr:row>43</xdr:row>
      <xdr:rowOff>133350</xdr:rowOff>
    </xdr:from>
    <xdr:ext cx="857250" cy="1031693"/>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124200" y="8334375"/>
          <a:ext cx="857250"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Only shows EOS Template if added</a:t>
          </a:r>
        </a:p>
        <a:p>
          <a:endParaRPr lang="en-AU" sz="1200" baseline="0">
            <a:solidFill>
              <a:srgbClr val="FF0000"/>
            </a:solidFill>
          </a:endParaRPr>
        </a:p>
      </xdr:txBody>
    </xdr:sp>
    <xdr:clientData/>
  </xdr:oneCellAnchor>
  <xdr:oneCellAnchor>
    <xdr:from>
      <xdr:col>5</xdr:col>
      <xdr:colOff>571499</xdr:colOff>
      <xdr:row>43</xdr:row>
      <xdr:rowOff>142875</xdr:rowOff>
    </xdr:from>
    <xdr:ext cx="1038225" cy="1031693"/>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048124" y="8343900"/>
          <a:ext cx="1038225"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Adds EOS Template to the current WorkSheet</a:t>
          </a:r>
        </a:p>
        <a:p>
          <a:endParaRPr lang="en-AU" sz="1200" baseline="0">
            <a:solidFill>
              <a:srgbClr val="FF0000"/>
            </a:solidFill>
          </a:endParaRPr>
        </a:p>
      </xdr:txBody>
    </xdr:sp>
    <xdr:clientData/>
  </xdr:oneCellAnchor>
  <xdr:oneCellAnchor>
    <xdr:from>
      <xdr:col>22</xdr:col>
      <xdr:colOff>772205</xdr:colOff>
      <xdr:row>13</xdr:row>
      <xdr:rowOff>187968</xdr:rowOff>
    </xdr:from>
    <xdr:ext cx="2310653" cy="843821"/>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1706905" y="2673993"/>
          <a:ext cx="2310653"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Press</a:t>
          </a:r>
          <a:r>
            <a:rPr lang="en-AU" sz="1200" baseline="0">
              <a:solidFill>
                <a:srgbClr val="FF0000"/>
              </a:solidFill>
            </a:rPr>
            <a:t> the EOS Template button to add this template.</a:t>
          </a:r>
        </a:p>
        <a:p>
          <a:pPr algn="ctr"/>
          <a:r>
            <a:rPr lang="en-AU" sz="1200" baseline="0">
              <a:solidFill>
                <a:srgbClr val="FF0000"/>
              </a:solidFill>
            </a:rPr>
            <a:t>This Template has no calculations. Must be filled in manually.</a:t>
          </a:r>
          <a:endParaRPr lang="en-AU" sz="1200">
            <a:solidFill>
              <a:srgbClr val="FF0000"/>
            </a:solidFill>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19</xdr:row>
      <xdr:rowOff>142875</xdr:rowOff>
    </xdr:from>
    <xdr:ext cx="1668021" cy="264560"/>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3EED86-B9A9-4C52-AB52-687B83E1FFDE}" name="LetterPercent" displayName="LetterPercent" ref="A1:B16" totalsRowShown="0">
  <autoFilter ref="A1:B16" xr:uid="{1E3EED86-B9A9-4C52-AB52-687B83E1FFDE}"/>
  <tableColumns count="2">
    <tableColumn id="1" xr3:uid="{4E30AD2F-C188-4949-99C8-5EE4CD95DAD9}" name="Letter Grade"/>
    <tableColumn id="2" xr3:uid="{2C4C56CC-23D1-44B7-A374-2338608246FD}" name="Percentage Grad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B0F8B2-3741-4B4A-8B37-68677490744E}" name="LetterNumber" displayName="LetterNumber" ref="D1:E16" totalsRowShown="0">
  <autoFilter ref="D1:E16" xr:uid="{D6B0F8B2-3741-4B4A-8B37-68677490744E}"/>
  <tableColumns count="2">
    <tableColumn id="1" xr3:uid="{29E1F960-E8D1-4545-9887-2AEE9904CB4A}" name="Letter Grade"/>
    <tableColumn id="2" xr3:uid="{C1557EF9-33D0-482B-9BAD-3026C4A8443B}" name="Number Gra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C10" sqref="C10:E10"/>
    </sheetView>
  </sheetViews>
  <sheetFormatPr defaultColWidth="9.140625" defaultRowHeight="15" x14ac:dyDescent="0.25"/>
  <cols>
    <col min="1" max="1" width="2.5703125" style="10" customWidth="1"/>
    <col min="2" max="2" width="4.7109375" style="10" customWidth="1"/>
    <col min="3" max="5" width="15.7109375" style="10" customWidth="1"/>
    <col min="6" max="6" width="4.7109375" style="10" customWidth="1"/>
    <col min="7" max="7" width="3.7109375" style="10" customWidth="1"/>
    <col min="8" max="12" width="9.140625" style="10"/>
    <col min="13" max="13" width="12.140625" style="10" customWidth="1"/>
    <col min="14" max="14" width="11.140625" style="10" bestFit="1" customWidth="1"/>
    <col min="15" max="16384" width="9.140625" style="10"/>
  </cols>
  <sheetData>
    <row r="1" spans="2:11" ht="15.75" thickBot="1" x14ac:dyDescent="0.3"/>
    <row r="2" spans="2:11" ht="21" x14ac:dyDescent="0.35">
      <c r="B2" s="197" t="str">
        <f>_xlfn.CONCAT("CSC Markbook - V",Changelog!$B3)</f>
        <v>CSC Markbook - V1.12.2</v>
      </c>
      <c r="C2" s="198"/>
      <c r="D2" s="198"/>
      <c r="E2" s="198"/>
      <c r="F2" s="199"/>
      <c r="H2" s="202"/>
      <c r="I2" s="202"/>
      <c r="J2" s="202"/>
      <c r="K2" s="202"/>
    </row>
    <row r="3" spans="2:11" ht="20.25" customHeight="1" thickBot="1" x14ac:dyDescent="0.35">
      <c r="B3" s="1"/>
      <c r="C3" s="212" t="s">
        <v>24</v>
      </c>
      <c r="D3" s="212"/>
      <c r="E3" s="212"/>
      <c r="F3" s="2"/>
      <c r="H3" s="11"/>
      <c r="I3" s="11"/>
      <c r="J3" s="11"/>
      <c r="K3" s="11"/>
    </row>
    <row r="4" spans="2:11" ht="15.75" thickTop="1" x14ac:dyDescent="0.25">
      <c r="B4" s="1"/>
      <c r="C4" s="4" t="s">
        <v>28</v>
      </c>
      <c r="D4" s="150">
        <v>7</v>
      </c>
      <c r="E4" s="149" t="s">
        <v>14</v>
      </c>
      <c r="F4" s="2"/>
      <c r="H4" s="11"/>
      <c r="I4" s="11"/>
      <c r="J4" s="11"/>
      <c r="K4" s="11"/>
    </row>
    <row r="5" spans="2:11" x14ac:dyDescent="0.25">
      <c r="B5" s="1"/>
      <c r="C5" s="5" t="s">
        <v>22</v>
      </c>
      <c r="D5" s="206" t="s">
        <v>121</v>
      </c>
      <c r="E5" s="207"/>
      <c r="F5" s="2"/>
      <c r="H5" s="11"/>
      <c r="I5" s="11"/>
      <c r="J5" s="11"/>
      <c r="K5" s="11"/>
    </row>
    <row r="6" spans="2:11" x14ac:dyDescent="0.25">
      <c r="B6" s="1"/>
      <c r="C6" s="5" t="s">
        <v>27</v>
      </c>
      <c r="D6" s="208">
        <v>2022</v>
      </c>
      <c r="E6" s="209"/>
      <c r="F6" s="2"/>
      <c r="H6" s="11"/>
      <c r="I6" s="11"/>
      <c r="J6" s="11"/>
      <c r="K6" s="11"/>
    </row>
    <row r="7" spans="2:11" x14ac:dyDescent="0.25">
      <c r="B7" s="1"/>
      <c r="C7" s="5" t="s">
        <v>23</v>
      </c>
      <c r="D7" s="210" t="s">
        <v>135</v>
      </c>
      <c r="E7" s="211"/>
      <c r="F7" s="2"/>
      <c r="H7" s="11"/>
      <c r="I7" s="11"/>
      <c r="J7" s="11"/>
      <c r="K7" s="11"/>
    </row>
    <row r="8" spans="2:11" x14ac:dyDescent="0.25">
      <c r="B8" s="1"/>
      <c r="C8" s="203" t="s">
        <v>20</v>
      </c>
      <c r="D8" s="204"/>
      <c r="E8" s="205"/>
      <c r="F8" s="2"/>
      <c r="H8" s="11"/>
      <c r="I8" s="11"/>
      <c r="J8" s="11"/>
      <c r="K8" s="11"/>
    </row>
    <row r="9" spans="2:11" x14ac:dyDescent="0.25">
      <c r="B9" s="1"/>
      <c r="C9" s="6" t="s">
        <v>17</v>
      </c>
      <c r="D9" s="6" t="s">
        <v>18</v>
      </c>
      <c r="E9" s="3" t="s">
        <v>21</v>
      </c>
      <c r="F9" s="2"/>
      <c r="H9" s="11"/>
      <c r="I9" s="11"/>
      <c r="J9" s="11"/>
      <c r="K9" s="11"/>
    </row>
    <row r="10" spans="2:11" x14ac:dyDescent="0.25">
      <c r="B10" s="1"/>
      <c r="C10" s="14"/>
      <c r="D10" s="15"/>
      <c r="E10" s="14"/>
      <c r="F10" s="2"/>
      <c r="H10" s="11"/>
      <c r="I10" s="11"/>
      <c r="J10" s="11"/>
      <c r="K10" s="11"/>
    </row>
    <row r="11" spans="2:11" x14ac:dyDescent="0.25">
      <c r="B11" s="1"/>
      <c r="C11" s="14"/>
      <c r="D11" s="15"/>
      <c r="E11" s="14"/>
      <c r="F11" s="2"/>
      <c r="H11" s="11"/>
      <c r="I11" s="11"/>
      <c r="J11" s="11"/>
      <c r="K11" s="11"/>
    </row>
    <row r="12" spans="2:11" x14ac:dyDescent="0.25">
      <c r="B12" s="1"/>
      <c r="C12" s="14"/>
      <c r="D12" s="15"/>
      <c r="E12" s="14"/>
      <c r="F12" s="2"/>
      <c r="H12" s="11"/>
      <c r="I12" s="11"/>
      <c r="J12" s="11"/>
      <c r="K12" s="11"/>
    </row>
    <row r="13" spans="2:11" x14ac:dyDescent="0.25">
      <c r="B13" s="1"/>
      <c r="C13" s="14"/>
      <c r="D13" s="15"/>
      <c r="E13" s="14"/>
      <c r="F13" s="2"/>
      <c r="H13" s="11"/>
      <c r="I13" s="11"/>
      <c r="J13" s="11"/>
      <c r="K13" s="11"/>
    </row>
    <row r="14" spans="2:11" x14ac:dyDescent="0.25">
      <c r="B14" s="1"/>
      <c r="C14" s="14"/>
      <c r="D14" s="15"/>
      <c r="E14" s="14"/>
      <c r="F14" s="2"/>
      <c r="H14" s="11"/>
      <c r="I14" s="11"/>
      <c r="J14" s="11"/>
      <c r="K14" s="11"/>
    </row>
    <row r="15" spans="2:11" x14ac:dyDescent="0.25">
      <c r="B15" s="1"/>
      <c r="C15" s="14"/>
      <c r="D15" s="15"/>
      <c r="E15" s="14"/>
      <c r="F15" s="2"/>
      <c r="H15" s="11"/>
      <c r="I15" s="11"/>
      <c r="J15" s="11"/>
      <c r="K15" s="11"/>
    </row>
    <row r="16" spans="2:11" x14ac:dyDescent="0.25">
      <c r="B16" s="1"/>
      <c r="C16" s="14"/>
      <c r="D16" s="15"/>
      <c r="E16" s="14"/>
      <c r="F16" s="2"/>
      <c r="H16" s="11"/>
      <c r="I16" s="11"/>
      <c r="J16" s="11"/>
      <c r="K16" s="11"/>
    </row>
    <row r="17" spans="2:11" x14ac:dyDescent="0.25">
      <c r="B17" s="1"/>
      <c r="C17" s="14"/>
      <c r="D17" s="15"/>
      <c r="E17" s="14"/>
      <c r="F17" s="2"/>
      <c r="H17" s="11"/>
      <c r="I17" s="11"/>
      <c r="J17" s="11"/>
      <c r="K17" s="11"/>
    </row>
    <row r="18" spans="2:11" x14ac:dyDescent="0.25">
      <c r="B18" s="1"/>
      <c r="C18" s="14"/>
      <c r="D18" s="15"/>
      <c r="E18" s="14"/>
      <c r="F18" s="2"/>
      <c r="H18" s="11"/>
      <c r="I18" s="11"/>
      <c r="J18" s="11"/>
      <c r="K18" s="11"/>
    </row>
    <row r="19" spans="2:11" x14ac:dyDescent="0.25">
      <c r="B19" s="1"/>
      <c r="C19" s="14"/>
      <c r="D19" s="15"/>
      <c r="E19" s="14"/>
      <c r="F19" s="2"/>
      <c r="H19" s="11"/>
      <c r="I19" s="11"/>
      <c r="J19" s="11"/>
      <c r="K19" s="11"/>
    </row>
    <row r="20" spans="2:11" x14ac:dyDescent="0.25">
      <c r="B20" s="1"/>
      <c r="C20" s="14"/>
      <c r="D20" s="15"/>
      <c r="E20" s="14"/>
      <c r="F20" s="2"/>
      <c r="H20" s="11"/>
      <c r="I20" s="11"/>
      <c r="J20" s="11"/>
      <c r="K20" s="11"/>
    </row>
    <row r="21" spans="2:11" x14ac:dyDescent="0.25">
      <c r="B21" s="1"/>
      <c r="C21" s="14"/>
      <c r="D21" s="15"/>
      <c r="E21" s="14"/>
      <c r="F21" s="2"/>
      <c r="H21" s="11"/>
      <c r="I21" s="11"/>
      <c r="J21" s="11"/>
      <c r="K21" s="11"/>
    </row>
    <row r="22" spans="2:11" x14ac:dyDescent="0.25">
      <c r="B22" s="1"/>
      <c r="C22" s="14"/>
      <c r="D22" s="15"/>
      <c r="E22" s="14"/>
      <c r="F22" s="2"/>
      <c r="H22" s="11"/>
      <c r="I22" s="11"/>
      <c r="J22" s="11"/>
      <c r="K22" s="11"/>
    </row>
    <row r="23" spans="2:11" x14ac:dyDescent="0.25">
      <c r="B23" s="1"/>
      <c r="C23" s="14"/>
      <c r="D23" s="15"/>
      <c r="E23" s="14"/>
      <c r="F23" s="2"/>
      <c r="H23" s="11"/>
      <c r="I23" s="11"/>
      <c r="J23" s="11"/>
      <c r="K23" s="11"/>
    </row>
    <row r="24" spans="2:11" x14ac:dyDescent="0.25">
      <c r="B24" s="1"/>
      <c r="C24" s="14"/>
      <c r="D24" s="15"/>
      <c r="E24" s="14"/>
      <c r="F24" s="2"/>
      <c r="H24" s="11"/>
      <c r="I24" s="11"/>
      <c r="J24" s="11"/>
      <c r="K24" s="11"/>
    </row>
    <row r="25" spans="2:11" x14ac:dyDescent="0.25">
      <c r="B25" s="1"/>
      <c r="C25" s="14"/>
      <c r="D25" s="15"/>
      <c r="E25" s="14"/>
      <c r="F25" s="2"/>
      <c r="H25" s="32"/>
      <c r="I25" s="201"/>
      <c r="J25" s="201"/>
      <c r="K25" s="201"/>
    </row>
    <row r="26" spans="2:11" x14ac:dyDescent="0.25">
      <c r="B26" s="1"/>
      <c r="C26" s="14"/>
      <c r="D26" s="15"/>
      <c r="E26" s="14"/>
      <c r="F26" s="2"/>
      <c r="H26" s="33"/>
      <c r="I26" s="202"/>
      <c r="J26" s="202"/>
      <c r="K26" s="202"/>
    </row>
    <row r="27" spans="2:11" ht="15" customHeight="1" x14ac:dyDescent="0.25">
      <c r="B27" s="1"/>
      <c r="C27" s="14"/>
      <c r="D27" s="15"/>
      <c r="E27" s="14"/>
      <c r="F27" s="2"/>
      <c r="H27" s="200"/>
      <c r="I27" s="31"/>
      <c r="J27" s="31"/>
      <c r="K27" s="31"/>
    </row>
    <row r="28" spans="2:11" x14ac:dyDescent="0.25">
      <c r="B28" s="1"/>
      <c r="C28" s="14"/>
      <c r="D28" s="15"/>
      <c r="E28" s="14"/>
      <c r="F28" s="2"/>
      <c r="H28" s="200"/>
      <c r="I28" s="31"/>
      <c r="J28" s="31"/>
      <c r="K28" s="31"/>
    </row>
    <row r="29" spans="2:11" x14ac:dyDescent="0.25">
      <c r="B29" s="1"/>
      <c r="C29" s="14"/>
      <c r="D29" s="15"/>
      <c r="E29" s="14"/>
      <c r="F29" s="2"/>
      <c r="H29" s="200"/>
      <c r="I29" s="31"/>
      <c r="J29" s="31"/>
      <c r="K29" s="31"/>
    </row>
    <row r="30" spans="2:11" x14ac:dyDescent="0.25">
      <c r="B30" s="1"/>
      <c r="C30" s="14"/>
      <c r="D30" s="15"/>
      <c r="E30" s="14"/>
      <c r="F30" s="2"/>
      <c r="H30" s="11"/>
      <c r="I30" s="11"/>
      <c r="J30" s="11"/>
      <c r="K30" s="11"/>
    </row>
    <row r="31" spans="2:11" x14ac:dyDescent="0.25">
      <c r="B31" s="1"/>
      <c r="C31" s="14"/>
      <c r="D31" s="15"/>
      <c r="E31" s="14"/>
      <c r="F31" s="2"/>
      <c r="H31" s="11"/>
      <c r="I31" s="11"/>
      <c r="J31" s="11"/>
      <c r="K31" s="11"/>
    </row>
    <row r="32" spans="2:11" x14ac:dyDescent="0.25">
      <c r="B32" s="1"/>
      <c r="C32" s="14"/>
      <c r="D32" s="15"/>
      <c r="E32" s="14"/>
      <c r="F32" s="2"/>
    </row>
    <row r="33" spans="2:11" x14ac:dyDescent="0.25">
      <c r="B33" s="1"/>
      <c r="C33" s="14"/>
      <c r="D33" s="15"/>
      <c r="E33" s="14"/>
      <c r="F33" s="2"/>
    </row>
    <row r="34" spans="2:11" ht="15.75" customHeight="1" x14ac:dyDescent="0.25">
      <c r="B34" s="1"/>
      <c r="C34" s="14"/>
      <c r="D34" s="15"/>
      <c r="E34" s="14"/>
      <c r="F34" s="2"/>
    </row>
    <row r="35" spans="2:11" x14ac:dyDescent="0.25">
      <c r="B35" s="1"/>
      <c r="C35" s="14"/>
      <c r="D35" s="15"/>
      <c r="E35" s="14"/>
      <c r="F35" s="2"/>
    </row>
    <row r="36" spans="2:11" x14ac:dyDescent="0.25">
      <c r="B36" s="1"/>
      <c r="C36" s="14"/>
      <c r="D36" s="15"/>
      <c r="E36" s="14"/>
      <c r="F36" s="2"/>
    </row>
    <row r="37" spans="2:11" x14ac:dyDescent="0.25">
      <c r="B37" s="1"/>
      <c r="C37" s="14"/>
      <c r="D37" s="15"/>
      <c r="E37" s="14"/>
      <c r="F37" s="2"/>
    </row>
    <row r="38" spans="2:11" x14ac:dyDescent="0.25">
      <c r="B38" s="1"/>
      <c r="C38" s="14"/>
      <c r="D38" s="15"/>
      <c r="E38" s="14"/>
      <c r="F38" s="2"/>
      <c r="H38" s="11"/>
      <c r="I38" s="11"/>
      <c r="J38" s="11"/>
      <c r="K38" s="11"/>
    </row>
    <row r="39" spans="2:11" x14ac:dyDescent="0.25">
      <c r="B39" s="1"/>
      <c r="C39" s="14"/>
      <c r="D39" s="15"/>
      <c r="E39" s="14"/>
      <c r="F39" s="2"/>
      <c r="H39" s="11"/>
      <c r="I39" s="11"/>
      <c r="J39" s="11"/>
      <c r="K39" s="11"/>
    </row>
    <row r="40" spans="2:11" x14ac:dyDescent="0.25">
      <c r="B40" s="1"/>
      <c r="C40" s="14"/>
      <c r="D40" s="15"/>
      <c r="E40" s="14"/>
      <c r="F40" s="2"/>
      <c r="H40" s="11"/>
      <c r="I40" s="11"/>
      <c r="J40" s="11"/>
      <c r="K40" s="11"/>
    </row>
    <row r="41" spans="2:11" x14ac:dyDescent="0.25">
      <c r="B41" s="1"/>
      <c r="C41" s="14"/>
      <c r="D41" s="15"/>
      <c r="E41" s="14"/>
      <c r="F41" s="2"/>
      <c r="H41" s="34" t="s">
        <v>25</v>
      </c>
      <c r="I41" s="213" t="s">
        <v>33</v>
      </c>
      <c r="J41" s="214"/>
      <c r="K41" s="215"/>
    </row>
    <row r="42" spans="2:11" x14ac:dyDescent="0.25">
      <c r="B42" s="1"/>
      <c r="C42" s="14"/>
      <c r="D42" s="15"/>
      <c r="E42" s="14"/>
      <c r="F42" s="2"/>
      <c r="H42" s="9" t="s">
        <v>26</v>
      </c>
      <c r="I42" s="216" t="s">
        <v>35</v>
      </c>
      <c r="J42" s="217"/>
      <c r="K42" s="218"/>
    </row>
    <row r="43" spans="2:11" x14ac:dyDescent="0.25">
      <c r="B43" s="1"/>
      <c r="C43" s="14"/>
      <c r="D43" s="15"/>
      <c r="E43" s="14"/>
      <c r="F43" s="2"/>
      <c r="H43" s="185" t="s">
        <v>34</v>
      </c>
      <c r="I43" s="188" t="s">
        <v>36</v>
      </c>
      <c r="J43" s="189"/>
      <c r="K43" s="190"/>
    </row>
    <row r="44" spans="2:11" x14ac:dyDescent="0.25">
      <c r="B44" s="1"/>
      <c r="C44" s="14"/>
      <c r="D44" s="15"/>
      <c r="E44" s="14"/>
      <c r="F44" s="2"/>
      <c r="H44" s="186"/>
      <c r="I44" s="191"/>
      <c r="J44" s="192"/>
      <c r="K44" s="193"/>
    </row>
    <row r="45" spans="2:11" x14ac:dyDescent="0.25">
      <c r="B45" s="1"/>
      <c r="C45" s="14"/>
      <c r="D45" s="15"/>
      <c r="E45" s="14"/>
      <c r="F45" s="2"/>
      <c r="H45" s="187"/>
      <c r="I45" s="194"/>
      <c r="J45" s="195"/>
      <c r="K45" s="196"/>
    </row>
    <row r="46" spans="2:11" ht="15.75" thickBot="1" x14ac:dyDescent="0.3">
      <c r="B46" s="35"/>
      <c r="C46" s="36"/>
      <c r="D46" s="36"/>
      <c r="E46" s="36"/>
      <c r="F46" s="37"/>
    </row>
  </sheetData>
  <mergeCells count="14">
    <mergeCell ref="H43:H45"/>
    <mergeCell ref="I43:K45"/>
    <mergeCell ref="B2:F2"/>
    <mergeCell ref="H27:H29"/>
    <mergeCell ref="I25:K25"/>
    <mergeCell ref="I26:K26"/>
    <mergeCell ref="H2:K2"/>
    <mergeCell ref="C8:E8"/>
    <mergeCell ref="D5:E5"/>
    <mergeCell ref="D6:E6"/>
    <mergeCell ref="D7:E7"/>
    <mergeCell ref="C3:E3"/>
    <mergeCell ref="I41:K41"/>
    <mergeCell ref="I42:K42"/>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581025</xdr:colOff>
                    <xdr:row>35</xdr:row>
                    <xdr:rowOff>123825</xdr:rowOff>
                  </from>
                  <to>
                    <xdr:col>10</xdr:col>
                    <xdr:colOff>104775</xdr:colOff>
                    <xdr:row>38</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FD81"/>
  <sheetViews>
    <sheetView showGridLines="0" zoomScaleNormal="100" workbookViewId="0">
      <pane xSplit="2" ySplit="4" topLeftCell="C5" activePane="bottomRight" state="frozenSplit"/>
      <selection activeCell="N56" sqref="N56"/>
      <selection pane="topRight" activeCell="N56" sqref="N56"/>
      <selection pane="bottomLeft" activeCell="N56" sqref="N56"/>
      <selection pane="bottomRight" activeCell="AF6" sqref="AF6"/>
    </sheetView>
  </sheetViews>
  <sheetFormatPr defaultColWidth="0" defaultRowHeight="15" x14ac:dyDescent="0.25"/>
  <cols>
    <col min="1" max="2" width="15.7109375" style="39" customWidth="1"/>
    <col min="3" max="16384" width="0" style="38" hidden="1"/>
  </cols>
  <sheetData>
    <row r="1" spans="1:2 16383:16384" x14ac:dyDescent="0.25">
      <c r="A1" s="219" t="str">
        <f>_xlfn.CONCAT("Year ",ClassInformation!D4,ClassInformation!E4," ",ClassInformation!D5," - ","Semester 1 ",ClassInformation!D6)</f>
        <v>Year 7A Science - Semester 1 2022</v>
      </c>
      <c r="B1" s="220"/>
    </row>
    <row r="2" spans="1:2 16383:16384" x14ac:dyDescent="0.25">
      <c r="A2" s="219"/>
      <c r="B2" s="220"/>
    </row>
    <row r="3" spans="1:2 16383:16384" x14ac:dyDescent="0.25">
      <c r="A3" s="221" t="s">
        <v>19</v>
      </c>
      <c r="B3" s="222"/>
    </row>
    <row r="4" spans="1:2 16383:16384" ht="15.75" thickBot="1" x14ac:dyDescent="0.3">
      <c r="A4" s="155" t="s">
        <v>17</v>
      </c>
      <c r="B4" s="156" t="s">
        <v>18</v>
      </c>
    </row>
    <row r="5" spans="1:2 16383:16384" s="13" customFormat="1" x14ac:dyDescent="0.25">
      <c r="A5" s="173" t="str">
        <f>IF(ISBLANK(ClassInformation!C10),"ZZZZZ",ClassInformation!C10)</f>
        <v>ZZZZZ</v>
      </c>
      <c r="B5" s="174" t="str">
        <f>IF(ISBLANK(ClassInformation!D10),"ZZZZZ",ClassInformation!D10)</f>
        <v>ZZZZZ</v>
      </c>
      <c r="XFC5" s="13">
        <f>ClassInformation!E10</f>
        <v>0</v>
      </c>
      <c r="XFD5" s="13" t="str">
        <f t="shared" ref="XFD5:XFD40" si="0">A5&amp;", "&amp;B5</f>
        <v>ZZZZZ, ZZZZZ</v>
      </c>
    </row>
    <row r="6" spans="1:2 16383:16384" s="13" customFormat="1" x14ac:dyDescent="0.25">
      <c r="A6" s="175" t="str">
        <f>IF(ISBLANK(ClassInformation!C11),"ZZZZZ",ClassInformation!C11)</f>
        <v>ZZZZZ</v>
      </c>
      <c r="B6" s="176" t="str">
        <f>IF(ISBLANK(ClassInformation!D11),"ZZZZZ",ClassInformation!D11)</f>
        <v>ZZZZZ</v>
      </c>
      <c r="XFC6" s="13">
        <f>ClassInformation!E11</f>
        <v>0</v>
      </c>
      <c r="XFD6" s="13" t="str">
        <f t="shared" si="0"/>
        <v>ZZZZZ, ZZZZZ</v>
      </c>
    </row>
    <row r="7" spans="1:2 16383:16384" s="13" customFormat="1" x14ac:dyDescent="0.25">
      <c r="A7" s="175" t="str">
        <f>IF(ISBLANK(ClassInformation!C12),"ZZZZZ",ClassInformation!C12)</f>
        <v>ZZZZZ</v>
      </c>
      <c r="B7" s="176" t="str">
        <f>IF(ISBLANK(ClassInformation!D12),"ZZZZZ",ClassInformation!D12)</f>
        <v>ZZZZZ</v>
      </c>
      <c r="XFC7" s="13">
        <f>ClassInformation!E12</f>
        <v>0</v>
      </c>
      <c r="XFD7" s="13" t="str">
        <f t="shared" si="0"/>
        <v>ZZZZZ, ZZZZZ</v>
      </c>
    </row>
    <row r="8" spans="1:2 16383:16384" s="13" customFormat="1" x14ac:dyDescent="0.25">
      <c r="A8" s="175" t="str">
        <f>IF(ISBLANK(ClassInformation!C13),"ZZZZZ",ClassInformation!C13)</f>
        <v>ZZZZZ</v>
      </c>
      <c r="B8" s="176" t="str">
        <f>IF(ISBLANK(ClassInformation!D13),"ZZZZZ",ClassInformation!D13)</f>
        <v>ZZZZZ</v>
      </c>
      <c r="XFC8" s="13">
        <f>ClassInformation!E13</f>
        <v>0</v>
      </c>
      <c r="XFD8" s="13" t="str">
        <f t="shared" si="0"/>
        <v>ZZZZZ, ZZZZZ</v>
      </c>
    </row>
    <row r="9" spans="1:2 16383:16384" s="13" customFormat="1" x14ac:dyDescent="0.25">
      <c r="A9" s="175" t="str">
        <f>IF(ISBLANK(ClassInformation!C14),"ZZZZZ",ClassInformation!C14)</f>
        <v>ZZZZZ</v>
      </c>
      <c r="B9" s="176" t="str">
        <f>IF(ISBLANK(ClassInformation!D14),"ZZZZZ",ClassInformation!D14)</f>
        <v>ZZZZZ</v>
      </c>
      <c r="XFC9" s="13">
        <f>ClassInformation!E14</f>
        <v>0</v>
      </c>
      <c r="XFD9" s="13" t="str">
        <f t="shared" si="0"/>
        <v>ZZZZZ, ZZZZZ</v>
      </c>
    </row>
    <row r="10" spans="1:2 16383:16384" s="13" customFormat="1" x14ac:dyDescent="0.25">
      <c r="A10" s="175" t="str">
        <f>IF(ISBLANK(ClassInformation!C15),"ZZZZZ",ClassInformation!C15)</f>
        <v>ZZZZZ</v>
      </c>
      <c r="B10" s="176" t="str">
        <f>IF(ISBLANK(ClassInformation!D15),"ZZZZZ",ClassInformation!D15)</f>
        <v>ZZZZZ</v>
      </c>
      <c r="XFC10" s="13">
        <f>ClassInformation!E15</f>
        <v>0</v>
      </c>
      <c r="XFD10" s="13" t="str">
        <f t="shared" si="0"/>
        <v>ZZZZZ, ZZZZZ</v>
      </c>
    </row>
    <row r="11" spans="1:2 16383:16384" s="13" customFormat="1" x14ac:dyDescent="0.25">
      <c r="A11" s="175" t="str">
        <f>IF(ISBLANK(ClassInformation!C16),"ZZZZZ",ClassInformation!C16)</f>
        <v>ZZZZZ</v>
      </c>
      <c r="B11" s="176" t="str">
        <f>IF(ISBLANK(ClassInformation!D16),"ZZZZZ",ClassInformation!D16)</f>
        <v>ZZZZZ</v>
      </c>
      <c r="XFC11" s="13">
        <f>ClassInformation!E16</f>
        <v>0</v>
      </c>
      <c r="XFD11" s="13" t="str">
        <f t="shared" si="0"/>
        <v>ZZZZZ, ZZZZZ</v>
      </c>
    </row>
    <row r="12" spans="1:2 16383:16384" s="13" customFormat="1" x14ac:dyDescent="0.25">
      <c r="A12" s="175" t="str">
        <f>IF(ISBLANK(ClassInformation!C17),"ZZZZZ",ClassInformation!C17)</f>
        <v>ZZZZZ</v>
      </c>
      <c r="B12" s="176" t="str">
        <f>IF(ISBLANK(ClassInformation!D17),"ZZZZZ",ClassInformation!D17)</f>
        <v>ZZZZZ</v>
      </c>
      <c r="XFC12" s="13">
        <f>ClassInformation!E17</f>
        <v>0</v>
      </c>
      <c r="XFD12" s="13" t="str">
        <f t="shared" si="0"/>
        <v>ZZZZZ, ZZZZZ</v>
      </c>
    </row>
    <row r="13" spans="1:2 16383:16384" s="13" customFormat="1" x14ac:dyDescent="0.25">
      <c r="A13" s="175" t="str">
        <f>IF(ISBLANK(ClassInformation!C18),"ZZZZZ",ClassInformation!C18)</f>
        <v>ZZZZZ</v>
      </c>
      <c r="B13" s="176" t="str">
        <f>IF(ISBLANK(ClassInformation!D18),"ZZZZZ",ClassInformation!D18)</f>
        <v>ZZZZZ</v>
      </c>
      <c r="XFC13" s="13">
        <f>ClassInformation!E18</f>
        <v>0</v>
      </c>
      <c r="XFD13" s="13" t="str">
        <f t="shared" si="0"/>
        <v>ZZZZZ, ZZZZZ</v>
      </c>
    </row>
    <row r="14" spans="1:2 16383:16384" s="13" customFormat="1" x14ac:dyDescent="0.25">
      <c r="A14" s="175" t="str">
        <f>IF(ISBLANK(ClassInformation!C19),"ZZZZZ",ClassInformation!C19)</f>
        <v>ZZZZZ</v>
      </c>
      <c r="B14" s="176" t="str">
        <f>IF(ISBLANK(ClassInformation!D19),"ZZZZZ",ClassInformation!D19)</f>
        <v>ZZZZZ</v>
      </c>
      <c r="XFC14" s="13">
        <f>ClassInformation!E19</f>
        <v>0</v>
      </c>
      <c r="XFD14" s="13" t="str">
        <f t="shared" si="0"/>
        <v>ZZZZZ, ZZZZZ</v>
      </c>
    </row>
    <row r="15" spans="1:2 16383:16384" s="13" customFormat="1" x14ac:dyDescent="0.25">
      <c r="A15" s="175" t="str">
        <f>IF(ISBLANK(ClassInformation!C20),"ZZZZZ",ClassInformation!C20)</f>
        <v>ZZZZZ</v>
      </c>
      <c r="B15" s="176" t="str">
        <f>IF(ISBLANK(ClassInformation!D20),"ZZZZZ",ClassInformation!D20)</f>
        <v>ZZZZZ</v>
      </c>
      <c r="XFC15" s="13">
        <f>ClassInformation!E20</f>
        <v>0</v>
      </c>
      <c r="XFD15" s="13" t="str">
        <f t="shared" si="0"/>
        <v>ZZZZZ, ZZZZZ</v>
      </c>
    </row>
    <row r="16" spans="1:2 16383:16384" s="13" customFormat="1" x14ac:dyDescent="0.25">
      <c r="A16" s="175" t="str">
        <f>IF(ISBLANK(ClassInformation!C21),"ZZZZZ",ClassInformation!C21)</f>
        <v>ZZZZZ</v>
      </c>
      <c r="B16" s="176" t="str">
        <f>IF(ISBLANK(ClassInformation!D21),"ZZZZZ",ClassInformation!D21)</f>
        <v>ZZZZZ</v>
      </c>
      <c r="XFC16" s="13">
        <f>ClassInformation!E21</f>
        <v>0</v>
      </c>
      <c r="XFD16" s="13" t="str">
        <f t="shared" si="0"/>
        <v>ZZZZZ, ZZZZZ</v>
      </c>
    </row>
    <row r="17" spans="1:2 16383:16384" s="13" customFormat="1" x14ac:dyDescent="0.25">
      <c r="A17" s="175" t="str">
        <f>IF(ISBLANK(ClassInformation!C22),"ZZZZZ",ClassInformation!C22)</f>
        <v>ZZZZZ</v>
      </c>
      <c r="B17" s="176" t="str">
        <f>IF(ISBLANK(ClassInformation!D22),"ZZZZZ",ClassInformation!D22)</f>
        <v>ZZZZZ</v>
      </c>
      <c r="XFC17" s="13">
        <f>ClassInformation!E22</f>
        <v>0</v>
      </c>
      <c r="XFD17" s="13" t="str">
        <f t="shared" si="0"/>
        <v>ZZZZZ, ZZZZZ</v>
      </c>
    </row>
    <row r="18" spans="1:2 16383:16384" s="13" customFormat="1" x14ac:dyDescent="0.25">
      <c r="A18" s="175" t="str">
        <f>IF(ISBLANK(ClassInformation!C23),"ZZZZZ",ClassInformation!C23)</f>
        <v>ZZZZZ</v>
      </c>
      <c r="B18" s="176" t="str">
        <f>IF(ISBLANK(ClassInformation!D23),"ZZZZZ",ClassInformation!D23)</f>
        <v>ZZZZZ</v>
      </c>
      <c r="XFC18" s="13">
        <f>ClassInformation!E23</f>
        <v>0</v>
      </c>
      <c r="XFD18" s="13" t="str">
        <f t="shared" si="0"/>
        <v>ZZZZZ, ZZZZZ</v>
      </c>
    </row>
    <row r="19" spans="1:2 16383:16384" s="13" customFormat="1" x14ac:dyDescent="0.25">
      <c r="A19" s="175" t="str">
        <f>IF(ISBLANK(ClassInformation!C24),"ZZZZZ",ClassInformation!C24)</f>
        <v>ZZZZZ</v>
      </c>
      <c r="B19" s="176" t="str">
        <f>IF(ISBLANK(ClassInformation!D24),"ZZZZZ",ClassInformation!D24)</f>
        <v>ZZZZZ</v>
      </c>
      <c r="XFC19" s="13">
        <f>ClassInformation!E24</f>
        <v>0</v>
      </c>
      <c r="XFD19" s="13" t="str">
        <f t="shared" si="0"/>
        <v>ZZZZZ, ZZZZZ</v>
      </c>
    </row>
    <row r="20" spans="1:2 16383:16384" s="13" customFormat="1" x14ac:dyDescent="0.25">
      <c r="A20" s="175" t="str">
        <f>IF(ISBLANK(ClassInformation!C25),"ZZZZZ",ClassInformation!C25)</f>
        <v>ZZZZZ</v>
      </c>
      <c r="B20" s="176" t="str">
        <f>IF(ISBLANK(ClassInformation!D25),"ZZZZZ",ClassInformation!D25)</f>
        <v>ZZZZZ</v>
      </c>
      <c r="XFC20" s="13">
        <f>ClassInformation!E25</f>
        <v>0</v>
      </c>
      <c r="XFD20" s="13" t="str">
        <f t="shared" si="0"/>
        <v>ZZZZZ, ZZZZZ</v>
      </c>
    </row>
    <row r="21" spans="1:2 16383:16384" s="13" customFormat="1" x14ac:dyDescent="0.25">
      <c r="A21" s="175" t="str">
        <f>IF(ISBLANK(ClassInformation!C26),"ZZZZZ",ClassInformation!C26)</f>
        <v>ZZZZZ</v>
      </c>
      <c r="B21" s="176" t="str">
        <f>IF(ISBLANK(ClassInformation!D26),"ZZZZZ",ClassInformation!D26)</f>
        <v>ZZZZZ</v>
      </c>
      <c r="XFC21" s="13">
        <f>ClassInformation!E26</f>
        <v>0</v>
      </c>
      <c r="XFD21" s="13" t="str">
        <f t="shared" si="0"/>
        <v>ZZZZZ, ZZZZZ</v>
      </c>
    </row>
    <row r="22" spans="1:2 16383:16384" s="13" customFormat="1" x14ac:dyDescent="0.25">
      <c r="A22" s="175" t="str">
        <f>IF(ISBLANK(ClassInformation!C27),"ZZZZZ",ClassInformation!C27)</f>
        <v>ZZZZZ</v>
      </c>
      <c r="B22" s="176" t="str">
        <f>IF(ISBLANK(ClassInformation!D27),"ZZZZZ",ClassInformation!D27)</f>
        <v>ZZZZZ</v>
      </c>
      <c r="XFC22" s="13">
        <f>ClassInformation!E27</f>
        <v>0</v>
      </c>
      <c r="XFD22" s="13" t="str">
        <f t="shared" si="0"/>
        <v>ZZZZZ, ZZZZZ</v>
      </c>
    </row>
    <row r="23" spans="1:2 16383:16384" s="13" customFormat="1" x14ac:dyDescent="0.25">
      <c r="A23" s="175" t="str">
        <f>IF(ISBLANK(ClassInformation!C28),"ZZZZZ",ClassInformation!C28)</f>
        <v>ZZZZZ</v>
      </c>
      <c r="B23" s="176" t="str">
        <f>IF(ISBLANK(ClassInformation!D28),"ZZZZZ",ClassInformation!D28)</f>
        <v>ZZZZZ</v>
      </c>
      <c r="XFC23" s="13">
        <f>ClassInformation!E28</f>
        <v>0</v>
      </c>
      <c r="XFD23" s="13" t="str">
        <f t="shared" si="0"/>
        <v>ZZZZZ, ZZZZZ</v>
      </c>
    </row>
    <row r="24" spans="1:2 16383:16384" s="13" customFormat="1" x14ac:dyDescent="0.25">
      <c r="A24" s="175" t="str">
        <f>IF(ISBLANK(ClassInformation!C29),"ZZZZZ",ClassInformation!C29)</f>
        <v>ZZZZZ</v>
      </c>
      <c r="B24" s="176" t="str">
        <f>IF(ISBLANK(ClassInformation!D29),"ZZZZZ",ClassInformation!D29)</f>
        <v>ZZZZZ</v>
      </c>
      <c r="XFC24" s="13">
        <f>ClassInformation!E29</f>
        <v>0</v>
      </c>
      <c r="XFD24" s="13" t="str">
        <f t="shared" si="0"/>
        <v>ZZZZZ, ZZZZZ</v>
      </c>
    </row>
    <row r="25" spans="1:2 16383:16384" s="13" customFormat="1" x14ac:dyDescent="0.25">
      <c r="A25" s="175" t="str">
        <f>IF(ISBLANK(ClassInformation!C30),"ZZZZZ",ClassInformation!C30)</f>
        <v>ZZZZZ</v>
      </c>
      <c r="B25" s="176" t="str">
        <f>IF(ISBLANK(ClassInformation!D30),"ZZZZZ",ClassInformation!D30)</f>
        <v>ZZZZZ</v>
      </c>
      <c r="XFC25" s="13">
        <f>ClassInformation!E30</f>
        <v>0</v>
      </c>
      <c r="XFD25" s="13" t="str">
        <f t="shared" si="0"/>
        <v>ZZZZZ, ZZZZZ</v>
      </c>
    </row>
    <row r="26" spans="1:2 16383:16384" s="13" customFormat="1" x14ac:dyDescent="0.25">
      <c r="A26" s="175" t="str">
        <f>IF(ISBLANK(ClassInformation!C31),"ZZZZZ",ClassInformation!C31)</f>
        <v>ZZZZZ</v>
      </c>
      <c r="B26" s="176" t="str">
        <f>IF(ISBLANK(ClassInformation!D31),"ZZZZZ",ClassInformation!D31)</f>
        <v>ZZZZZ</v>
      </c>
      <c r="XFC26" s="13">
        <f>ClassInformation!E31</f>
        <v>0</v>
      </c>
      <c r="XFD26" s="13" t="str">
        <f t="shared" si="0"/>
        <v>ZZZZZ, ZZZZZ</v>
      </c>
    </row>
    <row r="27" spans="1:2 16383:16384" s="13" customFormat="1" x14ac:dyDescent="0.25">
      <c r="A27" s="175" t="str">
        <f>IF(ISBLANK(ClassInformation!C32),"ZZZZZ",ClassInformation!C32)</f>
        <v>ZZZZZ</v>
      </c>
      <c r="B27" s="176" t="str">
        <f>IF(ISBLANK(ClassInformation!D32),"ZZZZZ",ClassInformation!D32)</f>
        <v>ZZZZZ</v>
      </c>
      <c r="XFC27" s="13">
        <f>ClassInformation!E32</f>
        <v>0</v>
      </c>
      <c r="XFD27" s="13" t="str">
        <f t="shared" si="0"/>
        <v>ZZZZZ, ZZZZZ</v>
      </c>
    </row>
    <row r="28" spans="1:2 16383:16384" s="13" customFormat="1" x14ac:dyDescent="0.25">
      <c r="A28" s="175" t="str">
        <f>IF(ISBLANK(ClassInformation!C33),"ZZZZZ",ClassInformation!C33)</f>
        <v>ZZZZZ</v>
      </c>
      <c r="B28" s="176" t="str">
        <f>IF(ISBLANK(ClassInformation!D33),"ZZZZZ",ClassInformation!D33)</f>
        <v>ZZZZZ</v>
      </c>
      <c r="XFC28" s="13">
        <f>ClassInformation!E33</f>
        <v>0</v>
      </c>
      <c r="XFD28" s="13" t="str">
        <f t="shared" si="0"/>
        <v>ZZZZZ, ZZZZZ</v>
      </c>
    </row>
    <row r="29" spans="1:2 16383:16384" s="13" customFormat="1" x14ac:dyDescent="0.25">
      <c r="A29" s="175" t="str">
        <f>IF(ISBLANK(ClassInformation!C34),"ZZZZZ",ClassInformation!C34)</f>
        <v>ZZZZZ</v>
      </c>
      <c r="B29" s="176" t="str">
        <f>IF(ISBLANK(ClassInformation!D34),"ZZZZZ",ClassInformation!D34)</f>
        <v>ZZZZZ</v>
      </c>
      <c r="XFC29" s="13">
        <f>ClassInformation!E34</f>
        <v>0</v>
      </c>
      <c r="XFD29" s="13" t="str">
        <f t="shared" si="0"/>
        <v>ZZZZZ, ZZZZZ</v>
      </c>
    </row>
    <row r="30" spans="1:2 16383:16384" s="13" customFormat="1" x14ac:dyDescent="0.25">
      <c r="A30" s="175" t="str">
        <f>IF(ISBLANK(ClassInformation!C35),"ZZZZZ",ClassInformation!C35)</f>
        <v>ZZZZZ</v>
      </c>
      <c r="B30" s="176" t="str">
        <f>IF(ISBLANK(ClassInformation!D35),"ZZZZZ",ClassInformation!D35)</f>
        <v>ZZZZZ</v>
      </c>
      <c r="XFC30" s="13">
        <f>ClassInformation!E35</f>
        <v>0</v>
      </c>
      <c r="XFD30" s="13" t="str">
        <f t="shared" si="0"/>
        <v>ZZZZZ, ZZZZZ</v>
      </c>
    </row>
    <row r="31" spans="1:2 16383:16384" s="13" customFormat="1" x14ac:dyDescent="0.25">
      <c r="A31" s="175" t="str">
        <f>IF(ISBLANK(ClassInformation!C36),"ZZZZZ",ClassInformation!C36)</f>
        <v>ZZZZZ</v>
      </c>
      <c r="B31" s="176" t="str">
        <f>IF(ISBLANK(ClassInformation!D36),"ZZZZZ",ClassInformation!D36)</f>
        <v>ZZZZZ</v>
      </c>
      <c r="XFC31" s="13">
        <f>ClassInformation!E36</f>
        <v>0</v>
      </c>
      <c r="XFD31" s="13" t="str">
        <f t="shared" si="0"/>
        <v>ZZZZZ, ZZZZZ</v>
      </c>
    </row>
    <row r="32" spans="1:2 16383:16384" s="13" customFormat="1" x14ac:dyDescent="0.25">
      <c r="A32" s="175" t="str">
        <f>IF(ISBLANK(ClassInformation!C37),"ZZZZZ",ClassInformation!C37)</f>
        <v>ZZZZZ</v>
      </c>
      <c r="B32" s="176" t="str">
        <f>IF(ISBLANK(ClassInformation!D37),"ZZZZZ",ClassInformation!D37)</f>
        <v>ZZZZZ</v>
      </c>
      <c r="XFC32" s="13">
        <f>ClassInformation!E37</f>
        <v>0</v>
      </c>
      <c r="XFD32" s="13" t="str">
        <f t="shared" si="0"/>
        <v>ZZZZZ, ZZZZZ</v>
      </c>
    </row>
    <row r="33" spans="1:2 16383:16384" s="13" customFormat="1" x14ac:dyDescent="0.25">
      <c r="A33" s="175" t="str">
        <f>IF(ISBLANK(ClassInformation!C38),"ZZZZZ",ClassInformation!C38)</f>
        <v>ZZZZZ</v>
      </c>
      <c r="B33" s="176" t="str">
        <f>IF(ISBLANK(ClassInformation!D38),"ZZZZZ",ClassInformation!D38)</f>
        <v>ZZZZZ</v>
      </c>
      <c r="XFC33" s="13">
        <f>ClassInformation!E38</f>
        <v>0</v>
      </c>
      <c r="XFD33" s="13" t="str">
        <f t="shared" si="0"/>
        <v>ZZZZZ, ZZZZZ</v>
      </c>
    </row>
    <row r="34" spans="1:2 16383:16384" s="13" customFormat="1" x14ac:dyDescent="0.25">
      <c r="A34" s="175" t="str">
        <f>IF(ISBLANK(ClassInformation!C39),"ZZZZZ",ClassInformation!C39)</f>
        <v>ZZZZZ</v>
      </c>
      <c r="B34" s="176" t="str">
        <f>IF(ISBLANK(ClassInformation!D39),"ZZZZZ",ClassInformation!D39)</f>
        <v>ZZZZZ</v>
      </c>
      <c r="XFC34" s="13">
        <f>ClassInformation!E39</f>
        <v>0</v>
      </c>
      <c r="XFD34" s="13" t="str">
        <f t="shared" si="0"/>
        <v>ZZZZZ, ZZZZZ</v>
      </c>
    </row>
    <row r="35" spans="1:2 16383:16384" s="13" customFormat="1" x14ac:dyDescent="0.25">
      <c r="A35" s="175" t="str">
        <f>IF(ISBLANK(ClassInformation!C40),"ZZZZZ",ClassInformation!C40)</f>
        <v>ZZZZZ</v>
      </c>
      <c r="B35" s="176" t="str">
        <f>IF(ISBLANK(ClassInformation!D40),"ZZZZZ",ClassInformation!D40)</f>
        <v>ZZZZZ</v>
      </c>
      <c r="XFC35" s="13">
        <f>ClassInformation!E40</f>
        <v>0</v>
      </c>
      <c r="XFD35" s="13" t="str">
        <f t="shared" si="0"/>
        <v>ZZZZZ, ZZZZZ</v>
      </c>
    </row>
    <row r="36" spans="1:2 16383:16384" s="13" customFormat="1" x14ac:dyDescent="0.25">
      <c r="A36" s="175" t="str">
        <f>IF(ISBLANK(ClassInformation!C41),"ZZZZZ",ClassInformation!C41)</f>
        <v>ZZZZZ</v>
      </c>
      <c r="B36" s="176" t="str">
        <f>IF(ISBLANK(ClassInformation!D41),"ZZZZZ",ClassInformation!D41)</f>
        <v>ZZZZZ</v>
      </c>
      <c r="XFC36" s="13">
        <f>ClassInformation!E41</f>
        <v>0</v>
      </c>
      <c r="XFD36" s="13" t="str">
        <f t="shared" si="0"/>
        <v>ZZZZZ, ZZZZZ</v>
      </c>
    </row>
    <row r="37" spans="1:2 16383:16384" s="13" customFormat="1" x14ac:dyDescent="0.25">
      <c r="A37" s="175" t="str">
        <f>IF(ISBLANK(ClassInformation!C42),"ZZZZZ",ClassInformation!C42)</f>
        <v>ZZZZZ</v>
      </c>
      <c r="B37" s="176" t="str">
        <f>IF(ISBLANK(ClassInformation!D42),"ZZZZZ",ClassInformation!D42)</f>
        <v>ZZZZZ</v>
      </c>
      <c r="XFC37" s="13">
        <f>ClassInformation!E42</f>
        <v>0</v>
      </c>
      <c r="XFD37" s="13" t="str">
        <f t="shared" si="0"/>
        <v>ZZZZZ, ZZZZZ</v>
      </c>
    </row>
    <row r="38" spans="1:2 16383:16384" s="13" customFormat="1" x14ac:dyDescent="0.25">
      <c r="A38" s="175" t="str">
        <f>IF(ISBLANK(ClassInformation!C43),"ZZZZZ",ClassInformation!C43)</f>
        <v>ZZZZZ</v>
      </c>
      <c r="B38" s="176" t="str">
        <f>IF(ISBLANK(ClassInformation!D43),"ZZZZZ",ClassInformation!D43)</f>
        <v>ZZZZZ</v>
      </c>
      <c r="XFC38" s="13">
        <f>ClassInformation!E43</f>
        <v>0</v>
      </c>
      <c r="XFD38" s="13" t="str">
        <f t="shared" si="0"/>
        <v>ZZZZZ, ZZZZZ</v>
      </c>
    </row>
    <row r="39" spans="1:2 16383:16384" s="13" customFormat="1" x14ac:dyDescent="0.25">
      <c r="A39" s="175" t="str">
        <f>IF(ISBLANK(ClassInformation!C44),"ZZZZZ",ClassInformation!C44)</f>
        <v>ZZZZZ</v>
      </c>
      <c r="B39" s="176" t="str">
        <f>IF(ISBLANK(ClassInformation!D44),"ZZZZZ",ClassInformation!D44)</f>
        <v>ZZZZZ</v>
      </c>
      <c r="XFC39" s="13">
        <f>ClassInformation!E44</f>
        <v>0</v>
      </c>
      <c r="XFD39" s="13" t="str">
        <f t="shared" si="0"/>
        <v>ZZZZZ, ZZZZZ</v>
      </c>
    </row>
    <row r="40" spans="1:2 16383:16384" s="13" customFormat="1" ht="15.75" thickBot="1" x14ac:dyDescent="0.3">
      <c r="A40" s="177" t="str">
        <f>IF(ISBLANK(ClassInformation!C45),"ZZZZZ",ClassInformation!C45)</f>
        <v>ZZZZZ</v>
      </c>
      <c r="B40" s="178" t="str">
        <f>IF(ISBLANK(ClassInformation!D45),"ZZZZZ",ClassInformation!D45)</f>
        <v>ZZZZZ</v>
      </c>
      <c r="XFC40" s="13">
        <f>ClassInformation!E45</f>
        <v>0</v>
      </c>
      <c r="XFD40" s="13" t="str">
        <f t="shared" si="0"/>
        <v>ZZZZZ, ZZZZZ</v>
      </c>
    </row>
    <row r="46" spans="1:2 16383:16384" x14ac:dyDescent="0.25">
      <c r="A46" s="13"/>
    </row>
    <row r="47" spans="1:2 16383:16384" x14ac:dyDescent="0.25">
      <c r="A47" s="13"/>
    </row>
    <row r="48" spans="1:2 16383:16384" x14ac:dyDescent="0.25">
      <c r="A48" s="13"/>
    </row>
    <row r="49" spans="1:1" x14ac:dyDescent="0.25">
      <c r="A49" s="13"/>
    </row>
    <row r="50" spans="1:1" x14ac:dyDescent="0.25">
      <c r="A50" s="13"/>
    </row>
    <row r="51" spans="1:1" x14ac:dyDescent="0.25">
      <c r="A51" s="13"/>
    </row>
    <row r="52" spans="1:1" x14ac:dyDescent="0.25">
      <c r="A52" s="13"/>
    </row>
    <row r="53" spans="1:1" x14ac:dyDescent="0.25">
      <c r="A53" s="13"/>
    </row>
    <row r="54" spans="1:1" x14ac:dyDescent="0.25">
      <c r="A54" s="13"/>
    </row>
    <row r="55" spans="1:1" x14ac:dyDescent="0.25">
      <c r="A55" s="13"/>
    </row>
    <row r="56" spans="1:1" x14ac:dyDescent="0.25">
      <c r="A56" s="13"/>
    </row>
    <row r="57" spans="1:1" x14ac:dyDescent="0.25">
      <c r="A57" s="13"/>
    </row>
    <row r="58" spans="1:1" x14ac:dyDescent="0.25">
      <c r="A58" s="13"/>
    </row>
    <row r="59" spans="1:1" x14ac:dyDescent="0.25">
      <c r="A59" s="13"/>
    </row>
    <row r="60" spans="1:1" x14ac:dyDescent="0.25">
      <c r="A60" s="13"/>
    </row>
    <row r="61" spans="1:1" x14ac:dyDescent="0.25">
      <c r="A61" s="13"/>
    </row>
    <row r="62" spans="1:1" x14ac:dyDescent="0.25">
      <c r="A62" s="13"/>
    </row>
    <row r="63" spans="1:1" x14ac:dyDescent="0.25">
      <c r="A63" s="13"/>
    </row>
    <row r="64" spans="1:1" x14ac:dyDescent="0.25">
      <c r="A64" s="13"/>
    </row>
    <row r="65" spans="1:1" x14ac:dyDescent="0.25">
      <c r="A65" s="13"/>
    </row>
    <row r="66" spans="1:1" x14ac:dyDescent="0.25">
      <c r="A66" s="13"/>
    </row>
    <row r="67" spans="1:1" x14ac:dyDescent="0.25">
      <c r="A67" s="13"/>
    </row>
    <row r="68" spans="1:1" x14ac:dyDescent="0.25">
      <c r="A68" s="13"/>
    </row>
    <row r="69" spans="1:1" x14ac:dyDescent="0.25">
      <c r="A69" s="13"/>
    </row>
    <row r="70" spans="1:1" x14ac:dyDescent="0.25">
      <c r="A70" s="13"/>
    </row>
    <row r="71" spans="1:1" x14ac:dyDescent="0.25">
      <c r="A71" s="13"/>
    </row>
    <row r="72" spans="1:1" x14ac:dyDescent="0.25">
      <c r="A72" s="13"/>
    </row>
    <row r="73" spans="1:1" x14ac:dyDescent="0.25">
      <c r="A73" s="13"/>
    </row>
    <row r="74" spans="1:1" x14ac:dyDescent="0.25">
      <c r="A74" s="13"/>
    </row>
    <row r="75" spans="1:1" x14ac:dyDescent="0.25">
      <c r="A75" s="13"/>
    </row>
    <row r="76" spans="1:1" x14ac:dyDescent="0.25">
      <c r="A76" s="13"/>
    </row>
    <row r="77" spans="1:1" x14ac:dyDescent="0.25">
      <c r="A77" s="13"/>
    </row>
    <row r="78" spans="1:1" x14ac:dyDescent="0.25">
      <c r="A78" s="13"/>
    </row>
    <row r="79" spans="1:1" x14ac:dyDescent="0.25">
      <c r="A79" s="13"/>
    </row>
    <row r="80" spans="1:1" x14ac:dyDescent="0.25">
      <c r="A80" s="13"/>
    </row>
    <row r="81" spans="1:1" x14ac:dyDescent="0.25">
      <c r="A81" s="13"/>
    </row>
  </sheetData>
  <sheetProtection sheet="1" formatCells="0" formatColumns="0" formatRows="0" insertColumns="0" deleteColumns="0"/>
  <sortState xmlns:xlrd2="http://schemas.microsoft.com/office/spreadsheetml/2017/richdata2" ref="A5:B40">
    <sortCondition ref="A5"/>
  </sortState>
  <dataConsolidate/>
  <mergeCells count="2">
    <mergeCell ref="A1:B2"/>
    <mergeCell ref="A3:B3"/>
  </mergeCells>
  <conditionalFormatting sqref="A5:B40">
    <cfRule type="expression" dxfId="16" priority="1446">
      <formula>A5="ZZZZZ"</formula>
    </cfRule>
  </conditionalFormatting>
  <conditionalFormatting sqref="A5:B40">
    <cfRule type="expression" dxfId="15" priority="1445">
      <formula>$XFC5="N"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9D306-9507-4041-BC0B-89669903AFE6}">
  <sheetPr codeName="Sheet5">
    <tabColor theme="9" tint="0.59999389629810485"/>
  </sheetPr>
  <dimension ref="A1:XFD81"/>
  <sheetViews>
    <sheetView showGridLines="0" zoomScaleNormal="100" workbookViewId="0">
      <pane xSplit="2" ySplit="4" topLeftCell="C5" activePane="bottomRight" state="frozenSplit"/>
      <selection activeCell="N56" sqref="N56"/>
      <selection pane="topRight" activeCell="N56" sqref="N56"/>
      <selection pane="bottomLeft" activeCell="N56" sqref="N56"/>
      <selection pane="bottomRight" activeCell="B33" sqref="B33"/>
    </sheetView>
  </sheetViews>
  <sheetFormatPr defaultColWidth="0" defaultRowHeight="15" x14ac:dyDescent="0.25"/>
  <cols>
    <col min="1" max="2" width="15.7109375" style="39" customWidth="1"/>
    <col min="3" max="16278" width="0" style="38" hidden="1"/>
    <col min="16280" max="16384" width="0" style="38" hidden="1"/>
  </cols>
  <sheetData>
    <row r="1" spans="1:2 16383:16384" x14ac:dyDescent="0.25">
      <c r="A1" s="219" t="str">
        <f>_xlfn.CONCAT("Year ",ClassInformation!D4,ClassInformation!E4," ",ClassInformation!D5," - ","Semester 2 ",ClassInformation!D6)</f>
        <v>Year 7A Science - Semester 2 2022</v>
      </c>
      <c r="B1" s="220"/>
    </row>
    <row r="2" spans="1:2 16383:16384" x14ac:dyDescent="0.25">
      <c r="A2" s="219"/>
      <c r="B2" s="220"/>
    </row>
    <row r="3" spans="1:2 16383:16384" x14ac:dyDescent="0.25">
      <c r="A3" s="221" t="s">
        <v>19</v>
      </c>
      <c r="B3" s="222"/>
    </row>
    <row r="4" spans="1:2 16383:16384" ht="15.75" thickBot="1" x14ac:dyDescent="0.3">
      <c r="A4" s="155" t="s">
        <v>17</v>
      </c>
      <c r="B4" s="156" t="s">
        <v>18</v>
      </c>
    </row>
    <row r="5" spans="1:2 16383:16384" s="13" customFormat="1" x14ac:dyDescent="0.25">
      <c r="A5" s="173" t="str">
        <f>IF(ISBLANK(ClassInformation!C10),"ZZZZZ",ClassInformation!C10)</f>
        <v>ZZZZZ</v>
      </c>
      <c r="B5" s="174" t="str">
        <f>IF(ISBLANK(ClassInformation!D10),"ZZZZZ",ClassInformation!D10)</f>
        <v>ZZZZZ</v>
      </c>
      <c r="XFC5" s="13">
        <f>ClassInformation!E10</f>
        <v>0</v>
      </c>
      <c r="XFD5" s="13" t="str">
        <f t="shared" ref="XFD5:XFD40" si="0">A5&amp;", "&amp;B5</f>
        <v>ZZZZZ, ZZZZZ</v>
      </c>
    </row>
    <row r="6" spans="1:2 16383:16384" s="13" customFormat="1" x14ac:dyDescent="0.25">
      <c r="A6" s="175" t="str">
        <f>IF(ISBLANK(ClassInformation!C11),"ZZZZZ",ClassInformation!C11)</f>
        <v>ZZZZZ</v>
      </c>
      <c r="B6" s="176" t="str">
        <f>IF(ISBLANK(ClassInformation!D11),"ZZZZZ",ClassInformation!D11)</f>
        <v>ZZZZZ</v>
      </c>
      <c r="XFC6" s="13">
        <f>ClassInformation!E11</f>
        <v>0</v>
      </c>
      <c r="XFD6" s="13" t="str">
        <f t="shared" si="0"/>
        <v>ZZZZZ, ZZZZZ</v>
      </c>
    </row>
    <row r="7" spans="1:2 16383:16384" s="13" customFormat="1" x14ac:dyDescent="0.25">
      <c r="A7" s="175" t="str">
        <f>IF(ISBLANK(ClassInformation!C12),"ZZZZZ",ClassInformation!C12)</f>
        <v>ZZZZZ</v>
      </c>
      <c r="B7" s="176" t="str">
        <f>IF(ISBLANK(ClassInformation!D12),"ZZZZZ",ClassInformation!D12)</f>
        <v>ZZZZZ</v>
      </c>
      <c r="XFC7" s="13">
        <f>ClassInformation!E12</f>
        <v>0</v>
      </c>
      <c r="XFD7" s="13" t="str">
        <f t="shared" si="0"/>
        <v>ZZZZZ, ZZZZZ</v>
      </c>
    </row>
    <row r="8" spans="1:2 16383:16384" s="13" customFormat="1" x14ac:dyDescent="0.25">
      <c r="A8" s="175" t="str">
        <f>IF(ISBLANK(ClassInformation!C13),"ZZZZZ",ClassInformation!C13)</f>
        <v>ZZZZZ</v>
      </c>
      <c r="B8" s="176" t="str">
        <f>IF(ISBLANK(ClassInformation!D13),"ZZZZZ",ClassInformation!D13)</f>
        <v>ZZZZZ</v>
      </c>
      <c r="XFC8" s="13">
        <f>ClassInformation!E13</f>
        <v>0</v>
      </c>
      <c r="XFD8" s="13" t="str">
        <f t="shared" si="0"/>
        <v>ZZZZZ, ZZZZZ</v>
      </c>
    </row>
    <row r="9" spans="1:2 16383:16384" s="13" customFormat="1" x14ac:dyDescent="0.25">
      <c r="A9" s="175" t="str">
        <f>IF(ISBLANK(ClassInformation!C14),"ZZZZZ",ClassInformation!C14)</f>
        <v>ZZZZZ</v>
      </c>
      <c r="B9" s="176" t="str">
        <f>IF(ISBLANK(ClassInformation!D14),"ZZZZZ",ClassInformation!D14)</f>
        <v>ZZZZZ</v>
      </c>
      <c r="XFC9" s="13">
        <f>ClassInformation!E14</f>
        <v>0</v>
      </c>
      <c r="XFD9" s="13" t="str">
        <f t="shared" si="0"/>
        <v>ZZZZZ, ZZZZZ</v>
      </c>
    </row>
    <row r="10" spans="1:2 16383:16384" s="13" customFormat="1" x14ac:dyDescent="0.25">
      <c r="A10" s="175" t="str">
        <f>IF(ISBLANK(ClassInformation!C15),"ZZZZZ",ClassInformation!C15)</f>
        <v>ZZZZZ</v>
      </c>
      <c r="B10" s="176" t="str">
        <f>IF(ISBLANK(ClassInformation!D15),"ZZZZZ",ClassInformation!D15)</f>
        <v>ZZZZZ</v>
      </c>
      <c r="XFC10" s="13">
        <f>ClassInformation!E15</f>
        <v>0</v>
      </c>
      <c r="XFD10" s="13" t="str">
        <f t="shared" si="0"/>
        <v>ZZZZZ, ZZZZZ</v>
      </c>
    </row>
    <row r="11" spans="1:2 16383:16384" s="13" customFormat="1" x14ac:dyDescent="0.25">
      <c r="A11" s="175" t="str">
        <f>IF(ISBLANK(ClassInformation!C16),"ZZZZZ",ClassInformation!C16)</f>
        <v>ZZZZZ</v>
      </c>
      <c r="B11" s="176" t="str">
        <f>IF(ISBLANK(ClassInformation!D16),"ZZZZZ",ClassInformation!D16)</f>
        <v>ZZZZZ</v>
      </c>
      <c r="XFC11" s="13">
        <f>ClassInformation!E16</f>
        <v>0</v>
      </c>
      <c r="XFD11" s="13" t="str">
        <f t="shared" si="0"/>
        <v>ZZZZZ, ZZZZZ</v>
      </c>
    </row>
    <row r="12" spans="1:2 16383:16384" s="13" customFormat="1" x14ac:dyDescent="0.25">
      <c r="A12" s="175" t="str">
        <f>IF(ISBLANK(ClassInformation!C17),"ZZZZZ",ClassInformation!C17)</f>
        <v>ZZZZZ</v>
      </c>
      <c r="B12" s="176" t="str">
        <f>IF(ISBLANK(ClassInformation!D17),"ZZZZZ",ClassInformation!D17)</f>
        <v>ZZZZZ</v>
      </c>
      <c r="XFC12" s="13">
        <f>ClassInformation!E17</f>
        <v>0</v>
      </c>
      <c r="XFD12" s="13" t="str">
        <f t="shared" si="0"/>
        <v>ZZZZZ, ZZZZZ</v>
      </c>
    </row>
    <row r="13" spans="1:2 16383:16384" s="13" customFormat="1" x14ac:dyDescent="0.25">
      <c r="A13" s="175" t="str">
        <f>IF(ISBLANK(ClassInformation!C18),"ZZZZZ",ClassInformation!C18)</f>
        <v>ZZZZZ</v>
      </c>
      <c r="B13" s="176" t="str">
        <f>IF(ISBLANK(ClassInformation!D18),"ZZZZZ",ClassInformation!D18)</f>
        <v>ZZZZZ</v>
      </c>
      <c r="XFC13" s="13">
        <f>ClassInformation!E18</f>
        <v>0</v>
      </c>
      <c r="XFD13" s="13" t="str">
        <f t="shared" si="0"/>
        <v>ZZZZZ, ZZZZZ</v>
      </c>
    </row>
    <row r="14" spans="1:2 16383:16384" s="13" customFormat="1" x14ac:dyDescent="0.25">
      <c r="A14" s="175" t="str">
        <f>IF(ISBLANK(ClassInformation!C19),"ZZZZZ",ClassInformation!C19)</f>
        <v>ZZZZZ</v>
      </c>
      <c r="B14" s="176" t="str">
        <f>IF(ISBLANK(ClassInformation!D19),"ZZZZZ",ClassInformation!D19)</f>
        <v>ZZZZZ</v>
      </c>
      <c r="XFC14" s="13">
        <f>ClassInformation!E19</f>
        <v>0</v>
      </c>
      <c r="XFD14" s="13" t="str">
        <f t="shared" si="0"/>
        <v>ZZZZZ, ZZZZZ</v>
      </c>
    </row>
    <row r="15" spans="1:2 16383:16384" s="13" customFormat="1" x14ac:dyDescent="0.25">
      <c r="A15" s="175" t="str">
        <f>IF(ISBLANK(ClassInformation!C20),"ZZZZZ",ClassInformation!C20)</f>
        <v>ZZZZZ</v>
      </c>
      <c r="B15" s="176" t="str">
        <f>IF(ISBLANK(ClassInformation!D20),"ZZZZZ",ClassInformation!D20)</f>
        <v>ZZZZZ</v>
      </c>
      <c r="XFC15" s="13">
        <f>ClassInformation!E20</f>
        <v>0</v>
      </c>
      <c r="XFD15" s="13" t="str">
        <f t="shared" si="0"/>
        <v>ZZZZZ, ZZZZZ</v>
      </c>
    </row>
    <row r="16" spans="1:2 16383:16384" s="13" customFormat="1" x14ac:dyDescent="0.25">
      <c r="A16" s="175" t="str">
        <f>IF(ISBLANK(ClassInformation!C21),"ZZZZZ",ClassInformation!C21)</f>
        <v>ZZZZZ</v>
      </c>
      <c r="B16" s="176" t="str">
        <f>IF(ISBLANK(ClassInformation!D21),"ZZZZZ",ClassInformation!D21)</f>
        <v>ZZZZZ</v>
      </c>
      <c r="XFC16" s="13">
        <f>ClassInformation!E21</f>
        <v>0</v>
      </c>
      <c r="XFD16" s="13" t="str">
        <f t="shared" si="0"/>
        <v>ZZZZZ, ZZZZZ</v>
      </c>
    </row>
    <row r="17" spans="1:2 16383:16384" s="13" customFormat="1" x14ac:dyDescent="0.25">
      <c r="A17" s="175" t="str">
        <f>IF(ISBLANK(ClassInformation!C22),"ZZZZZ",ClassInformation!C22)</f>
        <v>ZZZZZ</v>
      </c>
      <c r="B17" s="176" t="str">
        <f>IF(ISBLANK(ClassInformation!D22),"ZZZZZ",ClassInformation!D22)</f>
        <v>ZZZZZ</v>
      </c>
      <c r="XFC17" s="13">
        <f>ClassInformation!E22</f>
        <v>0</v>
      </c>
      <c r="XFD17" s="13" t="str">
        <f t="shared" si="0"/>
        <v>ZZZZZ, ZZZZZ</v>
      </c>
    </row>
    <row r="18" spans="1:2 16383:16384" s="13" customFormat="1" x14ac:dyDescent="0.25">
      <c r="A18" s="175" t="str">
        <f>IF(ISBLANK(ClassInformation!C23),"ZZZZZ",ClassInformation!C23)</f>
        <v>ZZZZZ</v>
      </c>
      <c r="B18" s="176" t="str">
        <f>IF(ISBLANK(ClassInformation!D23),"ZZZZZ",ClassInformation!D23)</f>
        <v>ZZZZZ</v>
      </c>
      <c r="XFC18" s="13">
        <f>ClassInformation!E23</f>
        <v>0</v>
      </c>
      <c r="XFD18" s="13" t="str">
        <f t="shared" si="0"/>
        <v>ZZZZZ, ZZZZZ</v>
      </c>
    </row>
    <row r="19" spans="1:2 16383:16384" s="13" customFormat="1" x14ac:dyDescent="0.25">
      <c r="A19" s="175" t="str">
        <f>IF(ISBLANK(ClassInformation!C24),"ZZZZZ",ClassInformation!C24)</f>
        <v>ZZZZZ</v>
      </c>
      <c r="B19" s="176" t="str">
        <f>IF(ISBLANK(ClassInformation!D24),"ZZZZZ",ClassInformation!D24)</f>
        <v>ZZZZZ</v>
      </c>
      <c r="XFC19" s="13">
        <f>ClassInformation!E24</f>
        <v>0</v>
      </c>
      <c r="XFD19" s="13" t="str">
        <f t="shared" si="0"/>
        <v>ZZZZZ, ZZZZZ</v>
      </c>
    </row>
    <row r="20" spans="1:2 16383:16384" s="13" customFormat="1" x14ac:dyDescent="0.25">
      <c r="A20" s="175" t="str">
        <f>IF(ISBLANK(ClassInformation!C25),"ZZZZZ",ClassInformation!C25)</f>
        <v>ZZZZZ</v>
      </c>
      <c r="B20" s="176" t="str">
        <f>IF(ISBLANK(ClassInformation!D25),"ZZZZZ",ClassInformation!D25)</f>
        <v>ZZZZZ</v>
      </c>
      <c r="XFC20" s="13">
        <f>ClassInformation!E25</f>
        <v>0</v>
      </c>
      <c r="XFD20" s="13" t="str">
        <f t="shared" si="0"/>
        <v>ZZZZZ, ZZZZZ</v>
      </c>
    </row>
    <row r="21" spans="1:2 16383:16384" s="13" customFormat="1" x14ac:dyDescent="0.25">
      <c r="A21" s="175" t="str">
        <f>IF(ISBLANK(ClassInformation!C26),"ZZZZZ",ClassInformation!C26)</f>
        <v>ZZZZZ</v>
      </c>
      <c r="B21" s="176" t="str">
        <f>IF(ISBLANK(ClassInformation!D26),"ZZZZZ",ClassInformation!D26)</f>
        <v>ZZZZZ</v>
      </c>
      <c r="XFC21" s="13">
        <f>ClassInformation!E26</f>
        <v>0</v>
      </c>
      <c r="XFD21" s="13" t="str">
        <f t="shared" si="0"/>
        <v>ZZZZZ, ZZZZZ</v>
      </c>
    </row>
    <row r="22" spans="1:2 16383:16384" s="13" customFormat="1" x14ac:dyDescent="0.25">
      <c r="A22" s="175" t="str">
        <f>IF(ISBLANK(ClassInformation!C27),"ZZZZZ",ClassInformation!C27)</f>
        <v>ZZZZZ</v>
      </c>
      <c r="B22" s="176" t="str">
        <f>IF(ISBLANK(ClassInformation!D27),"ZZZZZ",ClassInformation!D27)</f>
        <v>ZZZZZ</v>
      </c>
      <c r="XFC22" s="13">
        <f>ClassInformation!E27</f>
        <v>0</v>
      </c>
      <c r="XFD22" s="13" t="str">
        <f t="shared" si="0"/>
        <v>ZZZZZ, ZZZZZ</v>
      </c>
    </row>
    <row r="23" spans="1:2 16383:16384" s="13" customFormat="1" x14ac:dyDescent="0.25">
      <c r="A23" s="175" t="str">
        <f>IF(ISBLANK(ClassInformation!C28),"ZZZZZ",ClassInformation!C28)</f>
        <v>ZZZZZ</v>
      </c>
      <c r="B23" s="176" t="str">
        <f>IF(ISBLANK(ClassInformation!D28),"ZZZZZ",ClassInformation!D28)</f>
        <v>ZZZZZ</v>
      </c>
      <c r="XFC23" s="13">
        <f>ClassInformation!E28</f>
        <v>0</v>
      </c>
      <c r="XFD23" s="13" t="str">
        <f t="shared" si="0"/>
        <v>ZZZZZ, ZZZZZ</v>
      </c>
    </row>
    <row r="24" spans="1:2 16383:16384" s="13" customFormat="1" x14ac:dyDescent="0.25">
      <c r="A24" s="175" t="str">
        <f>IF(ISBLANK(ClassInformation!C29),"ZZZZZ",ClassInformation!C29)</f>
        <v>ZZZZZ</v>
      </c>
      <c r="B24" s="176" t="str">
        <f>IF(ISBLANK(ClassInformation!D29),"ZZZZZ",ClassInformation!D29)</f>
        <v>ZZZZZ</v>
      </c>
      <c r="XFC24" s="13">
        <f>ClassInformation!E29</f>
        <v>0</v>
      </c>
      <c r="XFD24" s="13" t="str">
        <f t="shared" si="0"/>
        <v>ZZZZZ, ZZZZZ</v>
      </c>
    </row>
    <row r="25" spans="1:2 16383:16384" s="13" customFormat="1" x14ac:dyDescent="0.25">
      <c r="A25" s="175" t="str">
        <f>IF(ISBLANK(ClassInformation!C30),"ZZZZZ",ClassInformation!C30)</f>
        <v>ZZZZZ</v>
      </c>
      <c r="B25" s="176" t="str">
        <f>IF(ISBLANK(ClassInformation!D30),"ZZZZZ",ClassInformation!D30)</f>
        <v>ZZZZZ</v>
      </c>
      <c r="XFC25" s="13">
        <f>ClassInformation!E30</f>
        <v>0</v>
      </c>
      <c r="XFD25" s="13" t="str">
        <f t="shared" si="0"/>
        <v>ZZZZZ, ZZZZZ</v>
      </c>
    </row>
    <row r="26" spans="1:2 16383:16384" s="13" customFormat="1" x14ac:dyDescent="0.25">
      <c r="A26" s="175" t="str">
        <f>IF(ISBLANK(ClassInformation!C31),"ZZZZZ",ClassInformation!C31)</f>
        <v>ZZZZZ</v>
      </c>
      <c r="B26" s="176" t="str">
        <f>IF(ISBLANK(ClassInformation!D31),"ZZZZZ",ClassInformation!D31)</f>
        <v>ZZZZZ</v>
      </c>
      <c r="XFC26" s="13">
        <f>ClassInformation!E31</f>
        <v>0</v>
      </c>
      <c r="XFD26" s="13" t="str">
        <f t="shared" si="0"/>
        <v>ZZZZZ, ZZZZZ</v>
      </c>
    </row>
    <row r="27" spans="1:2 16383:16384" s="13" customFormat="1" x14ac:dyDescent="0.25">
      <c r="A27" s="175" t="str">
        <f>IF(ISBLANK(ClassInformation!C32),"ZZZZZ",ClassInformation!C32)</f>
        <v>ZZZZZ</v>
      </c>
      <c r="B27" s="176" t="str">
        <f>IF(ISBLANK(ClassInformation!D32),"ZZZZZ",ClassInformation!D32)</f>
        <v>ZZZZZ</v>
      </c>
      <c r="XFC27" s="13">
        <f>ClassInformation!E32</f>
        <v>0</v>
      </c>
      <c r="XFD27" s="13" t="str">
        <f t="shared" si="0"/>
        <v>ZZZZZ, ZZZZZ</v>
      </c>
    </row>
    <row r="28" spans="1:2 16383:16384" s="13" customFormat="1" x14ac:dyDescent="0.25">
      <c r="A28" s="175" t="str">
        <f>IF(ISBLANK(ClassInformation!C33),"ZZZZZ",ClassInformation!C33)</f>
        <v>ZZZZZ</v>
      </c>
      <c r="B28" s="176" t="str">
        <f>IF(ISBLANK(ClassInformation!D33),"ZZZZZ",ClassInformation!D33)</f>
        <v>ZZZZZ</v>
      </c>
      <c r="XFC28" s="13">
        <f>ClassInformation!E33</f>
        <v>0</v>
      </c>
      <c r="XFD28" s="13" t="str">
        <f t="shared" si="0"/>
        <v>ZZZZZ, ZZZZZ</v>
      </c>
    </row>
    <row r="29" spans="1:2 16383:16384" s="13" customFormat="1" x14ac:dyDescent="0.25">
      <c r="A29" s="175" t="str">
        <f>IF(ISBLANK(ClassInformation!C34),"ZZZZZ",ClassInformation!C34)</f>
        <v>ZZZZZ</v>
      </c>
      <c r="B29" s="176" t="str">
        <f>IF(ISBLANK(ClassInformation!D34),"ZZZZZ",ClassInformation!D34)</f>
        <v>ZZZZZ</v>
      </c>
      <c r="XFC29" s="13">
        <f>ClassInformation!E34</f>
        <v>0</v>
      </c>
      <c r="XFD29" s="13" t="str">
        <f t="shared" si="0"/>
        <v>ZZZZZ, ZZZZZ</v>
      </c>
    </row>
    <row r="30" spans="1:2 16383:16384" s="13" customFormat="1" x14ac:dyDescent="0.25">
      <c r="A30" s="175" t="str">
        <f>IF(ISBLANK(ClassInformation!C35),"ZZZZZ",ClassInformation!C35)</f>
        <v>ZZZZZ</v>
      </c>
      <c r="B30" s="176" t="str">
        <f>IF(ISBLANK(ClassInformation!D35),"ZZZZZ",ClassInformation!D35)</f>
        <v>ZZZZZ</v>
      </c>
      <c r="XFC30" s="13">
        <f>ClassInformation!E35</f>
        <v>0</v>
      </c>
      <c r="XFD30" s="13" t="str">
        <f t="shared" si="0"/>
        <v>ZZZZZ, ZZZZZ</v>
      </c>
    </row>
    <row r="31" spans="1:2 16383:16384" s="13" customFormat="1" x14ac:dyDescent="0.25">
      <c r="A31" s="175" t="str">
        <f>IF(ISBLANK(ClassInformation!C36),"ZZZZZ",ClassInformation!C36)</f>
        <v>ZZZZZ</v>
      </c>
      <c r="B31" s="176" t="str">
        <f>IF(ISBLANK(ClassInformation!D36),"ZZZZZ",ClassInformation!D36)</f>
        <v>ZZZZZ</v>
      </c>
      <c r="XFC31" s="13">
        <f>ClassInformation!E36</f>
        <v>0</v>
      </c>
      <c r="XFD31" s="13" t="str">
        <f t="shared" si="0"/>
        <v>ZZZZZ, ZZZZZ</v>
      </c>
    </row>
    <row r="32" spans="1:2 16383:16384" s="13" customFormat="1" x14ac:dyDescent="0.25">
      <c r="A32" s="175" t="str">
        <f>IF(ISBLANK(ClassInformation!C37),"ZZZZZ",ClassInformation!C37)</f>
        <v>ZZZZZ</v>
      </c>
      <c r="B32" s="176" t="str">
        <f>IF(ISBLANK(ClassInformation!D37),"ZZZZZ",ClassInformation!D37)</f>
        <v>ZZZZZ</v>
      </c>
      <c r="XFC32" s="13">
        <f>ClassInformation!E37</f>
        <v>0</v>
      </c>
      <c r="XFD32" s="13" t="str">
        <f t="shared" si="0"/>
        <v>ZZZZZ, ZZZZZ</v>
      </c>
    </row>
    <row r="33" spans="1:2 13378:13378 16383:16384" s="13" customFormat="1" x14ac:dyDescent="0.25">
      <c r="A33" s="175" t="str">
        <f>IF(ISBLANK(ClassInformation!C38),"ZZZZZ",ClassInformation!C38)</f>
        <v>ZZZZZ</v>
      </c>
      <c r="B33" s="176" t="str">
        <f>IF(ISBLANK(ClassInformation!D38),"ZZZZZ",ClassInformation!D38)</f>
        <v>ZZZZZ</v>
      </c>
      <c r="XFC33" s="13">
        <f>ClassInformation!E38</f>
        <v>0</v>
      </c>
      <c r="XFD33" s="13" t="str">
        <f t="shared" si="0"/>
        <v>ZZZZZ, ZZZZZ</v>
      </c>
    </row>
    <row r="34" spans="1:2 13378:13378 16383:16384" s="13" customFormat="1" x14ac:dyDescent="0.25">
      <c r="A34" s="175" t="str">
        <f>IF(ISBLANK(ClassInformation!C39),"ZZZZZ",ClassInformation!C39)</f>
        <v>ZZZZZ</v>
      </c>
      <c r="B34" s="176" t="str">
        <f>IF(ISBLANK(ClassInformation!D39),"ZZZZZ",ClassInformation!D39)</f>
        <v>ZZZZZ</v>
      </c>
      <c r="XFC34" s="13">
        <f>ClassInformation!E39</f>
        <v>0</v>
      </c>
      <c r="XFD34" s="13" t="str">
        <f t="shared" si="0"/>
        <v>ZZZZZ, ZZZZZ</v>
      </c>
    </row>
    <row r="35" spans="1:2 13378:13378 16383:16384" s="13" customFormat="1" x14ac:dyDescent="0.25">
      <c r="A35" s="175" t="str">
        <f>IF(ISBLANK(ClassInformation!C40),"ZZZZZ",ClassInformation!C40)</f>
        <v>ZZZZZ</v>
      </c>
      <c r="B35" s="176" t="str">
        <f>IF(ISBLANK(ClassInformation!D40),"ZZZZZ",ClassInformation!D40)</f>
        <v>ZZZZZ</v>
      </c>
      <c r="XFC35" s="13">
        <f>ClassInformation!E40</f>
        <v>0</v>
      </c>
      <c r="XFD35" s="13" t="str">
        <f t="shared" si="0"/>
        <v>ZZZZZ, ZZZZZ</v>
      </c>
    </row>
    <row r="36" spans="1:2 13378:13378 16383:16384" s="13" customFormat="1" x14ac:dyDescent="0.25">
      <c r="A36" s="175" t="str">
        <f>IF(ISBLANK(ClassInformation!C41),"ZZZZZ",ClassInformation!C41)</f>
        <v>ZZZZZ</v>
      </c>
      <c r="B36" s="176" t="str">
        <f>IF(ISBLANK(ClassInformation!D41),"ZZZZZ",ClassInformation!D41)</f>
        <v>ZZZZZ</v>
      </c>
      <c r="XFC36" s="13">
        <f>ClassInformation!E41</f>
        <v>0</v>
      </c>
      <c r="XFD36" s="13" t="str">
        <f t="shared" si="0"/>
        <v>ZZZZZ, ZZZZZ</v>
      </c>
    </row>
    <row r="37" spans="1:2 13378:13378 16383:16384" s="13" customFormat="1" x14ac:dyDescent="0.25">
      <c r="A37" s="175" t="str">
        <f>IF(ISBLANK(ClassInformation!C42),"ZZZZZ",ClassInformation!C42)</f>
        <v>ZZZZZ</v>
      </c>
      <c r="B37" s="176" t="str">
        <f>IF(ISBLANK(ClassInformation!D42),"ZZZZZ",ClassInformation!D42)</f>
        <v>ZZZZZ</v>
      </c>
      <c r="XFC37" s="13">
        <f>ClassInformation!E42</f>
        <v>0</v>
      </c>
      <c r="XFD37" s="13" t="str">
        <f t="shared" si="0"/>
        <v>ZZZZZ, ZZZZZ</v>
      </c>
    </row>
    <row r="38" spans="1:2 13378:13378 16383:16384" s="13" customFormat="1" x14ac:dyDescent="0.25">
      <c r="A38" s="175" t="str">
        <f>IF(ISBLANK(ClassInformation!C43),"ZZZZZ",ClassInformation!C43)</f>
        <v>ZZZZZ</v>
      </c>
      <c r="B38" s="176" t="str">
        <f>IF(ISBLANK(ClassInformation!D43),"ZZZZZ",ClassInformation!D43)</f>
        <v>ZZZZZ</v>
      </c>
      <c r="XFC38" s="13">
        <f>ClassInformation!E43</f>
        <v>0</v>
      </c>
      <c r="XFD38" s="13" t="str">
        <f t="shared" si="0"/>
        <v>ZZZZZ, ZZZZZ</v>
      </c>
    </row>
    <row r="39" spans="1:2 13378:13378 16383:16384" s="13" customFormat="1" x14ac:dyDescent="0.25">
      <c r="A39" s="175" t="str">
        <f>IF(ISBLANK(ClassInformation!C44),"ZZZZZ",ClassInformation!C44)</f>
        <v>ZZZZZ</v>
      </c>
      <c r="B39" s="176" t="str">
        <f>IF(ISBLANK(ClassInformation!D44),"ZZZZZ",ClassInformation!D44)</f>
        <v>ZZZZZ</v>
      </c>
      <c r="XFC39" s="13">
        <f>ClassInformation!E44</f>
        <v>0</v>
      </c>
      <c r="XFD39" s="13" t="str">
        <f t="shared" si="0"/>
        <v>ZZZZZ, ZZZZZ</v>
      </c>
    </row>
    <row r="40" spans="1:2 13378:13378 16383:16384" s="13" customFormat="1" ht="15.75" thickBot="1" x14ac:dyDescent="0.3">
      <c r="A40" s="177" t="str">
        <f>IF(ISBLANK(ClassInformation!C45),"ZZZZZ",ClassInformation!C45)</f>
        <v>ZZZZZ</v>
      </c>
      <c r="B40" s="178" t="str">
        <f>IF(ISBLANK(ClassInformation!D45),"ZZZZZ",ClassInformation!D45)</f>
        <v>ZZZZZ</v>
      </c>
      <c r="XFC40" s="13">
        <f>ClassInformation!E45</f>
        <v>0</v>
      </c>
      <c r="XFD40" s="13" t="str">
        <f t="shared" si="0"/>
        <v>ZZZZZ, ZZZZZ</v>
      </c>
    </row>
    <row r="41" spans="1:2 13378:13378 16383:16384" x14ac:dyDescent="0.25">
      <c r="STN41" s="13"/>
    </row>
    <row r="46" spans="1:2 13378:13378 16383:16384" x14ac:dyDescent="0.25">
      <c r="A46" s="13"/>
    </row>
    <row r="47" spans="1:2 13378:13378 16383:16384" x14ac:dyDescent="0.25">
      <c r="A47" s="13"/>
    </row>
    <row r="48" spans="1:2 13378:13378 16383:16384" x14ac:dyDescent="0.25">
      <c r="A48" s="13"/>
    </row>
    <row r="49" spans="1:1" x14ac:dyDescent="0.25">
      <c r="A49" s="13"/>
    </row>
    <row r="50" spans="1:1" x14ac:dyDescent="0.25">
      <c r="A50" s="13"/>
    </row>
    <row r="51" spans="1:1" x14ac:dyDescent="0.25">
      <c r="A51" s="13"/>
    </row>
    <row r="52" spans="1:1" x14ac:dyDescent="0.25">
      <c r="A52" s="13"/>
    </row>
    <row r="53" spans="1:1" x14ac:dyDescent="0.25">
      <c r="A53" s="13"/>
    </row>
    <row r="54" spans="1:1" x14ac:dyDescent="0.25">
      <c r="A54" s="13"/>
    </row>
    <row r="55" spans="1:1" x14ac:dyDescent="0.25">
      <c r="A55" s="13"/>
    </row>
    <row r="56" spans="1:1" x14ac:dyDescent="0.25">
      <c r="A56" s="13"/>
    </row>
    <row r="57" spans="1:1" x14ac:dyDescent="0.25">
      <c r="A57" s="13"/>
    </row>
    <row r="58" spans="1:1" x14ac:dyDescent="0.25">
      <c r="A58" s="13"/>
    </row>
    <row r="59" spans="1:1" x14ac:dyDescent="0.25">
      <c r="A59" s="13"/>
    </row>
    <row r="60" spans="1:1" x14ac:dyDescent="0.25">
      <c r="A60" s="13"/>
    </row>
    <row r="61" spans="1:1" x14ac:dyDescent="0.25">
      <c r="A61" s="13"/>
    </row>
    <row r="62" spans="1:1" x14ac:dyDescent="0.25">
      <c r="A62" s="13"/>
    </row>
    <row r="63" spans="1:1" x14ac:dyDescent="0.25">
      <c r="A63" s="13"/>
    </row>
    <row r="64" spans="1:1" x14ac:dyDescent="0.25">
      <c r="A64" s="13"/>
    </row>
    <row r="65" spans="1:1" x14ac:dyDescent="0.25">
      <c r="A65" s="13"/>
    </row>
    <row r="66" spans="1:1" x14ac:dyDescent="0.25">
      <c r="A66" s="13"/>
    </row>
    <row r="67" spans="1:1" x14ac:dyDescent="0.25">
      <c r="A67" s="13"/>
    </row>
    <row r="68" spans="1:1" x14ac:dyDescent="0.25">
      <c r="A68" s="13"/>
    </row>
    <row r="69" spans="1:1" x14ac:dyDescent="0.25">
      <c r="A69" s="13"/>
    </row>
    <row r="70" spans="1:1" x14ac:dyDescent="0.25">
      <c r="A70" s="13"/>
    </row>
    <row r="71" spans="1:1" x14ac:dyDescent="0.25">
      <c r="A71" s="13"/>
    </row>
    <row r="72" spans="1:1" x14ac:dyDescent="0.25">
      <c r="A72" s="13"/>
    </row>
    <row r="73" spans="1:1" x14ac:dyDescent="0.25">
      <c r="A73" s="13"/>
    </row>
    <row r="74" spans="1:1" x14ac:dyDescent="0.25">
      <c r="A74" s="13"/>
    </row>
    <row r="75" spans="1:1" x14ac:dyDescent="0.25">
      <c r="A75" s="13"/>
    </row>
    <row r="76" spans="1:1" x14ac:dyDescent="0.25">
      <c r="A76" s="13"/>
    </row>
    <row r="77" spans="1:1" x14ac:dyDescent="0.25">
      <c r="A77" s="13"/>
    </row>
    <row r="78" spans="1:1" x14ac:dyDescent="0.25">
      <c r="A78" s="13"/>
    </row>
    <row r="79" spans="1:1" x14ac:dyDescent="0.25">
      <c r="A79" s="13"/>
    </row>
    <row r="80" spans="1:1" x14ac:dyDescent="0.25">
      <c r="A80" s="13"/>
    </row>
    <row r="81" spans="1:1" x14ac:dyDescent="0.25">
      <c r="A81" s="13"/>
    </row>
  </sheetData>
  <sheetProtection sheet="1" formatCells="0" formatColumns="0" formatRows="0" insertColumns="0" deleteColumns="0"/>
  <sortState xmlns:xlrd2="http://schemas.microsoft.com/office/spreadsheetml/2017/richdata2" ref="A5:WYO40">
    <sortCondition ref="A5"/>
  </sortState>
  <dataConsolidate/>
  <mergeCells count="2">
    <mergeCell ref="A1:B2"/>
    <mergeCell ref="A3:B3"/>
  </mergeCells>
  <conditionalFormatting sqref="A5:B40">
    <cfRule type="expression" dxfId="14" priority="110">
      <formula>A5="ZZZZZ"</formula>
    </cfRule>
  </conditionalFormatting>
  <conditionalFormatting sqref="A5:B40">
    <cfRule type="expression" dxfId="13" priority="109">
      <formula>$XFC5="N"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DC9A-2F56-41F8-B3FC-E720B8C06AF4}">
  <sheetPr codeName="Sheet9">
    <tabColor rgb="FFBAC2FE"/>
  </sheetPr>
  <dimension ref="A1:N5"/>
  <sheetViews>
    <sheetView showGridLines="0" view="pageLayout" zoomScaleNormal="100" workbookViewId="0">
      <selection activeCell="F32" sqref="F32"/>
    </sheetView>
  </sheetViews>
  <sheetFormatPr defaultColWidth="9.140625" defaultRowHeight="15" x14ac:dyDescent="0.25"/>
  <cols>
    <col min="1" max="1" width="7.28515625" customWidth="1"/>
    <col min="2" max="2" width="26.28515625" customWidth="1"/>
    <col min="3" max="12" width="6" customWidth="1"/>
    <col min="13" max="13" width="6" hidden="1" customWidth="1"/>
    <col min="14" max="15" width="6" customWidth="1"/>
  </cols>
  <sheetData>
    <row r="1" spans="1:14" ht="27" customHeight="1" x14ac:dyDescent="0.25">
      <c r="C1" s="153" t="str">
        <f>_xlfn.CONCAT(ClassInformation!D6," ",ClassInformation!D4:E4," ",ClassInformation!D5)</f>
        <v>2022 7A Science</v>
      </c>
    </row>
    <row r="2" spans="1:14" ht="22.5" customHeight="1" thickBot="1" x14ac:dyDescent="0.3">
      <c r="A2" s="154" t="s">
        <v>23</v>
      </c>
      <c r="B2" t="str">
        <f>ClassInformation!D7</f>
        <v>Mr/Ms Smith</v>
      </c>
    </row>
    <row r="3" spans="1:14" ht="35.25" customHeight="1" thickBot="1" x14ac:dyDescent="0.3">
      <c r="A3" s="158" t="s">
        <v>128</v>
      </c>
      <c r="B3" s="157"/>
      <c r="C3" s="223" t="s">
        <v>124</v>
      </c>
      <c r="D3" s="224"/>
      <c r="E3" s="225"/>
      <c r="F3" s="223" t="s">
        <v>125</v>
      </c>
      <c r="G3" s="224"/>
      <c r="H3" s="225"/>
      <c r="I3" s="223" t="s">
        <v>126</v>
      </c>
      <c r="J3" s="224"/>
      <c r="K3" s="225"/>
      <c r="L3" s="223" t="s">
        <v>32</v>
      </c>
      <c r="M3" s="224"/>
      <c r="N3" s="225"/>
    </row>
    <row r="4" spans="1:14" ht="15.75" thickBot="1" x14ac:dyDescent="0.3">
      <c r="A4" s="161" t="s">
        <v>129</v>
      </c>
      <c r="B4" s="172" t="s">
        <v>123</v>
      </c>
      <c r="C4" s="159" t="s">
        <v>127</v>
      </c>
      <c r="D4" s="162" t="s">
        <v>30</v>
      </c>
      <c r="E4" s="160" t="s">
        <v>0</v>
      </c>
      <c r="F4" s="159" t="s">
        <v>127</v>
      </c>
      <c r="G4" s="162" t="s">
        <v>30</v>
      </c>
      <c r="H4" s="160" t="s">
        <v>0</v>
      </c>
      <c r="I4" s="159" t="s">
        <v>127</v>
      </c>
      <c r="J4" s="162" t="s">
        <v>30</v>
      </c>
      <c r="K4" s="160" t="s">
        <v>0</v>
      </c>
      <c r="L4" s="162" t="s">
        <v>30</v>
      </c>
      <c r="M4" s="163"/>
      <c r="N4" s="160" t="s">
        <v>0</v>
      </c>
    </row>
    <row r="5" spans="1:14" ht="3" customHeight="1" thickBot="1" x14ac:dyDescent="0.3">
      <c r="A5" s="169">
        <v>100</v>
      </c>
      <c r="B5" s="170" t="s">
        <v>130</v>
      </c>
      <c r="C5" s="165" t="s">
        <v>130</v>
      </c>
      <c r="D5" s="166" t="s">
        <v>130</v>
      </c>
      <c r="E5" s="164" t="s">
        <v>130</v>
      </c>
      <c r="F5" s="167" t="s">
        <v>130</v>
      </c>
      <c r="G5" s="166" t="s">
        <v>130</v>
      </c>
      <c r="H5" s="164" t="s">
        <v>130</v>
      </c>
      <c r="I5" s="167" t="s">
        <v>130</v>
      </c>
      <c r="J5" s="166" t="s">
        <v>130</v>
      </c>
      <c r="K5" s="164" t="s">
        <v>130</v>
      </c>
      <c r="L5" s="166" t="s">
        <v>130</v>
      </c>
      <c r="M5" s="168"/>
      <c r="N5" s="171" t="s">
        <v>130</v>
      </c>
    </row>
  </sheetData>
  <mergeCells count="4">
    <mergeCell ref="F3:H3"/>
    <mergeCell ref="I3:K3"/>
    <mergeCell ref="C3:E3"/>
    <mergeCell ref="L3:N3"/>
  </mergeCells>
  <pageMargins left="0.19685039370078741" right="0.19685039370078741" top="0.78740157480314965" bottom="0.78740157480314965" header="0.31496062992125984" footer="0.19685039370078741"/>
  <pageSetup paperSize="9" orientation="portrait" r:id="rId1"/>
  <headerFooter>
    <oddHeader>&amp;L              &amp;G&amp;C&amp;"-,Bold"&amp;14Coorparoo Secondary College
Student Profile</oddHeader>
    <oddFooter>&amp;R
 Date Created: &amp;D</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AF2A8588-407A-4CEC-AF00-DA508A9F2EAB}">
          <x14:formula1>
            <xm:f>Semester1!$XFD$5:$XFD$40</xm:f>
          </x14:formula1>
          <xm:sqref>B3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topLeftCell="G1" zoomScale="70" zoomScaleNormal="70" workbookViewId="0">
      <selection activeCell="AJ15" sqref="AJ15"/>
    </sheetView>
  </sheetViews>
  <sheetFormatPr defaultColWidth="9.140625" defaultRowHeight="15" outlineLevelCol="1" x14ac:dyDescent="0.25"/>
  <cols>
    <col min="1" max="1" width="17" style="41" customWidth="1" outlineLevel="1"/>
    <col min="2" max="5" width="17" style="39" customWidth="1" outlineLevel="1"/>
    <col min="6" max="9" width="17" style="40" customWidth="1" outlineLevel="1"/>
    <col min="10" max="20" width="17" style="39" customWidth="1" outlineLevel="1"/>
    <col min="21" max="21" width="13.28515625" style="39" customWidth="1"/>
    <col min="22" max="22" width="8.28515625" style="40" customWidth="1"/>
    <col min="23" max="23" width="6.7109375" style="39" customWidth="1"/>
    <col min="24" max="24" width="12.85546875" style="39" customWidth="1"/>
    <col min="25" max="25" width="6.7109375" style="40" customWidth="1"/>
    <col min="26" max="26" width="6.5703125" style="39" customWidth="1"/>
    <col min="27" max="27" width="12.85546875" style="39" customWidth="1"/>
    <col min="28" max="28" width="8.28515625" style="40" customWidth="1"/>
    <col min="29" max="29" width="8.7109375" style="39" customWidth="1"/>
    <col min="30" max="30" width="12.5703125" style="39" customWidth="1"/>
    <col min="31" max="31" width="10.42578125" style="39" customWidth="1"/>
    <col min="32" max="32" width="13.42578125" style="39" customWidth="1"/>
    <col min="33" max="33" width="2.85546875" style="39" customWidth="1"/>
    <col min="34" max="16384" width="9.140625" style="39"/>
  </cols>
  <sheetData>
    <row r="1" spans="1:38" s="38" customFormat="1" x14ac:dyDescent="0.25">
      <c r="A1" s="229" t="s">
        <v>132</v>
      </c>
      <c r="B1" s="229"/>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29"/>
      <c r="AC1" s="229"/>
      <c r="AD1" s="229"/>
      <c r="AE1" s="229"/>
      <c r="AF1" s="229"/>
      <c r="AG1" s="230"/>
      <c r="AH1" s="102"/>
      <c r="AI1" s="102"/>
      <c r="AJ1" s="102"/>
      <c r="AK1" s="102"/>
      <c r="AL1" s="102"/>
    </row>
    <row r="2" spans="1:38" s="38" customFormat="1" x14ac:dyDescent="0.25">
      <c r="A2" s="232" t="s">
        <v>105</v>
      </c>
      <c r="B2" s="233"/>
      <c r="C2" s="233"/>
      <c r="D2" s="233"/>
      <c r="E2" s="233"/>
      <c r="F2" s="234" t="s">
        <v>99</v>
      </c>
      <c r="G2" s="235"/>
      <c r="H2" s="235"/>
      <c r="I2" s="235"/>
      <c r="J2" s="235"/>
      <c r="K2" s="236" t="s">
        <v>106</v>
      </c>
      <c r="L2" s="237"/>
      <c r="M2" s="237"/>
      <c r="N2" s="237"/>
      <c r="O2" s="238"/>
      <c r="P2" s="226" t="s">
        <v>73</v>
      </c>
      <c r="Q2" s="227"/>
      <c r="R2" s="227"/>
      <c r="S2" s="227"/>
      <c r="T2" s="231"/>
      <c r="U2" s="226" t="s">
        <v>32</v>
      </c>
      <c r="V2" s="227"/>
      <c r="W2" s="227"/>
      <c r="X2" s="227"/>
      <c r="Y2" s="227"/>
      <c r="Z2" s="227"/>
      <c r="AA2" s="227"/>
      <c r="AB2" s="227"/>
      <c r="AC2" s="227"/>
      <c r="AD2" s="227"/>
      <c r="AE2" s="227"/>
      <c r="AF2" s="228"/>
      <c r="AG2" s="78" t="s">
        <v>16</v>
      </c>
      <c r="AI2" s="103"/>
      <c r="AJ2" s="103"/>
      <c r="AK2" s="103"/>
      <c r="AL2" s="103"/>
    </row>
    <row r="3" spans="1:38" s="38" customFormat="1" x14ac:dyDescent="0.25">
      <c r="A3" s="79" t="s">
        <v>70</v>
      </c>
      <c r="B3" s="79" t="s">
        <v>69</v>
      </c>
      <c r="C3" s="79" t="s">
        <v>69</v>
      </c>
      <c r="D3" s="79" t="s">
        <v>69</v>
      </c>
      <c r="E3" s="79" t="s">
        <v>69</v>
      </c>
      <c r="F3" s="79" t="s">
        <v>69</v>
      </c>
      <c r="G3" s="79" t="s">
        <v>69</v>
      </c>
      <c r="H3" s="79" t="s">
        <v>69</v>
      </c>
      <c r="I3" s="79" t="s">
        <v>69</v>
      </c>
      <c r="J3" s="114" t="s">
        <v>69</v>
      </c>
      <c r="K3" s="79" t="s">
        <v>69</v>
      </c>
      <c r="L3" s="79" t="s">
        <v>69</v>
      </c>
      <c r="M3" s="79" t="s">
        <v>69</v>
      </c>
      <c r="N3" s="79" t="s">
        <v>69</v>
      </c>
      <c r="O3" s="79" t="s">
        <v>69</v>
      </c>
      <c r="P3" s="79" t="s">
        <v>69</v>
      </c>
      <c r="Q3" s="79" t="s">
        <v>69</v>
      </c>
      <c r="R3" s="79" t="s">
        <v>69</v>
      </c>
      <c r="S3" s="79" t="s">
        <v>69</v>
      </c>
      <c r="T3" s="79" t="s">
        <v>69</v>
      </c>
      <c r="U3" s="138" t="str">
        <f>_xlfn.TEXTJOIN(" ",TRUE,"Max",A2,":")</f>
        <v>Max SU :</v>
      </c>
      <c r="V3" s="179">
        <f>IF(COUNTIF(A4:E4,"*-*")&gt;0,"-",SUM(A4:E4))</f>
        <v>0</v>
      </c>
      <c r="W3" s="180"/>
      <c r="X3" s="139" t="str">
        <f>_xlfn.TEXTJOIN(" ",TRUE,"Max",F2,":")</f>
        <v>Max SHE :</v>
      </c>
      <c r="Y3" s="181">
        <f>IF(COUNTIF(F4:J4,"*-*")&gt;0,"-",SUM(F4:J4))</f>
        <v>0</v>
      </c>
      <c r="Z3" s="182"/>
      <c r="AA3" s="140" t="str">
        <f>_xlfn.TEXTJOIN(" ",TRUE,"Max",K2,":")</f>
        <v>Max SIS :</v>
      </c>
      <c r="AB3" s="183">
        <f>IF(COUNTIF(K4:O4,"*-*")&gt;0,"-",SUM(K4:O4))</f>
        <v>0</v>
      </c>
      <c r="AC3" s="184"/>
      <c r="AD3" s="151" t="s">
        <v>16</v>
      </c>
      <c r="AE3" s="151" t="s">
        <v>16</v>
      </c>
      <c r="AF3" s="151" t="s">
        <v>16</v>
      </c>
      <c r="AG3" s="78" t="s">
        <v>16</v>
      </c>
    </row>
    <row r="4" spans="1:38" s="38" customFormat="1" x14ac:dyDescent="0.25">
      <c r="A4" s="80"/>
      <c r="B4" s="81"/>
      <c r="C4" s="81"/>
      <c r="D4" s="81"/>
      <c r="E4" s="81"/>
      <c r="F4" s="81"/>
      <c r="G4" s="81"/>
      <c r="H4" s="81"/>
      <c r="I4" s="81"/>
      <c r="J4" s="81"/>
      <c r="K4" s="81"/>
      <c r="L4" s="81"/>
      <c r="M4" s="81"/>
      <c r="N4" s="81"/>
      <c r="O4" s="81"/>
      <c r="P4" s="81"/>
      <c r="Q4" s="81"/>
      <c r="R4" s="81"/>
      <c r="S4" s="81"/>
      <c r="T4" s="81"/>
      <c r="U4" s="129" t="str">
        <f>_xlfn.TEXTJOIN(" ",TRUE,"Overall",A2)</f>
        <v>Overall SU</v>
      </c>
      <c r="V4" s="130" t="s">
        <v>83</v>
      </c>
      <c r="W4" s="131" t="s">
        <v>0</v>
      </c>
      <c r="X4" s="82" t="str">
        <f>_xlfn.TEXTJOIN(" ",TRUE,"Overall",F2)</f>
        <v>Overall SHE</v>
      </c>
      <c r="Y4" s="83" t="s">
        <v>83</v>
      </c>
      <c r="Z4" s="84" t="s">
        <v>0</v>
      </c>
      <c r="AA4" s="117" t="str">
        <f>_xlfn.TEXTJOIN(" ",TRUE,"Overall",K2)</f>
        <v>Overall SIS</v>
      </c>
      <c r="AB4" s="118" t="s">
        <v>83</v>
      </c>
      <c r="AC4" s="119" t="s">
        <v>0</v>
      </c>
      <c r="AD4" s="85" t="s">
        <v>100</v>
      </c>
      <c r="AE4" s="85" t="s">
        <v>48</v>
      </c>
      <c r="AF4" s="85" t="s">
        <v>68</v>
      </c>
      <c r="AG4" s="78" t="s">
        <v>16</v>
      </c>
    </row>
    <row r="5" spans="1:38" s="38" customFormat="1" x14ac:dyDescent="0.25">
      <c r="A5" s="86"/>
      <c r="B5" s="86"/>
      <c r="C5" s="86"/>
      <c r="D5" s="86"/>
      <c r="E5" s="86"/>
      <c r="F5" s="87"/>
      <c r="G5" s="86"/>
      <c r="H5" s="86"/>
      <c r="I5" s="86"/>
      <c r="J5" s="86"/>
      <c r="K5" s="115"/>
      <c r="L5" s="126"/>
      <c r="M5" s="126"/>
      <c r="N5" s="126"/>
      <c r="O5" s="86"/>
      <c r="P5" s="87"/>
      <c r="Q5" s="126"/>
      <c r="R5" s="126"/>
      <c r="S5" s="126"/>
      <c r="T5" s="86"/>
      <c r="U5" s="132" t="str" cm="1">
        <f t="array" ref="U5">SumMarksAss(A5:E5)</f>
        <v/>
      </c>
      <c r="V5" s="133" t="str">
        <f>IF(U5="","",IF(U5="-","-",U5/V$3))</f>
        <v/>
      </c>
      <c r="W5" s="134" t="str" cm="1">
        <f t="array" ref="W5">IF(V5="","",GradeConverter(V5))</f>
        <v/>
      </c>
      <c r="X5" s="88" t="str" cm="1">
        <f t="array" ref="X5">SumMarksAss(F5:J5)</f>
        <v/>
      </c>
      <c r="Y5" s="89" t="str">
        <f>IF(X5="","",IF(X5="-","-",X5/Y$3))</f>
        <v/>
      </c>
      <c r="Z5" s="90" t="str" cm="1">
        <f t="array" ref="Z5">IF(Y5="","",GradeConverter(Y5))</f>
        <v/>
      </c>
      <c r="AA5" s="120" t="str" cm="1">
        <f t="array" ref="AA5">SumMarksAss(K5:O5)</f>
        <v/>
      </c>
      <c r="AB5" s="121" t="str">
        <f>IF(AA5="","",IF(AA5="-","-",AA5/AB$3))</f>
        <v/>
      </c>
      <c r="AC5" s="122" t="str" cm="1">
        <f t="array" ref="AC5">IF(AB5="","",GradeConverter(AB5))</f>
        <v/>
      </c>
      <c r="AD5" s="142" t="str" cm="1">
        <f t="array" ref="AD5">SumTotalMarks(U5,V$3,X5,Y$3,AA5,AB$3)</f>
        <v/>
      </c>
      <c r="AE5" s="91"/>
      <c r="AF5" s="91" t="str" cm="1">
        <f t="array" ref="AF5">IF(AD5="","",IF(AD5="-","-",IF(ISBLANK(AE5),GradeConverter(AD5),AE5)))</f>
        <v/>
      </c>
      <c r="AG5" s="78" t="s">
        <v>16</v>
      </c>
      <c r="AI5" s="141"/>
    </row>
    <row r="6" spans="1:38" s="38" customFormat="1" x14ac:dyDescent="0.25">
      <c r="A6" s="86"/>
      <c r="B6" s="86"/>
      <c r="C6" s="86"/>
      <c r="D6" s="86"/>
      <c r="E6" s="86"/>
      <c r="F6" s="87"/>
      <c r="G6" s="86"/>
      <c r="H6" s="86"/>
      <c r="I6" s="86"/>
      <c r="J6" s="86"/>
      <c r="K6" s="115"/>
      <c r="L6" s="127"/>
      <c r="M6" s="127"/>
      <c r="N6" s="127"/>
      <c r="O6" s="86"/>
      <c r="P6" s="87"/>
      <c r="Q6" s="127"/>
      <c r="R6" s="127"/>
      <c r="S6" s="127"/>
      <c r="T6" s="86"/>
      <c r="U6" s="132" t="str" cm="1">
        <f t="array" ref="U6">SumMarksAss(A6:E6)</f>
        <v/>
      </c>
      <c r="V6" s="133" t="str">
        <f t="shared" ref="V6:V40" si="0">IF(U6="","",IF(U6="-","-",U6/V$3))</f>
        <v/>
      </c>
      <c r="W6" s="134" t="str" cm="1">
        <f t="array" ref="W6">IF(V6="","",GradeConverter(V6))</f>
        <v/>
      </c>
      <c r="X6" s="92" t="str" cm="1">
        <f t="array" ref="X6">SumMarksAss(F6:J6)</f>
        <v/>
      </c>
      <c r="Y6" s="89" t="str">
        <f t="shared" ref="Y6:Y40" si="1">IF(X6="","",IF(X6="-","-",X6/Y$3))</f>
        <v/>
      </c>
      <c r="Z6" s="90" t="str" cm="1">
        <f t="array" ref="Z6">IF(Y6="","",GradeConverter(Y6))</f>
        <v/>
      </c>
      <c r="AA6" s="123" t="str" cm="1">
        <f t="array" ref="AA6">SumMarksAss(K6:O6)</f>
        <v/>
      </c>
      <c r="AB6" s="121" t="str">
        <f t="shared" ref="AB6:AB40" si="2">IF(AA6="","",IF(AA6="-","-",AA6/AB$3))</f>
        <v/>
      </c>
      <c r="AC6" s="122" t="str" cm="1">
        <f t="array" ref="AC6">IF(AB6="","",GradeConverter(AB6))</f>
        <v/>
      </c>
      <c r="AD6" s="142" t="str" cm="1">
        <f t="array" ref="AD6">SumTotalMarks(U6,V$3,X6,Y$3,AA6,AB$3)</f>
        <v/>
      </c>
      <c r="AE6" s="91"/>
      <c r="AF6" s="91" t="str" cm="1">
        <f t="array" ref="AF6">IF(AD6="","",IF(AD6="-","-",IF(ISBLANK(AE6),GradeConverter(AD6),AE6)))</f>
        <v/>
      </c>
      <c r="AG6" s="78" t="s">
        <v>16</v>
      </c>
    </row>
    <row r="7" spans="1:38" s="38" customFormat="1" x14ac:dyDescent="0.25">
      <c r="A7" s="86"/>
      <c r="B7" s="86"/>
      <c r="C7" s="86"/>
      <c r="D7" s="86"/>
      <c r="E7" s="86"/>
      <c r="F7" s="87"/>
      <c r="G7" s="86"/>
      <c r="H7" s="86"/>
      <c r="I7" s="86"/>
      <c r="J7" s="86"/>
      <c r="K7" s="115"/>
      <c r="L7" s="127"/>
      <c r="M7" s="127"/>
      <c r="N7" s="127"/>
      <c r="O7" s="86"/>
      <c r="P7" s="87"/>
      <c r="Q7" s="127"/>
      <c r="R7" s="127"/>
      <c r="S7" s="127"/>
      <c r="T7" s="86"/>
      <c r="U7" s="132" t="str" cm="1">
        <f t="array" ref="U7">SumMarksAss(A7:E7)</f>
        <v/>
      </c>
      <c r="V7" s="133" t="str">
        <f t="shared" si="0"/>
        <v/>
      </c>
      <c r="W7" s="134" t="str" cm="1">
        <f t="array" ref="W7">IF(V7="","",GradeConverter(V7))</f>
        <v/>
      </c>
      <c r="X7" s="92" t="str" cm="1">
        <f t="array" ref="X7">SumMarksAss(F7:J7)</f>
        <v/>
      </c>
      <c r="Y7" s="89" t="str">
        <f t="shared" si="1"/>
        <v/>
      </c>
      <c r="Z7" s="90" t="str" cm="1">
        <f t="array" ref="Z7">IF(Y7="","",GradeConverter(Y7))</f>
        <v/>
      </c>
      <c r="AA7" s="123" t="str" cm="1">
        <f t="array" ref="AA7">SumMarksAss(K7:O7)</f>
        <v/>
      </c>
      <c r="AB7" s="121" t="str">
        <f t="shared" si="2"/>
        <v/>
      </c>
      <c r="AC7" s="122" t="str" cm="1">
        <f t="array" ref="AC7">IF(AB7="","",GradeConverter(AB7))</f>
        <v/>
      </c>
      <c r="AD7" s="142" t="str" cm="1">
        <f t="array" ref="AD7">SumTotalMarks(U7,V$3,X7,Y$3,AA7,AB$3)</f>
        <v/>
      </c>
      <c r="AE7" s="91"/>
      <c r="AF7" s="91" t="str" cm="1">
        <f t="array" ref="AF7">IF(AD7="","",IF(AD7="-","-",IF(ISBLANK(AE7),GradeConverter(AD7),AE7)))</f>
        <v/>
      </c>
      <c r="AG7" s="78" t="s">
        <v>16</v>
      </c>
    </row>
    <row r="8" spans="1:38" s="38" customFormat="1" x14ac:dyDescent="0.25">
      <c r="A8" s="86"/>
      <c r="B8" s="86"/>
      <c r="C8" s="86"/>
      <c r="D8" s="86"/>
      <c r="E8" s="86"/>
      <c r="F8" s="87"/>
      <c r="G8" s="86"/>
      <c r="H8" s="86"/>
      <c r="I8" s="86"/>
      <c r="J8" s="86"/>
      <c r="K8" s="115"/>
      <c r="L8" s="127"/>
      <c r="M8" s="127"/>
      <c r="N8" s="127"/>
      <c r="O8" s="86"/>
      <c r="P8" s="87"/>
      <c r="Q8" s="127"/>
      <c r="R8" s="127"/>
      <c r="S8" s="127"/>
      <c r="T8" s="86"/>
      <c r="U8" s="132" t="str" cm="1">
        <f t="array" ref="U8">SumMarksAss(A8:E8)</f>
        <v/>
      </c>
      <c r="V8" s="133" t="str">
        <f t="shared" si="0"/>
        <v/>
      </c>
      <c r="W8" s="134" t="str" cm="1">
        <f t="array" ref="W8">IF(V8="","",GradeConverter(V8))</f>
        <v/>
      </c>
      <c r="X8" s="92" t="str" cm="1">
        <f t="array" ref="X8">SumMarksAss(F8:J8)</f>
        <v/>
      </c>
      <c r="Y8" s="89" t="str">
        <f t="shared" si="1"/>
        <v/>
      </c>
      <c r="Z8" s="90" t="str" cm="1">
        <f t="array" ref="Z8">IF(Y8="","",GradeConverter(Y8))</f>
        <v/>
      </c>
      <c r="AA8" s="123" t="str" cm="1">
        <f t="array" ref="AA8">SumMarksAss(K8:O8)</f>
        <v/>
      </c>
      <c r="AB8" s="121" t="str">
        <f t="shared" si="2"/>
        <v/>
      </c>
      <c r="AC8" s="122" t="str" cm="1">
        <f t="array" ref="AC8">IF(AB8="","",GradeConverter(AB8))</f>
        <v/>
      </c>
      <c r="AD8" s="142" t="str" cm="1">
        <f t="array" ref="AD8">SumTotalMarks(U8,V$3,X8,Y$3,AA8,AB$3)</f>
        <v/>
      </c>
      <c r="AE8" s="91"/>
      <c r="AF8" s="91" t="str" cm="1">
        <f t="array" ref="AF8">IF(AD8="","",IF(AD8="-","-",IF(ISBLANK(AE8),GradeConverter(AD8),AE8)))</f>
        <v/>
      </c>
      <c r="AG8" s="78" t="s">
        <v>16</v>
      </c>
    </row>
    <row r="9" spans="1:38" s="38" customFormat="1" x14ac:dyDescent="0.25">
      <c r="A9" s="86"/>
      <c r="B9" s="86"/>
      <c r="C9" s="86"/>
      <c r="D9" s="86"/>
      <c r="E9" s="86"/>
      <c r="F9" s="87"/>
      <c r="G9" s="86"/>
      <c r="H9" s="86"/>
      <c r="I9" s="86"/>
      <c r="J9" s="86"/>
      <c r="K9" s="115"/>
      <c r="L9" s="127"/>
      <c r="M9" s="127"/>
      <c r="N9" s="127"/>
      <c r="O9" s="86"/>
      <c r="P9" s="87"/>
      <c r="Q9" s="127"/>
      <c r="R9" s="127"/>
      <c r="S9" s="127"/>
      <c r="T9" s="86"/>
      <c r="U9" s="132" t="str" cm="1">
        <f t="array" ref="U9">SumMarksAss(A9:E9)</f>
        <v/>
      </c>
      <c r="V9" s="133" t="str">
        <f t="shared" si="0"/>
        <v/>
      </c>
      <c r="W9" s="134" t="str" cm="1">
        <f t="array" ref="W9">IF(V9="","",GradeConverter(V9))</f>
        <v/>
      </c>
      <c r="X9" s="92" t="str" cm="1">
        <f t="array" ref="X9">SumMarksAss(F9:J9)</f>
        <v/>
      </c>
      <c r="Y9" s="89" t="str">
        <f t="shared" si="1"/>
        <v/>
      </c>
      <c r="Z9" s="90" t="str" cm="1">
        <f t="array" ref="Z9">IF(Y9="","",GradeConverter(Y9))</f>
        <v/>
      </c>
      <c r="AA9" s="123" t="str" cm="1">
        <f t="array" ref="AA9">SumMarksAss(K9:O9)</f>
        <v/>
      </c>
      <c r="AB9" s="121" t="str">
        <f t="shared" si="2"/>
        <v/>
      </c>
      <c r="AC9" s="122" t="str" cm="1">
        <f t="array" ref="AC9">IF(AB9="","",GradeConverter(AB9))</f>
        <v/>
      </c>
      <c r="AD9" s="142" t="str" cm="1">
        <f t="array" ref="AD9">SumTotalMarks(U9,V$3,X9,Y$3,AA9,AB$3)</f>
        <v/>
      </c>
      <c r="AE9" s="91"/>
      <c r="AF9" s="91" t="str" cm="1">
        <f t="array" ref="AF9">IF(AD9="","",IF(AD9="-","-",IF(ISBLANK(AE9),GradeConverter(AD9),AE9)))</f>
        <v/>
      </c>
      <c r="AG9" s="78" t="s">
        <v>16</v>
      </c>
    </row>
    <row r="10" spans="1:38" s="38" customFormat="1" x14ac:dyDescent="0.25">
      <c r="A10" s="86"/>
      <c r="B10" s="86"/>
      <c r="C10" s="86"/>
      <c r="D10" s="86"/>
      <c r="E10" s="86"/>
      <c r="F10" s="87"/>
      <c r="G10" s="86"/>
      <c r="H10" s="86"/>
      <c r="I10" s="86"/>
      <c r="J10" s="86"/>
      <c r="K10" s="115"/>
      <c r="L10" s="127"/>
      <c r="M10" s="127"/>
      <c r="N10" s="127"/>
      <c r="O10" s="86"/>
      <c r="P10" s="87"/>
      <c r="Q10" s="127"/>
      <c r="R10" s="127"/>
      <c r="S10" s="127"/>
      <c r="T10" s="86"/>
      <c r="U10" s="132" t="str" cm="1">
        <f t="array" ref="U10">SumMarksAss(A10:E10)</f>
        <v/>
      </c>
      <c r="V10" s="133" t="str">
        <f t="shared" si="0"/>
        <v/>
      </c>
      <c r="W10" s="134" t="str" cm="1">
        <f t="array" ref="W10">IF(V10="","",GradeConverter(V10))</f>
        <v/>
      </c>
      <c r="X10" s="92" t="str" cm="1">
        <f t="array" ref="X10">SumMarksAss(F10:J10)</f>
        <v/>
      </c>
      <c r="Y10" s="89" t="str">
        <f t="shared" si="1"/>
        <v/>
      </c>
      <c r="Z10" s="90" t="str" cm="1">
        <f t="array" ref="Z10">IF(Y10="","",GradeConverter(Y10))</f>
        <v/>
      </c>
      <c r="AA10" s="123" t="str" cm="1">
        <f t="array" ref="AA10">SumMarksAss(K10:O10)</f>
        <v/>
      </c>
      <c r="AB10" s="121" t="str">
        <f t="shared" si="2"/>
        <v/>
      </c>
      <c r="AC10" s="122" t="str" cm="1">
        <f t="array" ref="AC10">IF(AB10="","",GradeConverter(AB10))</f>
        <v/>
      </c>
      <c r="AD10" s="142" t="str" cm="1">
        <f t="array" ref="AD10">SumTotalMarks(U10,V$3,X10,Y$3,AA10,AB$3)</f>
        <v/>
      </c>
      <c r="AE10" s="91"/>
      <c r="AF10" s="91" t="str" cm="1">
        <f t="array" ref="AF10">IF(AD10="","",IF(AD10="-","-",IF(ISBLANK(AE10),GradeConverter(AD10),AE10)))</f>
        <v/>
      </c>
      <c r="AG10" s="78" t="s">
        <v>16</v>
      </c>
    </row>
    <row r="11" spans="1:38" s="38" customFormat="1" x14ac:dyDescent="0.25">
      <c r="A11" s="86"/>
      <c r="B11" s="86"/>
      <c r="C11" s="86"/>
      <c r="D11" s="86"/>
      <c r="E11" s="86"/>
      <c r="F11" s="87"/>
      <c r="G11" s="86"/>
      <c r="H11" s="86"/>
      <c r="I11" s="86"/>
      <c r="J11" s="86"/>
      <c r="K11" s="115"/>
      <c r="L11" s="127"/>
      <c r="M11" s="127"/>
      <c r="N11" s="127"/>
      <c r="O11" s="86"/>
      <c r="P11" s="87"/>
      <c r="Q11" s="127"/>
      <c r="R11" s="127"/>
      <c r="S11" s="127"/>
      <c r="T11" s="86"/>
      <c r="U11" s="132" t="str" cm="1">
        <f t="array" ref="U11">SumMarksAss(A11:E11)</f>
        <v/>
      </c>
      <c r="V11" s="133" t="str">
        <f t="shared" si="0"/>
        <v/>
      </c>
      <c r="W11" s="134" t="str" cm="1">
        <f t="array" ref="W11">IF(V11="","",GradeConverter(V11))</f>
        <v/>
      </c>
      <c r="X11" s="92" t="str" cm="1">
        <f t="array" ref="X11">SumMarksAss(F11:J11)</f>
        <v/>
      </c>
      <c r="Y11" s="89" t="str">
        <f t="shared" si="1"/>
        <v/>
      </c>
      <c r="Z11" s="90" t="str" cm="1">
        <f t="array" ref="Z11">IF(Y11="","",GradeConverter(Y11))</f>
        <v/>
      </c>
      <c r="AA11" s="123" t="str" cm="1">
        <f t="array" ref="AA11">SumMarksAss(K11:O11)</f>
        <v/>
      </c>
      <c r="AB11" s="121" t="str">
        <f t="shared" si="2"/>
        <v/>
      </c>
      <c r="AC11" s="122" t="str" cm="1">
        <f t="array" ref="AC11">IF(AB11="","",GradeConverter(AB11))</f>
        <v/>
      </c>
      <c r="AD11" s="142" t="str" cm="1">
        <f t="array" ref="AD11">SumTotalMarks(U11,V$3,X11,Y$3,AA11,AB$3)</f>
        <v/>
      </c>
      <c r="AE11" s="91"/>
      <c r="AF11" s="91" t="str" cm="1">
        <f t="array" ref="AF11">IF(AD11="","",IF(AD11="-","-",IF(ISBLANK(AE11),GradeConverter(AD11),AE11)))</f>
        <v/>
      </c>
      <c r="AG11" s="78" t="s">
        <v>16</v>
      </c>
    </row>
    <row r="12" spans="1:38" s="38" customFormat="1" x14ac:dyDescent="0.25">
      <c r="A12" s="86"/>
      <c r="B12" s="86"/>
      <c r="C12" s="86"/>
      <c r="D12" s="86"/>
      <c r="E12" s="86"/>
      <c r="F12" s="87"/>
      <c r="G12" s="86"/>
      <c r="H12" s="86"/>
      <c r="I12" s="86"/>
      <c r="J12" s="86"/>
      <c r="K12" s="115"/>
      <c r="L12" s="127"/>
      <c r="M12" s="127"/>
      <c r="N12" s="127"/>
      <c r="O12" s="86"/>
      <c r="P12" s="87"/>
      <c r="Q12" s="127"/>
      <c r="R12" s="127"/>
      <c r="S12" s="127"/>
      <c r="T12" s="86"/>
      <c r="U12" s="132" t="str" cm="1">
        <f t="array" ref="U12">SumMarksAss(A12:E12)</f>
        <v/>
      </c>
      <c r="V12" s="133" t="str">
        <f t="shared" si="0"/>
        <v/>
      </c>
      <c r="W12" s="134" t="str" cm="1">
        <f t="array" ref="W12">IF(V12="","",GradeConverter(V12))</f>
        <v/>
      </c>
      <c r="X12" s="92" t="str" cm="1">
        <f t="array" ref="X12">SumMarksAss(F12:J12)</f>
        <v/>
      </c>
      <c r="Y12" s="89" t="str">
        <f t="shared" si="1"/>
        <v/>
      </c>
      <c r="Z12" s="90" t="str" cm="1">
        <f t="array" ref="Z12">IF(Y12="","",GradeConverter(Y12))</f>
        <v/>
      </c>
      <c r="AA12" s="123" t="str" cm="1">
        <f t="array" ref="AA12">SumMarksAss(K12:O12)</f>
        <v/>
      </c>
      <c r="AB12" s="121" t="str">
        <f t="shared" si="2"/>
        <v/>
      </c>
      <c r="AC12" s="122" t="str" cm="1">
        <f t="array" ref="AC12">IF(AB12="","",GradeConverter(AB12))</f>
        <v/>
      </c>
      <c r="AD12" s="142" t="str" cm="1">
        <f t="array" ref="AD12">SumTotalMarks(U12,V$3,X12,Y$3,AA12,AB$3)</f>
        <v/>
      </c>
      <c r="AE12" s="91"/>
      <c r="AF12" s="91" t="str" cm="1">
        <f t="array" ref="AF12">IF(AD12="","",IF(AD12="-","-",IF(ISBLANK(AE12),GradeConverter(AD12),AE12)))</f>
        <v/>
      </c>
      <c r="AG12" s="78" t="s">
        <v>16</v>
      </c>
    </row>
    <row r="13" spans="1:38" s="38" customFormat="1" x14ac:dyDescent="0.25">
      <c r="A13" s="86"/>
      <c r="B13" s="86"/>
      <c r="C13" s="86"/>
      <c r="D13" s="86"/>
      <c r="E13" s="86"/>
      <c r="F13" s="87"/>
      <c r="G13" s="86"/>
      <c r="H13" s="86"/>
      <c r="I13" s="86"/>
      <c r="J13" s="86"/>
      <c r="K13" s="115"/>
      <c r="L13" s="127"/>
      <c r="M13" s="127"/>
      <c r="N13" s="127"/>
      <c r="O13" s="86"/>
      <c r="P13" s="87"/>
      <c r="Q13" s="127"/>
      <c r="R13" s="127"/>
      <c r="S13" s="127"/>
      <c r="T13" s="86"/>
      <c r="U13" s="132" t="str" cm="1">
        <f t="array" ref="U13">SumMarksAss(A13:E13)</f>
        <v/>
      </c>
      <c r="V13" s="133" t="str">
        <f t="shared" si="0"/>
        <v/>
      </c>
      <c r="W13" s="134" t="str" cm="1">
        <f t="array" ref="W13">IF(V13="","",GradeConverter(V13))</f>
        <v/>
      </c>
      <c r="X13" s="92" t="str" cm="1">
        <f t="array" ref="X13">SumMarksAss(F13:J13)</f>
        <v/>
      </c>
      <c r="Y13" s="89" t="str">
        <f t="shared" si="1"/>
        <v/>
      </c>
      <c r="Z13" s="90" t="str" cm="1">
        <f t="array" ref="Z13">IF(Y13="","",GradeConverter(Y13))</f>
        <v/>
      </c>
      <c r="AA13" s="123" t="str" cm="1">
        <f t="array" ref="AA13">SumMarksAss(K13:O13)</f>
        <v/>
      </c>
      <c r="AB13" s="121" t="str">
        <f t="shared" si="2"/>
        <v/>
      </c>
      <c r="AC13" s="122" t="str" cm="1">
        <f t="array" ref="AC13">IF(AB13="","",GradeConverter(AB13))</f>
        <v/>
      </c>
      <c r="AD13" s="142" t="str" cm="1">
        <f t="array" ref="AD13">SumTotalMarks(U13,V$3,X13,Y$3,AA13,AB$3)</f>
        <v/>
      </c>
      <c r="AE13" s="91"/>
      <c r="AF13" s="91" t="str" cm="1">
        <f t="array" ref="AF13">IF(AD13="","",IF(AD13="-","-",IF(ISBLANK(AE13),GradeConverter(AD13),AE13)))</f>
        <v/>
      </c>
      <c r="AG13" s="78" t="s">
        <v>16</v>
      </c>
    </row>
    <row r="14" spans="1:38" s="38" customFormat="1" x14ac:dyDescent="0.25">
      <c r="A14" s="86"/>
      <c r="B14" s="86"/>
      <c r="C14" s="86"/>
      <c r="D14" s="86"/>
      <c r="E14" s="86"/>
      <c r="F14" s="87"/>
      <c r="G14" s="86"/>
      <c r="H14" s="86"/>
      <c r="I14" s="86"/>
      <c r="J14" s="86"/>
      <c r="K14" s="115"/>
      <c r="L14" s="127"/>
      <c r="M14" s="127"/>
      <c r="N14" s="127"/>
      <c r="O14" s="86"/>
      <c r="P14" s="87"/>
      <c r="Q14" s="127"/>
      <c r="R14" s="127"/>
      <c r="S14" s="127"/>
      <c r="T14" s="86"/>
      <c r="U14" s="132" t="str" cm="1">
        <f t="array" ref="U14">SumMarksAss(A14:E14)</f>
        <v/>
      </c>
      <c r="V14" s="133" t="str">
        <f t="shared" si="0"/>
        <v/>
      </c>
      <c r="W14" s="134" t="str" cm="1">
        <f t="array" ref="W14">IF(V14="","",GradeConverter(V14))</f>
        <v/>
      </c>
      <c r="X14" s="92" t="str" cm="1">
        <f t="array" ref="X14">SumMarksAss(F14:J14)</f>
        <v/>
      </c>
      <c r="Y14" s="89" t="str">
        <f t="shared" si="1"/>
        <v/>
      </c>
      <c r="Z14" s="90" t="str" cm="1">
        <f t="array" ref="Z14">IF(Y14="","",GradeConverter(Y14))</f>
        <v/>
      </c>
      <c r="AA14" s="123" t="str" cm="1">
        <f t="array" ref="AA14">SumMarksAss(K14:O14)</f>
        <v/>
      </c>
      <c r="AB14" s="121" t="str">
        <f t="shared" si="2"/>
        <v/>
      </c>
      <c r="AC14" s="122" t="str" cm="1">
        <f t="array" ref="AC14">IF(AB14="","",GradeConverter(AB14))</f>
        <v/>
      </c>
      <c r="AD14" s="142" t="str" cm="1">
        <f t="array" ref="AD14">SumTotalMarks(U14,V$3,X14,Y$3,AA14,AB$3)</f>
        <v/>
      </c>
      <c r="AE14" s="91"/>
      <c r="AF14" s="91" t="str" cm="1">
        <f t="array" ref="AF14">IF(AD14="","",IF(AD14="-","-",IF(ISBLANK(AE14),GradeConverter(AD14),AE14)))</f>
        <v/>
      </c>
      <c r="AG14" s="78" t="s">
        <v>16</v>
      </c>
    </row>
    <row r="15" spans="1:38" s="38" customFormat="1" x14ac:dyDescent="0.25">
      <c r="A15" s="86"/>
      <c r="B15" s="86"/>
      <c r="C15" s="86"/>
      <c r="D15" s="86"/>
      <c r="E15" s="86"/>
      <c r="F15" s="87"/>
      <c r="G15" s="86"/>
      <c r="H15" s="86"/>
      <c r="I15" s="86"/>
      <c r="J15" s="86"/>
      <c r="K15" s="115"/>
      <c r="L15" s="127"/>
      <c r="M15" s="127"/>
      <c r="N15" s="127"/>
      <c r="O15" s="86"/>
      <c r="P15" s="87"/>
      <c r="Q15" s="127"/>
      <c r="R15" s="127"/>
      <c r="S15" s="127"/>
      <c r="T15" s="86"/>
      <c r="U15" s="132" t="str" cm="1">
        <f t="array" ref="U15">SumMarksAss(A15:E15)</f>
        <v/>
      </c>
      <c r="V15" s="133" t="str">
        <f t="shared" si="0"/>
        <v/>
      </c>
      <c r="W15" s="134" t="str" cm="1">
        <f t="array" ref="W15">IF(V15="","",GradeConverter(V15))</f>
        <v/>
      </c>
      <c r="X15" s="92" t="str" cm="1">
        <f t="array" ref="X15">SumMarksAss(F15:J15)</f>
        <v/>
      </c>
      <c r="Y15" s="89" t="str">
        <f t="shared" si="1"/>
        <v/>
      </c>
      <c r="Z15" s="90" t="str" cm="1">
        <f t="array" ref="Z15">IF(Y15="","",GradeConverter(Y15))</f>
        <v/>
      </c>
      <c r="AA15" s="123" t="str" cm="1">
        <f t="array" ref="AA15">SumMarksAss(K15:O15)</f>
        <v/>
      </c>
      <c r="AB15" s="121" t="str">
        <f t="shared" si="2"/>
        <v/>
      </c>
      <c r="AC15" s="122" t="str" cm="1">
        <f t="array" ref="AC15">IF(AB15="","",GradeConverter(AB15))</f>
        <v/>
      </c>
      <c r="AD15" s="142" t="str" cm="1">
        <f t="array" ref="AD15">SumTotalMarks(U15,V$3,X15,Y$3,AA15,AB$3)</f>
        <v/>
      </c>
      <c r="AE15" s="91"/>
      <c r="AF15" s="91" t="str" cm="1">
        <f t="array" ref="AF15">IF(AD15="","",IF(AD15="-","-",IF(ISBLANK(AE15),GradeConverter(AD15),AE15)))</f>
        <v/>
      </c>
      <c r="AG15" s="78" t="s">
        <v>16</v>
      </c>
    </row>
    <row r="16" spans="1:38" s="38" customFormat="1" x14ac:dyDescent="0.25">
      <c r="A16" s="86"/>
      <c r="B16" s="86"/>
      <c r="C16" s="86"/>
      <c r="D16" s="86"/>
      <c r="E16" s="86"/>
      <c r="F16" s="87"/>
      <c r="G16" s="86"/>
      <c r="H16" s="86"/>
      <c r="I16" s="86"/>
      <c r="J16" s="86"/>
      <c r="K16" s="115"/>
      <c r="L16" s="127"/>
      <c r="M16" s="127"/>
      <c r="N16" s="127"/>
      <c r="O16" s="86"/>
      <c r="P16" s="87"/>
      <c r="Q16" s="127"/>
      <c r="R16" s="127"/>
      <c r="S16" s="127"/>
      <c r="T16" s="86"/>
      <c r="U16" s="132" t="str" cm="1">
        <f t="array" ref="U16">SumMarksAss(A16:E16)</f>
        <v/>
      </c>
      <c r="V16" s="133" t="str">
        <f t="shared" si="0"/>
        <v/>
      </c>
      <c r="W16" s="134" t="str" cm="1">
        <f t="array" ref="W16">IF(V16="","",GradeConverter(V16))</f>
        <v/>
      </c>
      <c r="X16" s="92" t="str" cm="1">
        <f t="array" ref="X16">SumMarksAss(F16:J16)</f>
        <v/>
      </c>
      <c r="Y16" s="89" t="str">
        <f t="shared" si="1"/>
        <v/>
      </c>
      <c r="Z16" s="90" t="str" cm="1">
        <f t="array" ref="Z16">IF(Y16="","",GradeConverter(Y16))</f>
        <v/>
      </c>
      <c r="AA16" s="123" t="str" cm="1">
        <f t="array" ref="AA16">SumMarksAss(K16:O16)</f>
        <v/>
      </c>
      <c r="AB16" s="121" t="str">
        <f t="shared" si="2"/>
        <v/>
      </c>
      <c r="AC16" s="122" t="str" cm="1">
        <f t="array" ref="AC16">IF(AB16="","",GradeConverter(AB16))</f>
        <v/>
      </c>
      <c r="AD16" s="142" t="str" cm="1">
        <f t="array" ref="AD16">SumTotalMarks(U16,V$3,X16,Y$3,AA16,AB$3)</f>
        <v/>
      </c>
      <c r="AE16" s="91"/>
      <c r="AF16" s="91" t="str" cm="1">
        <f t="array" ref="AF16">IF(AD16="","",IF(AD16="-","-",IF(ISBLANK(AE16),GradeConverter(AD16),AE16)))</f>
        <v/>
      </c>
      <c r="AG16" s="78" t="s">
        <v>16</v>
      </c>
    </row>
    <row r="17" spans="1:33" s="38" customFormat="1" x14ac:dyDescent="0.25">
      <c r="A17" s="86"/>
      <c r="B17" s="86"/>
      <c r="C17" s="86"/>
      <c r="D17" s="86"/>
      <c r="E17" s="86"/>
      <c r="F17" s="87"/>
      <c r="G17" s="86"/>
      <c r="H17" s="86"/>
      <c r="I17" s="86"/>
      <c r="J17" s="86"/>
      <c r="K17" s="115"/>
      <c r="L17" s="127"/>
      <c r="M17" s="127"/>
      <c r="N17" s="127"/>
      <c r="O17" s="86"/>
      <c r="P17" s="87"/>
      <c r="Q17" s="127"/>
      <c r="R17" s="127"/>
      <c r="S17" s="127"/>
      <c r="T17" s="86"/>
      <c r="U17" s="132" t="str" cm="1">
        <f t="array" ref="U17">SumMarksAss(A17:E17)</f>
        <v/>
      </c>
      <c r="V17" s="133" t="str">
        <f t="shared" si="0"/>
        <v/>
      </c>
      <c r="W17" s="134" t="str" cm="1">
        <f t="array" ref="W17">IF(V17="","",GradeConverter(V17))</f>
        <v/>
      </c>
      <c r="X17" s="92" t="str" cm="1">
        <f t="array" ref="X17">SumMarksAss(F17:J17)</f>
        <v/>
      </c>
      <c r="Y17" s="89" t="str">
        <f t="shared" si="1"/>
        <v/>
      </c>
      <c r="Z17" s="90" t="str" cm="1">
        <f t="array" ref="Z17">IF(Y17="","",GradeConverter(Y17))</f>
        <v/>
      </c>
      <c r="AA17" s="123" t="str" cm="1">
        <f t="array" ref="AA17">SumMarksAss(K17:O17)</f>
        <v/>
      </c>
      <c r="AB17" s="121" t="str">
        <f t="shared" si="2"/>
        <v/>
      </c>
      <c r="AC17" s="122" t="str" cm="1">
        <f t="array" ref="AC17">IF(AB17="","",GradeConverter(AB17))</f>
        <v/>
      </c>
      <c r="AD17" s="142" t="str" cm="1">
        <f t="array" ref="AD17">SumTotalMarks(U17,V$3,X17,Y$3,AA17,AB$3)</f>
        <v/>
      </c>
      <c r="AE17" s="91"/>
      <c r="AF17" s="91" t="str" cm="1">
        <f t="array" ref="AF17">IF(AD17="","",IF(AD17="-","-",IF(ISBLANK(AE17),GradeConverter(AD17),AE17)))</f>
        <v/>
      </c>
      <c r="AG17" s="78" t="s">
        <v>16</v>
      </c>
    </row>
    <row r="18" spans="1:33" s="38" customFormat="1" x14ac:dyDescent="0.25">
      <c r="A18" s="86"/>
      <c r="B18" s="86"/>
      <c r="C18" s="86"/>
      <c r="D18" s="86"/>
      <c r="E18" s="86"/>
      <c r="F18" s="87"/>
      <c r="G18" s="86"/>
      <c r="H18" s="86"/>
      <c r="I18" s="86"/>
      <c r="J18" s="86"/>
      <c r="K18" s="115"/>
      <c r="L18" s="127"/>
      <c r="M18" s="127"/>
      <c r="N18" s="127"/>
      <c r="O18" s="86"/>
      <c r="P18" s="87"/>
      <c r="Q18" s="127"/>
      <c r="R18" s="127"/>
      <c r="S18" s="127"/>
      <c r="T18" s="86"/>
      <c r="U18" s="132" t="str" cm="1">
        <f t="array" ref="U18">SumMarksAss(A18:E18)</f>
        <v/>
      </c>
      <c r="V18" s="133" t="str">
        <f t="shared" si="0"/>
        <v/>
      </c>
      <c r="W18" s="134" t="str" cm="1">
        <f t="array" ref="W18">IF(V18="","",GradeConverter(V18))</f>
        <v/>
      </c>
      <c r="X18" s="92" t="str" cm="1">
        <f t="array" ref="X18">SumMarksAss(F18:J18)</f>
        <v/>
      </c>
      <c r="Y18" s="89" t="str">
        <f t="shared" si="1"/>
        <v/>
      </c>
      <c r="Z18" s="90" t="str" cm="1">
        <f t="array" ref="Z18">IF(Y18="","",GradeConverter(Y18))</f>
        <v/>
      </c>
      <c r="AA18" s="123" t="str" cm="1">
        <f t="array" ref="AA18">SumMarksAss(K18:O18)</f>
        <v/>
      </c>
      <c r="AB18" s="121" t="str">
        <f t="shared" si="2"/>
        <v/>
      </c>
      <c r="AC18" s="122" t="str" cm="1">
        <f t="array" ref="AC18">IF(AB18="","",GradeConverter(AB18))</f>
        <v/>
      </c>
      <c r="AD18" s="142" t="str" cm="1">
        <f t="array" ref="AD18">SumTotalMarks(U18,V$3,X18,Y$3,AA18,AB$3)</f>
        <v/>
      </c>
      <c r="AE18" s="91"/>
      <c r="AF18" s="91" t="str" cm="1">
        <f t="array" ref="AF18">IF(AD18="","",IF(AD18="-","-",IF(ISBLANK(AE18),GradeConverter(AD18),AE18)))</f>
        <v/>
      </c>
      <c r="AG18" s="78" t="s">
        <v>16</v>
      </c>
    </row>
    <row r="19" spans="1:33" s="38" customFormat="1" x14ac:dyDescent="0.25">
      <c r="A19" s="86"/>
      <c r="B19" s="86"/>
      <c r="C19" s="86"/>
      <c r="D19" s="86"/>
      <c r="E19" s="86"/>
      <c r="F19" s="87"/>
      <c r="G19" s="86"/>
      <c r="H19" s="86"/>
      <c r="I19" s="86"/>
      <c r="J19" s="86"/>
      <c r="K19" s="115"/>
      <c r="L19" s="127"/>
      <c r="M19" s="127"/>
      <c r="N19" s="127"/>
      <c r="O19" s="86"/>
      <c r="P19" s="87"/>
      <c r="Q19" s="127"/>
      <c r="R19" s="127"/>
      <c r="S19" s="127"/>
      <c r="T19" s="86"/>
      <c r="U19" s="132" t="str" cm="1">
        <f t="array" ref="U19">SumMarksAss(A19:E19)</f>
        <v/>
      </c>
      <c r="V19" s="133" t="str">
        <f t="shared" si="0"/>
        <v/>
      </c>
      <c r="W19" s="134" t="str" cm="1">
        <f t="array" ref="W19">IF(V19="","",GradeConverter(V19))</f>
        <v/>
      </c>
      <c r="X19" s="92" t="str" cm="1">
        <f t="array" ref="X19">SumMarksAss(F19:J19)</f>
        <v/>
      </c>
      <c r="Y19" s="89" t="str">
        <f t="shared" si="1"/>
        <v/>
      </c>
      <c r="Z19" s="90" t="str" cm="1">
        <f t="array" ref="Z19">IF(Y19="","",GradeConverter(Y19))</f>
        <v/>
      </c>
      <c r="AA19" s="123" t="str" cm="1">
        <f t="array" ref="AA19">SumMarksAss(K19:O19)</f>
        <v/>
      </c>
      <c r="AB19" s="121" t="str">
        <f t="shared" si="2"/>
        <v/>
      </c>
      <c r="AC19" s="122" t="str" cm="1">
        <f t="array" ref="AC19">IF(AB19="","",GradeConverter(AB19))</f>
        <v/>
      </c>
      <c r="AD19" s="142" t="str" cm="1">
        <f t="array" ref="AD19">SumTotalMarks(U19,V$3,X19,Y$3,AA19,AB$3)</f>
        <v/>
      </c>
      <c r="AE19" s="91"/>
      <c r="AF19" s="91" t="str" cm="1">
        <f t="array" ref="AF19">IF(AD19="","",IF(AD19="-","-",IF(ISBLANK(AE19),GradeConverter(AD19),AE19)))</f>
        <v/>
      </c>
      <c r="AG19" s="78" t="s">
        <v>16</v>
      </c>
    </row>
    <row r="20" spans="1:33" s="38" customFormat="1" x14ac:dyDescent="0.25">
      <c r="A20" s="86"/>
      <c r="B20" s="86"/>
      <c r="C20" s="86"/>
      <c r="D20" s="86"/>
      <c r="E20" s="86"/>
      <c r="F20" s="87"/>
      <c r="G20" s="86"/>
      <c r="H20" s="86"/>
      <c r="I20" s="86"/>
      <c r="J20" s="86"/>
      <c r="K20" s="115"/>
      <c r="L20" s="127"/>
      <c r="M20" s="127"/>
      <c r="N20" s="127"/>
      <c r="O20" s="86"/>
      <c r="P20" s="87"/>
      <c r="Q20" s="127"/>
      <c r="R20" s="127"/>
      <c r="S20" s="127"/>
      <c r="T20" s="86"/>
      <c r="U20" s="132" t="str" cm="1">
        <f t="array" ref="U20">SumMarksAss(A20:E20)</f>
        <v/>
      </c>
      <c r="V20" s="133" t="str">
        <f t="shared" si="0"/>
        <v/>
      </c>
      <c r="W20" s="134" t="str" cm="1">
        <f t="array" ref="W20">IF(V20="","",GradeConverter(V20))</f>
        <v/>
      </c>
      <c r="X20" s="92" t="str" cm="1">
        <f t="array" ref="X20">SumMarksAss(F20:J20)</f>
        <v/>
      </c>
      <c r="Y20" s="89" t="str">
        <f t="shared" si="1"/>
        <v/>
      </c>
      <c r="Z20" s="90" t="str" cm="1">
        <f t="array" ref="Z20">IF(Y20="","",GradeConverter(Y20))</f>
        <v/>
      </c>
      <c r="AA20" s="123" t="str" cm="1">
        <f t="array" ref="AA20">SumMarksAss(K20:O20)</f>
        <v/>
      </c>
      <c r="AB20" s="121" t="str">
        <f t="shared" si="2"/>
        <v/>
      </c>
      <c r="AC20" s="122" t="str" cm="1">
        <f t="array" ref="AC20">IF(AB20="","",GradeConverter(AB20))</f>
        <v/>
      </c>
      <c r="AD20" s="142" t="str" cm="1">
        <f t="array" ref="AD20">SumTotalMarks(U20,V$3,X20,Y$3,AA20,AB$3)</f>
        <v/>
      </c>
      <c r="AE20" s="91"/>
      <c r="AF20" s="91" t="str" cm="1">
        <f t="array" ref="AF20">IF(AD20="","",IF(AD20="-","-",IF(ISBLANK(AE20),GradeConverter(AD20),AE20)))</f>
        <v/>
      </c>
      <c r="AG20" s="78" t="s">
        <v>16</v>
      </c>
    </row>
    <row r="21" spans="1:33" s="38" customFormat="1" x14ac:dyDescent="0.25">
      <c r="A21" s="86"/>
      <c r="B21" s="86"/>
      <c r="C21" s="86"/>
      <c r="D21" s="86"/>
      <c r="E21" s="86"/>
      <c r="F21" s="87"/>
      <c r="G21" s="86"/>
      <c r="H21" s="86"/>
      <c r="I21" s="86"/>
      <c r="J21" s="86"/>
      <c r="K21" s="115"/>
      <c r="L21" s="127"/>
      <c r="M21" s="127"/>
      <c r="N21" s="127"/>
      <c r="O21" s="86"/>
      <c r="P21" s="87"/>
      <c r="Q21" s="127"/>
      <c r="R21" s="127"/>
      <c r="S21" s="127"/>
      <c r="T21" s="86"/>
      <c r="U21" s="132" t="str" cm="1">
        <f t="array" ref="U21">SumMarksAss(A21:E21)</f>
        <v/>
      </c>
      <c r="V21" s="133" t="str">
        <f t="shared" si="0"/>
        <v/>
      </c>
      <c r="W21" s="134" t="str" cm="1">
        <f t="array" ref="W21">IF(V21="","",GradeConverter(V21))</f>
        <v/>
      </c>
      <c r="X21" s="92" t="str" cm="1">
        <f t="array" ref="X21">SumMarksAss(F21:J21)</f>
        <v/>
      </c>
      <c r="Y21" s="89" t="str">
        <f t="shared" si="1"/>
        <v/>
      </c>
      <c r="Z21" s="90" t="str" cm="1">
        <f t="array" ref="Z21">IF(Y21="","",GradeConverter(Y21))</f>
        <v/>
      </c>
      <c r="AA21" s="123" t="str" cm="1">
        <f t="array" ref="AA21">SumMarksAss(K21:O21)</f>
        <v/>
      </c>
      <c r="AB21" s="121" t="str">
        <f t="shared" si="2"/>
        <v/>
      </c>
      <c r="AC21" s="122" t="str" cm="1">
        <f t="array" ref="AC21">IF(AB21="","",GradeConverter(AB21))</f>
        <v/>
      </c>
      <c r="AD21" s="142" t="str" cm="1">
        <f t="array" ref="AD21">SumTotalMarks(U21,V$3,X21,Y$3,AA21,AB$3)</f>
        <v/>
      </c>
      <c r="AE21" s="91"/>
      <c r="AF21" s="91" t="str" cm="1">
        <f t="array" ref="AF21">IF(AD21="","",IF(AD21="-","-",IF(ISBLANK(AE21),GradeConverter(AD21),AE21)))</f>
        <v/>
      </c>
      <c r="AG21" s="78" t="s">
        <v>16</v>
      </c>
    </row>
    <row r="22" spans="1:33" s="38" customFormat="1" x14ac:dyDescent="0.25">
      <c r="A22" s="86"/>
      <c r="B22" s="86"/>
      <c r="C22" s="86"/>
      <c r="D22" s="86"/>
      <c r="E22" s="86"/>
      <c r="F22" s="87"/>
      <c r="G22" s="86"/>
      <c r="H22" s="86"/>
      <c r="I22" s="86"/>
      <c r="J22" s="86"/>
      <c r="K22" s="115"/>
      <c r="L22" s="127"/>
      <c r="M22" s="127"/>
      <c r="N22" s="127"/>
      <c r="O22" s="86"/>
      <c r="P22" s="87"/>
      <c r="Q22" s="127"/>
      <c r="R22" s="127"/>
      <c r="S22" s="127"/>
      <c r="T22" s="86"/>
      <c r="U22" s="132" t="str" cm="1">
        <f t="array" ref="U22">SumMarksAss(A22:E22)</f>
        <v/>
      </c>
      <c r="V22" s="133" t="str">
        <f t="shared" si="0"/>
        <v/>
      </c>
      <c r="W22" s="134" t="str" cm="1">
        <f t="array" ref="W22">IF(V22="","",GradeConverter(V22))</f>
        <v/>
      </c>
      <c r="X22" s="92" t="str" cm="1">
        <f t="array" ref="X22">SumMarksAss(F22:J22)</f>
        <v/>
      </c>
      <c r="Y22" s="89" t="str">
        <f t="shared" si="1"/>
        <v/>
      </c>
      <c r="Z22" s="90" t="str" cm="1">
        <f t="array" ref="Z22">IF(Y22="","",GradeConverter(Y22))</f>
        <v/>
      </c>
      <c r="AA22" s="123" t="str" cm="1">
        <f t="array" ref="AA22">SumMarksAss(K22:O22)</f>
        <v/>
      </c>
      <c r="AB22" s="121" t="str">
        <f t="shared" si="2"/>
        <v/>
      </c>
      <c r="AC22" s="122" t="str" cm="1">
        <f t="array" ref="AC22">IF(AB22="","",GradeConverter(AB22))</f>
        <v/>
      </c>
      <c r="AD22" s="142" t="str" cm="1">
        <f t="array" ref="AD22">SumTotalMarks(U22,V$3,X22,Y$3,AA22,AB$3)</f>
        <v/>
      </c>
      <c r="AE22" s="91"/>
      <c r="AF22" s="91" t="str" cm="1">
        <f t="array" ref="AF22">IF(AD22="","",IF(AD22="-","-",IF(ISBLANK(AE22),GradeConverter(AD22),AE22)))</f>
        <v/>
      </c>
      <c r="AG22" s="78" t="s">
        <v>16</v>
      </c>
    </row>
    <row r="23" spans="1:33" s="38" customFormat="1" x14ac:dyDescent="0.25">
      <c r="A23" s="86"/>
      <c r="B23" s="86"/>
      <c r="C23" s="86"/>
      <c r="D23" s="86"/>
      <c r="E23" s="86"/>
      <c r="F23" s="87"/>
      <c r="G23" s="86"/>
      <c r="H23" s="86"/>
      <c r="I23" s="86"/>
      <c r="J23" s="86"/>
      <c r="K23" s="115"/>
      <c r="L23" s="127"/>
      <c r="M23" s="127"/>
      <c r="N23" s="127"/>
      <c r="O23" s="86"/>
      <c r="P23" s="87"/>
      <c r="Q23" s="127"/>
      <c r="R23" s="127"/>
      <c r="S23" s="127"/>
      <c r="T23" s="86"/>
      <c r="U23" s="132" t="str" cm="1">
        <f t="array" ref="U23">SumMarksAss(A23:E23)</f>
        <v/>
      </c>
      <c r="V23" s="133" t="str">
        <f t="shared" si="0"/>
        <v/>
      </c>
      <c r="W23" s="134" t="str" cm="1">
        <f t="array" ref="W23">IF(V23="","",GradeConverter(V23))</f>
        <v/>
      </c>
      <c r="X23" s="92" t="str" cm="1">
        <f t="array" ref="X23">SumMarksAss(F23:J23)</f>
        <v/>
      </c>
      <c r="Y23" s="89" t="str">
        <f t="shared" si="1"/>
        <v/>
      </c>
      <c r="Z23" s="90" t="str" cm="1">
        <f t="array" ref="Z23">IF(Y23="","",GradeConverter(Y23))</f>
        <v/>
      </c>
      <c r="AA23" s="123" t="str" cm="1">
        <f t="array" ref="AA23">SumMarksAss(K23:O23)</f>
        <v/>
      </c>
      <c r="AB23" s="121" t="str">
        <f t="shared" si="2"/>
        <v/>
      </c>
      <c r="AC23" s="122" t="str" cm="1">
        <f t="array" ref="AC23">IF(AB23="","",GradeConverter(AB23))</f>
        <v/>
      </c>
      <c r="AD23" s="142" t="str" cm="1">
        <f t="array" ref="AD23">SumTotalMarks(U23,V$3,X23,Y$3,AA23,AB$3)</f>
        <v/>
      </c>
      <c r="AE23" s="91"/>
      <c r="AF23" s="91" t="str" cm="1">
        <f t="array" ref="AF23">IF(AD23="","",IF(AD23="-","-",IF(ISBLANK(AE23),GradeConverter(AD23),AE23)))</f>
        <v/>
      </c>
      <c r="AG23" s="78" t="s">
        <v>16</v>
      </c>
    </row>
    <row r="24" spans="1:33" s="38" customFormat="1" x14ac:dyDescent="0.25">
      <c r="A24" s="86"/>
      <c r="B24" s="86"/>
      <c r="C24" s="86"/>
      <c r="D24" s="86"/>
      <c r="E24" s="86"/>
      <c r="F24" s="87"/>
      <c r="G24" s="86"/>
      <c r="H24" s="86"/>
      <c r="I24" s="86"/>
      <c r="J24" s="86"/>
      <c r="K24" s="115"/>
      <c r="L24" s="127"/>
      <c r="M24" s="127"/>
      <c r="N24" s="127"/>
      <c r="O24" s="86"/>
      <c r="P24" s="87"/>
      <c r="Q24" s="127"/>
      <c r="R24" s="127"/>
      <c r="S24" s="127"/>
      <c r="T24" s="86"/>
      <c r="U24" s="132" t="str" cm="1">
        <f t="array" ref="U24">SumMarksAss(A24:E24)</f>
        <v/>
      </c>
      <c r="V24" s="133" t="str">
        <f t="shared" si="0"/>
        <v/>
      </c>
      <c r="W24" s="134" t="str" cm="1">
        <f t="array" ref="W24">IF(V24="","",GradeConverter(V24))</f>
        <v/>
      </c>
      <c r="X24" s="92" t="str" cm="1">
        <f t="array" ref="X24">SumMarksAss(F24:J24)</f>
        <v/>
      </c>
      <c r="Y24" s="89" t="str">
        <f t="shared" si="1"/>
        <v/>
      </c>
      <c r="Z24" s="90" t="str" cm="1">
        <f t="array" ref="Z24">IF(Y24="","",GradeConverter(Y24))</f>
        <v/>
      </c>
      <c r="AA24" s="123" t="str" cm="1">
        <f t="array" ref="AA24">SumMarksAss(K24:O24)</f>
        <v/>
      </c>
      <c r="AB24" s="121" t="str">
        <f t="shared" si="2"/>
        <v/>
      </c>
      <c r="AC24" s="122" t="str" cm="1">
        <f t="array" ref="AC24">IF(AB24="","",GradeConverter(AB24))</f>
        <v/>
      </c>
      <c r="AD24" s="142" t="str" cm="1">
        <f t="array" ref="AD24">SumTotalMarks(U24,V$3,X24,Y$3,AA24,AB$3)</f>
        <v/>
      </c>
      <c r="AE24" s="91"/>
      <c r="AF24" s="91" t="str" cm="1">
        <f t="array" ref="AF24">IF(AD24="","",IF(AD24="-","-",IF(ISBLANK(AE24),GradeConverter(AD24),AE24)))</f>
        <v/>
      </c>
      <c r="AG24" s="78" t="s">
        <v>16</v>
      </c>
    </row>
    <row r="25" spans="1:33" s="38" customFormat="1" x14ac:dyDescent="0.25">
      <c r="A25" s="86"/>
      <c r="B25" s="86"/>
      <c r="C25" s="86"/>
      <c r="D25" s="86"/>
      <c r="E25" s="86"/>
      <c r="F25" s="87"/>
      <c r="G25" s="86"/>
      <c r="H25" s="86"/>
      <c r="I25" s="86"/>
      <c r="J25" s="86"/>
      <c r="K25" s="115"/>
      <c r="L25" s="127"/>
      <c r="M25" s="127"/>
      <c r="N25" s="127"/>
      <c r="O25" s="86"/>
      <c r="P25" s="87"/>
      <c r="Q25" s="127"/>
      <c r="R25" s="127"/>
      <c r="S25" s="127"/>
      <c r="T25" s="86"/>
      <c r="U25" s="132" t="str" cm="1">
        <f t="array" ref="U25">SumMarksAss(A25:E25)</f>
        <v/>
      </c>
      <c r="V25" s="133" t="str">
        <f t="shared" si="0"/>
        <v/>
      </c>
      <c r="W25" s="134" t="str" cm="1">
        <f t="array" ref="W25">IF(V25="","",GradeConverter(V25))</f>
        <v/>
      </c>
      <c r="X25" s="92" t="str" cm="1">
        <f t="array" ref="X25">SumMarksAss(F25:J25)</f>
        <v/>
      </c>
      <c r="Y25" s="89" t="str">
        <f t="shared" si="1"/>
        <v/>
      </c>
      <c r="Z25" s="90" t="str" cm="1">
        <f t="array" ref="Z25">IF(Y25="","",GradeConverter(Y25))</f>
        <v/>
      </c>
      <c r="AA25" s="123" t="str" cm="1">
        <f t="array" ref="AA25">SumMarksAss(K25:O25)</f>
        <v/>
      </c>
      <c r="AB25" s="121" t="str">
        <f t="shared" si="2"/>
        <v/>
      </c>
      <c r="AC25" s="122" t="str" cm="1">
        <f t="array" ref="AC25">IF(AB25="","",GradeConverter(AB25))</f>
        <v/>
      </c>
      <c r="AD25" s="142" t="str" cm="1">
        <f t="array" ref="AD25">SumTotalMarks(U25,V$3,X25,Y$3,AA25,AB$3)</f>
        <v/>
      </c>
      <c r="AE25" s="91"/>
      <c r="AF25" s="91" t="str" cm="1">
        <f t="array" ref="AF25">IF(AD25="","",IF(AD25="-","-",IF(ISBLANK(AE25),GradeConverter(AD25),AE25)))</f>
        <v/>
      </c>
      <c r="AG25" s="78" t="s">
        <v>16</v>
      </c>
    </row>
    <row r="26" spans="1:33" s="38" customFormat="1" x14ac:dyDescent="0.25">
      <c r="A26" s="86"/>
      <c r="B26" s="86"/>
      <c r="C26" s="86"/>
      <c r="D26" s="86"/>
      <c r="E26" s="86"/>
      <c r="F26" s="87"/>
      <c r="G26" s="86"/>
      <c r="H26" s="86"/>
      <c r="I26" s="86"/>
      <c r="J26" s="86"/>
      <c r="K26" s="115"/>
      <c r="L26" s="127"/>
      <c r="M26" s="127"/>
      <c r="N26" s="127"/>
      <c r="O26" s="86"/>
      <c r="P26" s="87"/>
      <c r="Q26" s="127"/>
      <c r="R26" s="127"/>
      <c r="S26" s="127"/>
      <c r="T26" s="86"/>
      <c r="U26" s="132" t="str" cm="1">
        <f t="array" ref="U26">SumMarksAss(A26:E26)</f>
        <v/>
      </c>
      <c r="V26" s="133" t="str">
        <f t="shared" si="0"/>
        <v/>
      </c>
      <c r="W26" s="134" t="str" cm="1">
        <f t="array" ref="W26">IF(V26="","",GradeConverter(V26))</f>
        <v/>
      </c>
      <c r="X26" s="92" t="str" cm="1">
        <f t="array" ref="X26">SumMarksAss(F26:J26)</f>
        <v/>
      </c>
      <c r="Y26" s="89" t="str">
        <f t="shared" si="1"/>
        <v/>
      </c>
      <c r="Z26" s="90" t="str" cm="1">
        <f t="array" ref="Z26">IF(Y26="","",GradeConverter(Y26))</f>
        <v/>
      </c>
      <c r="AA26" s="123" t="str" cm="1">
        <f t="array" ref="AA26">SumMarksAss(K26:O26)</f>
        <v/>
      </c>
      <c r="AB26" s="121" t="str">
        <f t="shared" si="2"/>
        <v/>
      </c>
      <c r="AC26" s="122" t="str" cm="1">
        <f t="array" ref="AC26">IF(AB26="","",GradeConverter(AB26))</f>
        <v/>
      </c>
      <c r="AD26" s="142" t="str" cm="1">
        <f t="array" ref="AD26">SumTotalMarks(U26,V$3,X26,Y$3,AA26,AB$3)</f>
        <v/>
      </c>
      <c r="AE26" s="91"/>
      <c r="AF26" s="91" t="str" cm="1">
        <f t="array" ref="AF26">IF(AD26="","",IF(AD26="-","-",IF(ISBLANK(AE26),GradeConverter(AD26),AE26)))</f>
        <v/>
      </c>
      <c r="AG26" s="78" t="s">
        <v>16</v>
      </c>
    </row>
    <row r="27" spans="1:33" s="38" customFormat="1" x14ac:dyDescent="0.25">
      <c r="A27" s="86"/>
      <c r="B27" s="86"/>
      <c r="C27" s="86"/>
      <c r="D27" s="86"/>
      <c r="E27" s="86"/>
      <c r="F27" s="87"/>
      <c r="G27" s="86"/>
      <c r="H27" s="86"/>
      <c r="I27" s="86"/>
      <c r="J27" s="86"/>
      <c r="K27" s="115"/>
      <c r="L27" s="127"/>
      <c r="M27" s="127"/>
      <c r="N27" s="127"/>
      <c r="O27" s="86"/>
      <c r="P27" s="87"/>
      <c r="Q27" s="127"/>
      <c r="R27" s="127"/>
      <c r="S27" s="127"/>
      <c r="T27" s="86"/>
      <c r="U27" s="132" t="str" cm="1">
        <f t="array" ref="U27">SumMarksAss(A27:E27)</f>
        <v/>
      </c>
      <c r="V27" s="133" t="str">
        <f t="shared" si="0"/>
        <v/>
      </c>
      <c r="W27" s="134" t="str" cm="1">
        <f t="array" ref="W27">IF(V27="","",GradeConverter(V27))</f>
        <v/>
      </c>
      <c r="X27" s="92" t="str" cm="1">
        <f t="array" ref="X27">SumMarksAss(F27:J27)</f>
        <v/>
      </c>
      <c r="Y27" s="89" t="str">
        <f t="shared" si="1"/>
        <v/>
      </c>
      <c r="Z27" s="90" t="str" cm="1">
        <f t="array" ref="Z27">IF(Y27="","",GradeConverter(Y27))</f>
        <v/>
      </c>
      <c r="AA27" s="123" t="str" cm="1">
        <f t="array" ref="AA27">SumMarksAss(K27:O27)</f>
        <v/>
      </c>
      <c r="AB27" s="121" t="str">
        <f t="shared" si="2"/>
        <v/>
      </c>
      <c r="AC27" s="122" t="str" cm="1">
        <f t="array" ref="AC27">IF(AB27="","",GradeConverter(AB27))</f>
        <v/>
      </c>
      <c r="AD27" s="142" t="str" cm="1">
        <f t="array" ref="AD27">SumTotalMarks(U27,V$3,X27,Y$3,AA27,AB$3)</f>
        <v/>
      </c>
      <c r="AE27" s="91"/>
      <c r="AF27" s="91" t="str" cm="1">
        <f t="array" ref="AF27">IF(AD27="","",IF(AD27="-","-",IF(ISBLANK(AE27),GradeConverter(AD27),AE27)))</f>
        <v/>
      </c>
      <c r="AG27" s="78" t="s">
        <v>16</v>
      </c>
    </row>
    <row r="28" spans="1:33" s="38" customFormat="1" x14ac:dyDescent="0.25">
      <c r="A28" s="86"/>
      <c r="B28" s="86"/>
      <c r="C28" s="86"/>
      <c r="D28" s="86"/>
      <c r="E28" s="86"/>
      <c r="F28" s="87"/>
      <c r="G28" s="86"/>
      <c r="H28" s="86"/>
      <c r="I28" s="86"/>
      <c r="J28" s="86"/>
      <c r="K28" s="115"/>
      <c r="L28" s="127"/>
      <c r="M28" s="127"/>
      <c r="N28" s="127"/>
      <c r="O28" s="86"/>
      <c r="P28" s="87"/>
      <c r="Q28" s="127"/>
      <c r="R28" s="127"/>
      <c r="S28" s="127"/>
      <c r="T28" s="86"/>
      <c r="U28" s="132" t="str" cm="1">
        <f t="array" ref="U28">SumMarksAss(A28:E28)</f>
        <v/>
      </c>
      <c r="V28" s="133" t="str">
        <f t="shared" si="0"/>
        <v/>
      </c>
      <c r="W28" s="134" t="str" cm="1">
        <f t="array" ref="W28">IF(V28="","",GradeConverter(V28))</f>
        <v/>
      </c>
      <c r="X28" s="92" t="str" cm="1">
        <f t="array" ref="X28">SumMarksAss(F28:J28)</f>
        <v/>
      </c>
      <c r="Y28" s="89" t="str">
        <f t="shared" si="1"/>
        <v/>
      </c>
      <c r="Z28" s="90" t="str" cm="1">
        <f t="array" ref="Z28">IF(Y28="","",GradeConverter(Y28))</f>
        <v/>
      </c>
      <c r="AA28" s="123" t="str" cm="1">
        <f t="array" ref="AA28">SumMarksAss(K28:O28)</f>
        <v/>
      </c>
      <c r="AB28" s="121" t="str">
        <f t="shared" si="2"/>
        <v/>
      </c>
      <c r="AC28" s="122" t="str" cm="1">
        <f t="array" ref="AC28">IF(AB28="","",GradeConverter(AB28))</f>
        <v/>
      </c>
      <c r="AD28" s="142" t="str" cm="1">
        <f t="array" ref="AD28">SumTotalMarks(U28,V$3,X28,Y$3,AA28,AB$3)</f>
        <v/>
      </c>
      <c r="AE28" s="91"/>
      <c r="AF28" s="91" t="str" cm="1">
        <f t="array" ref="AF28">IF(AD28="","",IF(AD28="-","-",IF(ISBLANK(AE28),GradeConverter(AD28),AE28)))</f>
        <v/>
      </c>
      <c r="AG28" s="78" t="s">
        <v>16</v>
      </c>
    </row>
    <row r="29" spans="1:33" s="38" customFormat="1" x14ac:dyDescent="0.25">
      <c r="A29" s="86"/>
      <c r="B29" s="86"/>
      <c r="C29" s="86"/>
      <c r="D29" s="86"/>
      <c r="E29" s="86"/>
      <c r="F29" s="87"/>
      <c r="G29" s="86"/>
      <c r="H29" s="86"/>
      <c r="I29" s="86"/>
      <c r="J29" s="86"/>
      <c r="K29" s="115"/>
      <c r="L29" s="127"/>
      <c r="M29" s="127"/>
      <c r="N29" s="127"/>
      <c r="O29" s="86"/>
      <c r="P29" s="87"/>
      <c r="Q29" s="127"/>
      <c r="R29" s="127"/>
      <c r="S29" s="127"/>
      <c r="T29" s="86"/>
      <c r="U29" s="132" t="str" cm="1">
        <f t="array" ref="U29">SumMarksAss(A29:E29)</f>
        <v/>
      </c>
      <c r="V29" s="133" t="str">
        <f t="shared" si="0"/>
        <v/>
      </c>
      <c r="W29" s="134" t="str" cm="1">
        <f t="array" ref="W29">IF(V29="","",GradeConverter(V29))</f>
        <v/>
      </c>
      <c r="X29" s="92" t="str" cm="1">
        <f t="array" ref="X29">SumMarksAss(F29:J29)</f>
        <v/>
      </c>
      <c r="Y29" s="89" t="str">
        <f t="shared" si="1"/>
        <v/>
      </c>
      <c r="Z29" s="90" t="str" cm="1">
        <f t="array" ref="Z29">IF(Y29="","",GradeConverter(Y29))</f>
        <v/>
      </c>
      <c r="AA29" s="123" t="str" cm="1">
        <f t="array" ref="AA29">SumMarksAss(K29:O29)</f>
        <v/>
      </c>
      <c r="AB29" s="121" t="str">
        <f t="shared" si="2"/>
        <v/>
      </c>
      <c r="AC29" s="122" t="str" cm="1">
        <f t="array" ref="AC29">IF(AB29="","",GradeConverter(AB29))</f>
        <v/>
      </c>
      <c r="AD29" s="142" t="str" cm="1">
        <f t="array" ref="AD29">SumTotalMarks(U29,V$3,X29,Y$3,AA29,AB$3)</f>
        <v/>
      </c>
      <c r="AE29" s="91"/>
      <c r="AF29" s="91" t="str" cm="1">
        <f t="array" ref="AF29">IF(AD29="","",IF(AD29="-","-",IF(ISBLANK(AE29),GradeConverter(AD29),AE29)))</f>
        <v/>
      </c>
      <c r="AG29" s="78" t="s">
        <v>16</v>
      </c>
    </row>
    <row r="30" spans="1:33" s="38" customFormat="1" x14ac:dyDescent="0.25">
      <c r="A30" s="86"/>
      <c r="B30" s="86"/>
      <c r="C30" s="86"/>
      <c r="D30" s="86"/>
      <c r="E30" s="86"/>
      <c r="F30" s="87"/>
      <c r="G30" s="86"/>
      <c r="H30" s="86"/>
      <c r="I30" s="86"/>
      <c r="J30" s="86"/>
      <c r="K30" s="115"/>
      <c r="L30" s="127"/>
      <c r="M30" s="127"/>
      <c r="N30" s="127"/>
      <c r="O30" s="86"/>
      <c r="P30" s="87"/>
      <c r="Q30" s="127"/>
      <c r="R30" s="127"/>
      <c r="S30" s="127"/>
      <c r="T30" s="86"/>
      <c r="U30" s="132" t="str" cm="1">
        <f t="array" ref="U30">SumMarksAss(A30:E30)</f>
        <v/>
      </c>
      <c r="V30" s="133" t="str">
        <f t="shared" si="0"/>
        <v/>
      </c>
      <c r="W30" s="134" t="str" cm="1">
        <f t="array" ref="W30">IF(V30="","",GradeConverter(V30))</f>
        <v/>
      </c>
      <c r="X30" s="92" t="str" cm="1">
        <f t="array" ref="X30">SumMarksAss(F30:J30)</f>
        <v/>
      </c>
      <c r="Y30" s="89" t="str">
        <f t="shared" si="1"/>
        <v/>
      </c>
      <c r="Z30" s="90" t="str" cm="1">
        <f t="array" ref="Z30">IF(Y30="","",GradeConverter(Y30))</f>
        <v/>
      </c>
      <c r="AA30" s="123" t="str" cm="1">
        <f t="array" ref="AA30">SumMarksAss(K30:O30)</f>
        <v/>
      </c>
      <c r="AB30" s="121" t="str">
        <f t="shared" si="2"/>
        <v/>
      </c>
      <c r="AC30" s="122" t="str" cm="1">
        <f t="array" ref="AC30">IF(AB30="","",GradeConverter(AB30))</f>
        <v/>
      </c>
      <c r="AD30" s="142" t="str" cm="1">
        <f t="array" ref="AD30">SumTotalMarks(U30,V$3,X30,Y$3,AA30,AB$3)</f>
        <v/>
      </c>
      <c r="AE30" s="91"/>
      <c r="AF30" s="91" t="str" cm="1">
        <f t="array" ref="AF30">IF(AD30="","",IF(AD30="-","-",IF(ISBLANK(AE30),GradeConverter(AD30),AE30)))</f>
        <v/>
      </c>
      <c r="AG30" s="78" t="s">
        <v>16</v>
      </c>
    </row>
    <row r="31" spans="1:33" s="38" customFormat="1" x14ac:dyDescent="0.25">
      <c r="A31" s="86"/>
      <c r="B31" s="86"/>
      <c r="C31" s="86"/>
      <c r="D31" s="86"/>
      <c r="E31" s="86"/>
      <c r="F31" s="87"/>
      <c r="G31" s="86"/>
      <c r="H31" s="86"/>
      <c r="I31" s="86"/>
      <c r="J31" s="86"/>
      <c r="K31" s="115"/>
      <c r="L31" s="127"/>
      <c r="M31" s="127"/>
      <c r="N31" s="127"/>
      <c r="O31" s="86"/>
      <c r="P31" s="87"/>
      <c r="Q31" s="127"/>
      <c r="R31" s="127"/>
      <c r="S31" s="127"/>
      <c r="T31" s="86"/>
      <c r="U31" s="132" t="str" cm="1">
        <f t="array" ref="U31">SumMarksAss(A31:E31)</f>
        <v/>
      </c>
      <c r="V31" s="133" t="str">
        <f t="shared" si="0"/>
        <v/>
      </c>
      <c r="W31" s="134" t="str" cm="1">
        <f t="array" ref="W31">IF(V31="","",GradeConverter(V31))</f>
        <v/>
      </c>
      <c r="X31" s="92" t="str" cm="1">
        <f t="array" ref="X31">SumMarksAss(F31:J31)</f>
        <v/>
      </c>
      <c r="Y31" s="89" t="str">
        <f t="shared" si="1"/>
        <v/>
      </c>
      <c r="Z31" s="90" t="str" cm="1">
        <f t="array" ref="Z31">IF(Y31="","",GradeConverter(Y31))</f>
        <v/>
      </c>
      <c r="AA31" s="123" t="str" cm="1">
        <f t="array" ref="AA31">SumMarksAss(K31:O31)</f>
        <v/>
      </c>
      <c r="AB31" s="121" t="str">
        <f t="shared" si="2"/>
        <v/>
      </c>
      <c r="AC31" s="122" t="str" cm="1">
        <f t="array" ref="AC31">IF(AB31="","",GradeConverter(AB31))</f>
        <v/>
      </c>
      <c r="AD31" s="142" t="str" cm="1">
        <f t="array" ref="AD31">SumTotalMarks(U31,V$3,X31,Y$3,AA31,AB$3)</f>
        <v/>
      </c>
      <c r="AE31" s="91"/>
      <c r="AF31" s="91" t="str" cm="1">
        <f t="array" ref="AF31">IF(AD31="","",IF(AD31="-","-",IF(ISBLANK(AE31),GradeConverter(AD31),AE31)))</f>
        <v/>
      </c>
      <c r="AG31" s="78" t="s">
        <v>16</v>
      </c>
    </row>
    <row r="32" spans="1:33" s="38" customFormat="1" x14ac:dyDescent="0.25">
      <c r="A32" s="86"/>
      <c r="B32" s="86"/>
      <c r="C32" s="86"/>
      <c r="D32" s="86"/>
      <c r="E32" s="86"/>
      <c r="F32" s="87"/>
      <c r="G32" s="86"/>
      <c r="H32" s="86"/>
      <c r="I32" s="86"/>
      <c r="J32" s="86"/>
      <c r="K32" s="115"/>
      <c r="L32" s="127"/>
      <c r="M32" s="127"/>
      <c r="N32" s="127"/>
      <c r="O32" s="86"/>
      <c r="P32" s="87"/>
      <c r="Q32" s="127"/>
      <c r="R32" s="127"/>
      <c r="S32" s="127"/>
      <c r="T32" s="86"/>
      <c r="U32" s="132" t="str" cm="1">
        <f t="array" ref="U32">SumMarksAss(A32:E32)</f>
        <v/>
      </c>
      <c r="V32" s="133" t="str">
        <f t="shared" si="0"/>
        <v/>
      </c>
      <c r="W32" s="134" t="str" cm="1">
        <f t="array" ref="W32">IF(V32="","",GradeConverter(V32))</f>
        <v/>
      </c>
      <c r="X32" s="92" t="str" cm="1">
        <f t="array" ref="X32">SumMarksAss(F32:J32)</f>
        <v/>
      </c>
      <c r="Y32" s="89" t="str">
        <f t="shared" si="1"/>
        <v/>
      </c>
      <c r="Z32" s="90" t="str" cm="1">
        <f t="array" ref="Z32">IF(Y32="","",GradeConverter(Y32))</f>
        <v/>
      </c>
      <c r="AA32" s="123" t="str" cm="1">
        <f t="array" ref="AA32">SumMarksAss(K32:O32)</f>
        <v/>
      </c>
      <c r="AB32" s="121" t="str">
        <f t="shared" si="2"/>
        <v/>
      </c>
      <c r="AC32" s="122" t="str" cm="1">
        <f t="array" ref="AC32">IF(AB32="","",GradeConverter(AB32))</f>
        <v/>
      </c>
      <c r="AD32" s="142" t="str" cm="1">
        <f t="array" ref="AD32">SumTotalMarks(U32,V$3,X32,Y$3,AA32,AB$3)</f>
        <v/>
      </c>
      <c r="AE32" s="91"/>
      <c r="AF32" s="91" t="str" cm="1">
        <f t="array" ref="AF32">IF(AD32="","",IF(AD32="-","-",IF(ISBLANK(AE32),GradeConverter(AD32),AE32)))</f>
        <v/>
      </c>
      <c r="AG32" s="78" t="s">
        <v>16</v>
      </c>
    </row>
    <row r="33" spans="1:33" s="38" customFormat="1" x14ac:dyDescent="0.25">
      <c r="A33" s="86"/>
      <c r="B33" s="86"/>
      <c r="C33" s="86"/>
      <c r="D33" s="86"/>
      <c r="E33" s="86"/>
      <c r="F33" s="87"/>
      <c r="G33" s="86"/>
      <c r="H33" s="86"/>
      <c r="I33" s="86"/>
      <c r="J33" s="86"/>
      <c r="K33" s="115"/>
      <c r="L33" s="127"/>
      <c r="M33" s="127"/>
      <c r="N33" s="127"/>
      <c r="O33" s="86"/>
      <c r="P33" s="87"/>
      <c r="Q33" s="127"/>
      <c r="R33" s="127"/>
      <c r="S33" s="127"/>
      <c r="T33" s="86"/>
      <c r="U33" s="132" t="str" cm="1">
        <f t="array" ref="U33">SumMarksAss(A33:E33)</f>
        <v/>
      </c>
      <c r="V33" s="133" t="str">
        <f t="shared" si="0"/>
        <v/>
      </c>
      <c r="W33" s="134" t="str" cm="1">
        <f t="array" ref="W33">IF(V33="","",GradeConverter(V33))</f>
        <v/>
      </c>
      <c r="X33" s="92" t="str" cm="1">
        <f t="array" ref="X33">SumMarksAss(F33:J33)</f>
        <v/>
      </c>
      <c r="Y33" s="89" t="str">
        <f t="shared" si="1"/>
        <v/>
      </c>
      <c r="Z33" s="90" t="str" cm="1">
        <f t="array" ref="Z33">IF(Y33="","",GradeConverter(Y33))</f>
        <v/>
      </c>
      <c r="AA33" s="123" t="str" cm="1">
        <f t="array" ref="AA33">SumMarksAss(K33:O33)</f>
        <v/>
      </c>
      <c r="AB33" s="121" t="str">
        <f t="shared" si="2"/>
        <v/>
      </c>
      <c r="AC33" s="122" t="str" cm="1">
        <f t="array" ref="AC33">IF(AB33="","",GradeConverter(AB33))</f>
        <v/>
      </c>
      <c r="AD33" s="142" t="str" cm="1">
        <f t="array" ref="AD33">SumTotalMarks(U33,V$3,X33,Y$3,AA33,AB$3)</f>
        <v/>
      </c>
      <c r="AE33" s="91"/>
      <c r="AF33" s="91" t="str" cm="1">
        <f t="array" ref="AF33">IF(AD33="","",IF(AD33="-","-",IF(ISBLANK(AE33),GradeConverter(AD33),AE33)))</f>
        <v/>
      </c>
      <c r="AG33" s="78" t="s">
        <v>16</v>
      </c>
    </row>
    <row r="34" spans="1:33" s="38" customFormat="1" x14ac:dyDescent="0.25">
      <c r="A34" s="86"/>
      <c r="B34" s="86"/>
      <c r="C34" s="86"/>
      <c r="D34" s="86"/>
      <c r="E34" s="86"/>
      <c r="F34" s="87"/>
      <c r="G34" s="86"/>
      <c r="H34" s="86"/>
      <c r="I34" s="86"/>
      <c r="J34" s="86"/>
      <c r="K34" s="115"/>
      <c r="L34" s="127"/>
      <c r="M34" s="127"/>
      <c r="N34" s="127"/>
      <c r="O34" s="86"/>
      <c r="P34" s="87"/>
      <c r="Q34" s="127"/>
      <c r="R34" s="127"/>
      <c r="S34" s="127"/>
      <c r="T34" s="86"/>
      <c r="U34" s="132" t="str" cm="1">
        <f t="array" ref="U34">SumMarksAss(A34:E34)</f>
        <v/>
      </c>
      <c r="V34" s="133" t="str">
        <f t="shared" si="0"/>
        <v/>
      </c>
      <c r="W34" s="134" t="str" cm="1">
        <f t="array" ref="W34">IF(V34="","",GradeConverter(V34))</f>
        <v/>
      </c>
      <c r="X34" s="92" t="str" cm="1">
        <f t="array" ref="X34">SumMarksAss(F34:J34)</f>
        <v/>
      </c>
      <c r="Y34" s="89" t="str">
        <f t="shared" si="1"/>
        <v/>
      </c>
      <c r="Z34" s="90" t="str" cm="1">
        <f t="array" ref="Z34">IF(Y34="","",GradeConverter(Y34))</f>
        <v/>
      </c>
      <c r="AA34" s="123" t="str" cm="1">
        <f t="array" ref="AA34">SumMarksAss(K34:O34)</f>
        <v/>
      </c>
      <c r="AB34" s="121" t="str">
        <f t="shared" si="2"/>
        <v/>
      </c>
      <c r="AC34" s="122" t="str" cm="1">
        <f t="array" ref="AC34">IF(AB34="","",GradeConverter(AB34))</f>
        <v/>
      </c>
      <c r="AD34" s="142" t="str" cm="1">
        <f t="array" ref="AD34">SumTotalMarks(U34,V$3,X34,Y$3,AA34,AB$3)</f>
        <v/>
      </c>
      <c r="AE34" s="91"/>
      <c r="AF34" s="91" t="str" cm="1">
        <f t="array" ref="AF34">IF(AD34="","",IF(AD34="-","-",IF(ISBLANK(AE34),GradeConverter(AD34),AE34)))</f>
        <v/>
      </c>
      <c r="AG34" s="78" t="s">
        <v>16</v>
      </c>
    </row>
    <row r="35" spans="1:33" s="38" customFormat="1" x14ac:dyDescent="0.25">
      <c r="A35" s="86"/>
      <c r="B35" s="86"/>
      <c r="C35" s="86"/>
      <c r="D35" s="86"/>
      <c r="E35" s="86"/>
      <c r="F35" s="87"/>
      <c r="G35" s="86"/>
      <c r="H35" s="86"/>
      <c r="I35" s="86"/>
      <c r="J35" s="86"/>
      <c r="K35" s="115"/>
      <c r="L35" s="127"/>
      <c r="M35" s="127"/>
      <c r="N35" s="127"/>
      <c r="O35" s="86"/>
      <c r="P35" s="87"/>
      <c r="Q35" s="127"/>
      <c r="R35" s="127"/>
      <c r="S35" s="127"/>
      <c r="T35" s="86"/>
      <c r="U35" s="132" t="str" cm="1">
        <f t="array" ref="U35">SumMarksAss(A35:E35)</f>
        <v/>
      </c>
      <c r="V35" s="133" t="str">
        <f t="shared" si="0"/>
        <v/>
      </c>
      <c r="W35" s="134" t="str" cm="1">
        <f t="array" ref="W35">IF(V35="","",GradeConverter(V35))</f>
        <v/>
      </c>
      <c r="X35" s="92" t="str" cm="1">
        <f t="array" ref="X35">SumMarksAss(F35:J35)</f>
        <v/>
      </c>
      <c r="Y35" s="89" t="str">
        <f t="shared" si="1"/>
        <v/>
      </c>
      <c r="Z35" s="90" t="str" cm="1">
        <f t="array" ref="Z35">IF(Y35="","",GradeConverter(Y35))</f>
        <v/>
      </c>
      <c r="AA35" s="123" t="str" cm="1">
        <f t="array" ref="AA35">SumMarksAss(K35:O35)</f>
        <v/>
      </c>
      <c r="AB35" s="121" t="str">
        <f t="shared" si="2"/>
        <v/>
      </c>
      <c r="AC35" s="122" t="str" cm="1">
        <f t="array" ref="AC35">IF(AB35="","",GradeConverter(AB35))</f>
        <v/>
      </c>
      <c r="AD35" s="142" t="str" cm="1">
        <f t="array" ref="AD35">SumTotalMarks(U35,V$3,X35,Y$3,AA35,AB$3)</f>
        <v/>
      </c>
      <c r="AE35" s="91"/>
      <c r="AF35" s="91" t="str" cm="1">
        <f t="array" ref="AF35">IF(AD35="","",IF(AD35="-","-",IF(ISBLANK(AE35),GradeConverter(AD35),AE35)))</f>
        <v/>
      </c>
      <c r="AG35" s="78" t="s">
        <v>16</v>
      </c>
    </row>
    <row r="36" spans="1:33" s="38" customFormat="1" x14ac:dyDescent="0.25">
      <c r="A36" s="86"/>
      <c r="B36" s="86"/>
      <c r="C36" s="86"/>
      <c r="D36" s="86"/>
      <c r="E36" s="86"/>
      <c r="F36" s="87"/>
      <c r="G36" s="86"/>
      <c r="H36" s="86"/>
      <c r="I36" s="86"/>
      <c r="J36" s="86"/>
      <c r="K36" s="115"/>
      <c r="L36" s="127"/>
      <c r="M36" s="127"/>
      <c r="N36" s="127"/>
      <c r="O36" s="86"/>
      <c r="P36" s="87"/>
      <c r="Q36" s="127"/>
      <c r="R36" s="127"/>
      <c r="S36" s="127"/>
      <c r="T36" s="86"/>
      <c r="U36" s="132" t="str" cm="1">
        <f t="array" ref="U36">SumMarksAss(A36:E36)</f>
        <v/>
      </c>
      <c r="V36" s="133" t="str">
        <f t="shared" si="0"/>
        <v/>
      </c>
      <c r="W36" s="134" t="str" cm="1">
        <f t="array" ref="W36">IF(V36="","",GradeConverter(V36))</f>
        <v/>
      </c>
      <c r="X36" s="92" t="str" cm="1">
        <f t="array" ref="X36">SumMarksAss(F36:J36)</f>
        <v/>
      </c>
      <c r="Y36" s="89" t="str">
        <f t="shared" si="1"/>
        <v/>
      </c>
      <c r="Z36" s="90" t="str" cm="1">
        <f t="array" ref="Z36">IF(Y36="","",GradeConverter(Y36))</f>
        <v/>
      </c>
      <c r="AA36" s="123" t="str" cm="1">
        <f t="array" ref="AA36">SumMarksAss(K36:O36)</f>
        <v/>
      </c>
      <c r="AB36" s="121" t="str">
        <f t="shared" si="2"/>
        <v/>
      </c>
      <c r="AC36" s="122" t="str" cm="1">
        <f t="array" ref="AC36">IF(AB36="","",GradeConverter(AB36))</f>
        <v/>
      </c>
      <c r="AD36" s="142" t="str" cm="1">
        <f t="array" ref="AD36">SumTotalMarks(U36,V$3,X36,Y$3,AA36,AB$3)</f>
        <v/>
      </c>
      <c r="AE36" s="91"/>
      <c r="AF36" s="91" t="str" cm="1">
        <f t="array" ref="AF36">IF(AD36="","",IF(AD36="-","-",IF(ISBLANK(AE36),GradeConverter(AD36),AE36)))</f>
        <v/>
      </c>
      <c r="AG36" s="78" t="s">
        <v>16</v>
      </c>
    </row>
    <row r="37" spans="1:33" s="38" customFormat="1" x14ac:dyDescent="0.25">
      <c r="A37" s="86"/>
      <c r="B37" s="86"/>
      <c r="C37" s="86"/>
      <c r="D37" s="86"/>
      <c r="E37" s="86"/>
      <c r="F37" s="87"/>
      <c r="G37" s="86"/>
      <c r="H37" s="86"/>
      <c r="I37" s="86"/>
      <c r="J37" s="86"/>
      <c r="K37" s="115"/>
      <c r="L37" s="127"/>
      <c r="M37" s="127"/>
      <c r="N37" s="127"/>
      <c r="O37" s="86"/>
      <c r="P37" s="87"/>
      <c r="Q37" s="127"/>
      <c r="R37" s="127"/>
      <c r="S37" s="127"/>
      <c r="T37" s="86"/>
      <c r="U37" s="132" t="str" cm="1">
        <f t="array" ref="U37">SumMarksAss(A37:E37)</f>
        <v/>
      </c>
      <c r="V37" s="133" t="str">
        <f t="shared" si="0"/>
        <v/>
      </c>
      <c r="W37" s="134" t="str" cm="1">
        <f t="array" ref="W37">IF(V37="","",GradeConverter(V37))</f>
        <v/>
      </c>
      <c r="X37" s="92" t="str" cm="1">
        <f t="array" ref="X37">SumMarksAss(F37:J37)</f>
        <v/>
      </c>
      <c r="Y37" s="89" t="str">
        <f t="shared" si="1"/>
        <v/>
      </c>
      <c r="Z37" s="90" t="str" cm="1">
        <f t="array" ref="Z37">IF(Y37="","",GradeConverter(Y37))</f>
        <v/>
      </c>
      <c r="AA37" s="123" t="str" cm="1">
        <f t="array" ref="AA37">SumMarksAss(K37:O37)</f>
        <v/>
      </c>
      <c r="AB37" s="121" t="str">
        <f t="shared" si="2"/>
        <v/>
      </c>
      <c r="AC37" s="122" t="str" cm="1">
        <f t="array" ref="AC37">IF(AB37="","",GradeConverter(AB37))</f>
        <v/>
      </c>
      <c r="AD37" s="142" t="str" cm="1">
        <f t="array" ref="AD37">SumTotalMarks(U37,V$3,X37,Y$3,AA37,AB$3)</f>
        <v/>
      </c>
      <c r="AE37" s="91"/>
      <c r="AF37" s="91" t="str" cm="1">
        <f t="array" ref="AF37">IF(AD37="","",IF(AD37="-","-",IF(ISBLANK(AE37),GradeConverter(AD37),AE37)))</f>
        <v/>
      </c>
      <c r="AG37" s="78" t="s">
        <v>16</v>
      </c>
    </row>
    <row r="38" spans="1:33" s="38" customFormat="1" x14ac:dyDescent="0.25">
      <c r="A38" s="86"/>
      <c r="B38" s="86"/>
      <c r="C38" s="86"/>
      <c r="D38" s="86"/>
      <c r="E38" s="86"/>
      <c r="F38" s="87"/>
      <c r="G38" s="86"/>
      <c r="H38" s="86"/>
      <c r="I38" s="86"/>
      <c r="J38" s="86"/>
      <c r="K38" s="115"/>
      <c r="L38" s="127"/>
      <c r="M38" s="127"/>
      <c r="N38" s="127"/>
      <c r="O38" s="86"/>
      <c r="P38" s="87"/>
      <c r="Q38" s="127"/>
      <c r="R38" s="127"/>
      <c r="S38" s="127"/>
      <c r="T38" s="86"/>
      <c r="U38" s="132" t="str" cm="1">
        <f t="array" ref="U38">SumMarksAss(A38:E38)</f>
        <v/>
      </c>
      <c r="V38" s="133" t="str">
        <f t="shared" si="0"/>
        <v/>
      </c>
      <c r="W38" s="134" t="str" cm="1">
        <f t="array" ref="W38">IF(V38="","",GradeConverter(V38))</f>
        <v/>
      </c>
      <c r="X38" s="92" t="str" cm="1">
        <f t="array" ref="X38">SumMarksAss(F38:J38)</f>
        <v/>
      </c>
      <c r="Y38" s="89" t="str">
        <f t="shared" si="1"/>
        <v/>
      </c>
      <c r="Z38" s="90" t="str" cm="1">
        <f t="array" ref="Z38">IF(Y38="","",GradeConverter(Y38))</f>
        <v/>
      </c>
      <c r="AA38" s="123" t="str" cm="1">
        <f t="array" ref="AA38">SumMarksAss(K38:O38)</f>
        <v/>
      </c>
      <c r="AB38" s="121" t="str">
        <f t="shared" si="2"/>
        <v/>
      </c>
      <c r="AC38" s="122" t="str" cm="1">
        <f t="array" ref="AC38">IF(AB38="","",GradeConverter(AB38))</f>
        <v/>
      </c>
      <c r="AD38" s="142" t="str" cm="1">
        <f t="array" ref="AD38">SumTotalMarks(U38,V$3,X38,Y$3,AA38,AB$3)</f>
        <v/>
      </c>
      <c r="AE38" s="91"/>
      <c r="AF38" s="91" t="str" cm="1">
        <f t="array" ref="AF38">IF(AD38="","",IF(AD38="-","-",IF(ISBLANK(AE38),GradeConverter(AD38),AE38)))</f>
        <v/>
      </c>
      <c r="AG38" s="78" t="s">
        <v>16</v>
      </c>
    </row>
    <row r="39" spans="1:33" s="38" customFormat="1" x14ac:dyDescent="0.25">
      <c r="A39" s="86"/>
      <c r="B39" s="86"/>
      <c r="C39" s="86"/>
      <c r="D39" s="86"/>
      <c r="E39" s="86"/>
      <c r="F39" s="87"/>
      <c r="G39" s="86"/>
      <c r="H39" s="86"/>
      <c r="I39" s="86"/>
      <c r="J39" s="86"/>
      <c r="K39" s="115"/>
      <c r="L39" s="127"/>
      <c r="M39" s="127"/>
      <c r="N39" s="127"/>
      <c r="O39" s="86"/>
      <c r="P39" s="87"/>
      <c r="Q39" s="127"/>
      <c r="R39" s="127"/>
      <c r="S39" s="127"/>
      <c r="T39" s="86"/>
      <c r="U39" s="132" t="str" cm="1">
        <f t="array" ref="U39">SumMarksAss(A39:E39)</f>
        <v/>
      </c>
      <c r="V39" s="133" t="str">
        <f t="shared" si="0"/>
        <v/>
      </c>
      <c r="W39" s="134" t="str" cm="1">
        <f t="array" ref="W39">IF(V39="","",GradeConverter(V39))</f>
        <v/>
      </c>
      <c r="X39" s="92" t="str" cm="1">
        <f t="array" ref="X39">SumMarksAss(F39:J39)</f>
        <v/>
      </c>
      <c r="Y39" s="89" t="str">
        <f t="shared" si="1"/>
        <v/>
      </c>
      <c r="Z39" s="90" t="str" cm="1">
        <f t="array" ref="Z39">IF(Y39="","",GradeConverter(Y39))</f>
        <v/>
      </c>
      <c r="AA39" s="123" t="str" cm="1">
        <f t="array" ref="AA39">SumMarksAss(K39:O39)</f>
        <v/>
      </c>
      <c r="AB39" s="121" t="str">
        <f t="shared" si="2"/>
        <v/>
      </c>
      <c r="AC39" s="122" t="str" cm="1">
        <f t="array" ref="AC39">IF(AB39="","",GradeConverter(AB39))</f>
        <v/>
      </c>
      <c r="AD39" s="142" t="str" cm="1">
        <f t="array" ref="AD39">SumTotalMarks(U39,V$3,X39,Y$3,AA39,AB$3)</f>
        <v/>
      </c>
      <c r="AE39" s="91"/>
      <c r="AF39" s="91" t="str" cm="1">
        <f t="array" ref="AF39">IF(AD39="","",IF(AD39="-","-",IF(ISBLANK(AE39),GradeConverter(AD39),AE39)))</f>
        <v/>
      </c>
      <c r="AG39" s="78" t="s">
        <v>16</v>
      </c>
    </row>
    <row r="40" spans="1:33" s="38" customFormat="1" ht="15.75" thickBot="1" x14ac:dyDescent="0.3">
      <c r="A40" s="93"/>
      <c r="B40" s="93"/>
      <c r="C40" s="93"/>
      <c r="D40" s="93"/>
      <c r="E40" s="93"/>
      <c r="F40" s="94"/>
      <c r="G40" s="93"/>
      <c r="H40" s="93"/>
      <c r="I40" s="93"/>
      <c r="J40" s="93"/>
      <c r="K40" s="116"/>
      <c r="L40" s="128"/>
      <c r="M40" s="128"/>
      <c r="N40" s="128"/>
      <c r="O40" s="101"/>
      <c r="P40" s="94"/>
      <c r="Q40" s="128"/>
      <c r="R40" s="128"/>
      <c r="S40" s="128"/>
      <c r="T40" s="95"/>
      <c r="U40" s="135" t="str" cm="1">
        <f t="array" ref="U40">SumMarksAss(A40:E40)</f>
        <v/>
      </c>
      <c r="V40" s="136" t="str">
        <f t="shared" si="0"/>
        <v/>
      </c>
      <c r="W40" s="137" t="str" cm="1">
        <f t="array" ref="W40">IF(U40="","",GradeConverter(U40))</f>
        <v/>
      </c>
      <c r="X40" s="96" t="str" cm="1">
        <f t="array" ref="X40">SumMarksAss(F40:J40)</f>
        <v/>
      </c>
      <c r="Y40" s="97" t="str">
        <f t="shared" si="1"/>
        <v/>
      </c>
      <c r="Z40" s="98" t="str" cm="1">
        <f t="array" ref="Z40">IF(Y40="","",GradeConverter(Y40))</f>
        <v/>
      </c>
      <c r="AA40" s="144" t="str" cm="1">
        <f t="array" ref="AA40">SumMarksAss(K40:O40)</f>
        <v/>
      </c>
      <c r="AB40" s="124" t="str">
        <f t="shared" si="2"/>
        <v/>
      </c>
      <c r="AC40" s="125" t="str" cm="1">
        <f t="array" ref="AC40">IF(AB40="","",GradeConverter(AB40))</f>
        <v/>
      </c>
      <c r="AD40" s="143" t="str" cm="1">
        <f t="array" ref="AD40">SumTotalMarks(U40,V$3,X40,Y$3,AA40,AB$3)</f>
        <v/>
      </c>
      <c r="AE40" s="99"/>
      <c r="AF40" s="99" t="str" cm="1">
        <f t="array" ref="AF40">IF(AD40="","",IF(AD40="-","-",IF(ISBLANK(AE40),GradeConverter(AD40),AE40)))</f>
        <v/>
      </c>
      <c r="AG40" s="100" t="e" cm="1">
        <f t="array" ref="AG40">-+M40A40:AG40</f>
        <v>#NAME?</v>
      </c>
    </row>
  </sheetData>
  <mergeCells count="6">
    <mergeCell ref="U2:AF2"/>
    <mergeCell ref="A1:AG1"/>
    <mergeCell ref="P2:T2"/>
    <mergeCell ref="A2:E2"/>
    <mergeCell ref="F2:J2"/>
    <mergeCell ref="K2:O2"/>
  </mergeCells>
  <conditionalFormatting sqref="Z5:Z40 AD5:AF40 W5:W40">
    <cfRule type="expression" dxfId="12" priority="9" stopIfTrue="1">
      <formula>OR(ISNUMBER(SEARCH("D",W5)),ISNUMBER(SEARCH("E",W5)))</formula>
    </cfRule>
  </conditionalFormatting>
  <conditionalFormatting sqref="A5:T40">
    <cfRule type="expression" dxfId="11" priority="3" stopIfTrue="1">
      <formula>NOT(ISBLANK(A5))</formula>
    </cfRule>
    <cfRule type="expression" dxfId="10" priority="4" stopIfTrue="1">
      <formula>AND(NOT($A5="ZZZZZ"),NOT(ISBLANK(A$4)))</formula>
    </cfRule>
  </conditionalFormatting>
  <conditionalFormatting sqref="AC5:AC40">
    <cfRule type="expression" dxfId="9"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CFF76C-090D-4B81-88B7-FFA379B8AAA3}">
          <x14:formula1>
            <xm:f>GradeScheme!#REF!</xm:f>
          </x14:formula1>
          <xm:sqref>AE5:AE40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47" sqref="J47"/>
    </sheetView>
  </sheetViews>
  <sheetFormatPr defaultRowHeight="15" x14ac:dyDescent="0.25"/>
  <cols>
    <col min="1" max="4" width="16" bestFit="1" customWidth="1"/>
    <col min="5" max="5" width="1.85546875" bestFit="1" customWidth="1"/>
  </cols>
  <sheetData>
    <row r="1" spans="1:5" x14ac:dyDescent="0.25">
      <c r="A1" s="105"/>
      <c r="B1" s="105"/>
      <c r="C1" s="106"/>
      <c r="D1" s="106"/>
      <c r="E1" s="107"/>
    </row>
    <row r="2" spans="1:5" ht="15.75" x14ac:dyDescent="0.25">
      <c r="A2" s="112" t="s">
        <v>137</v>
      </c>
      <c r="B2" s="113"/>
      <c r="C2" s="113"/>
      <c r="D2" s="113"/>
      <c r="E2" s="108" t="s">
        <v>16</v>
      </c>
    </row>
    <row r="3" spans="1:5" x14ac:dyDescent="0.25">
      <c r="A3" s="104" t="s">
        <v>92</v>
      </c>
      <c r="B3" s="104" t="s">
        <v>92</v>
      </c>
      <c r="C3" s="104" t="s">
        <v>92</v>
      </c>
      <c r="D3" s="104" t="s">
        <v>92</v>
      </c>
      <c r="E3" s="108" t="s">
        <v>16</v>
      </c>
    </row>
    <row r="4" spans="1:5" x14ac:dyDescent="0.25">
      <c r="A4" s="145" t="s">
        <v>107</v>
      </c>
      <c r="B4" s="146" t="s">
        <v>108</v>
      </c>
      <c r="C4" s="147" t="s">
        <v>109</v>
      </c>
      <c r="D4" s="148" t="s">
        <v>131</v>
      </c>
      <c r="E4" s="108" t="s">
        <v>16</v>
      </c>
    </row>
    <row r="5" spans="1:5" x14ac:dyDescent="0.25">
      <c r="A5" s="110"/>
      <c r="B5" s="110"/>
      <c r="C5" s="110"/>
      <c r="D5" s="110"/>
      <c r="E5" s="108" t="s">
        <v>16</v>
      </c>
    </row>
    <row r="6" spans="1:5" x14ac:dyDescent="0.25">
      <c r="A6" s="110"/>
      <c r="B6" s="110"/>
      <c r="C6" s="110"/>
      <c r="D6" s="110"/>
      <c r="E6" s="108" t="s">
        <v>16</v>
      </c>
    </row>
    <row r="7" spans="1:5" x14ac:dyDescent="0.25">
      <c r="A7" s="110"/>
      <c r="B7" s="110"/>
      <c r="C7" s="110"/>
      <c r="D7" s="110"/>
      <c r="E7" s="108" t="s">
        <v>16</v>
      </c>
    </row>
    <row r="8" spans="1:5" x14ac:dyDescent="0.25">
      <c r="A8" s="110"/>
      <c r="B8" s="110"/>
      <c r="C8" s="110"/>
      <c r="D8" s="110"/>
      <c r="E8" s="108" t="s">
        <v>16</v>
      </c>
    </row>
    <row r="9" spans="1:5" x14ac:dyDescent="0.25">
      <c r="A9" s="110"/>
      <c r="B9" s="110"/>
      <c r="C9" s="110"/>
      <c r="D9" s="110"/>
      <c r="E9" s="108" t="s">
        <v>16</v>
      </c>
    </row>
    <row r="10" spans="1:5" x14ac:dyDescent="0.25">
      <c r="A10" s="110"/>
      <c r="B10" s="110"/>
      <c r="C10" s="110"/>
      <c r="D10" s="110"/>
      <c r="E10" s="108" t="s">
        <v>16</v>
      </c>
    </row>
    <row r="11" spans="1:5" x14ac:dyDescent="0.25">
      <c r="A11" s="110"/>
      <c r="B11" s="110"/>
      <c r="C11" s="110"/>
      <c r="D11" s="110"/>
      <c r="E11" s="108" t="s">
        <v>16</v>
      </c>
    </row>
    <row r="12" spans="1:5" x14ac:dyDescent="0.25">
      <c r="A12" s="110"/>
      <c r="B12" s="110"/>
      <c r="C12" s="110"/>
      <c r="D12" s="110"/>
      <c r="E12" s="108" t="s">
        <v>16</v>
      </c>
    </row>
    <row r="13" spans="1:5" x14ac:dyDescent="0.25">
      <c r="A13" s="110"/>
      <c r="B13" s="110"/>
      <c r="C13" s="110"/>
      <c r="D13" s="110"/>
      <c r="E13" s="108" t="s">
        <v>16</v>
      </c>
    </row>
    <row r="14" spans="1:5" x14ac:dyDescent="0.25">
      <c r="A14" s="110"/>
      <c r="B14" s="110"/>
      <c r="C14" s="110"/>
      <c r="D14" s="110"/>
      <c r="E14" s="108" t="s">
        <v>16</v>
      </c>
    </row>
    <row r="15" spans="1:5" x14ac:dyDescent="0.25">
      <c r="A15" s="110"/>
      <c r="B15" s="110"/>
      <c r="C15" s="110"/>
      <c r="D15" s="110"/>
      <c r="E15" s="108" t="s">
        <v>16</v>
      </c>
    </row>
    <row r="16" spans="1:5" x14ac:dyDescent="0.25">
      <c r="A16" s="110"/>
      <c r="B16" s="110"/>
      <c r="C16" s="110"/>
      <c r="D16" s="110"/>
      <c r="E16" s="108" t="s">
        <v>16</v>
      </c>
    </row>
    <row r="17" spans="1:5" x14ac:dyDescent="0.25">
      <c r="A17" s="110"/>
      <c r="B17" s="110"/>
      <c r="C17" s="110"/>
      <c r="D17" s="110"/>
      <c r="E17" s="108" t="s">
        <v>16</v>
      </c>
    </row>
    <row r="18" spans="1:5" x14ac:dyDescent="0.25">
      <c r="A18" s="110"/>
      <c r="B18" s="110"/>
      <c r="C18" s="110"/>
      <c r="D18" s="110"/>
      <c r="E18" s="108" t="s">
        <v>16</v>
      </c>
    </row>
    <row r="19" spans="1:5" x14ac:dyDescent="0.25">
      <c r="A19" s="110"/>
      <c r="B19" s="110"/>
      <c r="C19" s="110"/>
      <c r="D19" s="110"/>
      <c r="E19" s="108" t="s">
        <v>16</v>
      </c>
    </row>
    <row r="20" spans="1:5" x14ac:dyDescent="0.25">
      <c r="A20" s="110"/>
      <c r="B20" s="110"/>
      <c r="C20" s="110"/>
      <c r="D20" s="110"/>
      <c r="E20" s="108" t="s">
        <v>16</v>
      </c>
    </row>
    <row r="21" spans="1:5" x14ac:dyDescent="0.25">
      <c r="A21" s="110"/>
      <c r="B21" s="110"/>
      <c r="C21" s="110"/>
      <c r="D21" s="110"/>
      <c r="E21" s="108" t="s">
        <v>16</v>
      </c>
    </row>
    <row r="22" spans="1:5" x14ac:dyDescent="0.25">
      <c r="A22" s="110"/>
      <c r="B22" s="110"/>
      <c r="C22" s="110"/>
      <c r="D22" s="110"/>
      <c r="E22" s="108" t="s">
        <v>16</v>
      </c>
    </row>
    <row r="23" spans="1:5" x14ac:dyDescent="0.25">
      <c r="A23" s="110"/>
      <c r="B23" s="110"/>
      <c r="C23" s="110"/>
      <c r="D23" s="110"/>
      <c r="E23" s="108" t="s">
        <v>16</v>
      </c>
    </row>
    <row r="24" spans="1:5" x14ac:dyDescent="0.25">
      <c r="A24" s="110"/>
      <c r="B24" s="110"/>
      <c r="C24" s="110"/>
      <c r="D24" s="110"/>
      <c r="E24" s="108" t="s">
        <v>16</v>
      </c>
    </row>
    <row r="25" spans="1:5" x14ac:dyDescent="0.25">
      <c r="A25" s="110"/>
      <c r="B25" s="110"/>
      <c r="C25" s="110"/>
      <c r="D25" s="110"/>
      <c r="E25" s="108" t="s">
        <v>16</v>
      </c>
    </row>
    <row r="26" spans="1:5" x14ac:dyDescent="0.25">
      <c r="A26" s="110"/>
      <c r="B26" s="110"/>
      <c r="C26" s="110"/>
      <c r="D26" s="110"/>
      <c r="E26" s="108" t="s">
        <v>16</v>
      </c>
    </row>
    <row r="27" spans="1:5" x14ac:dyDescent="0.25">
      <c r="A27" s="110"/>
      <c r="B27" s="110"/>
      <c r="C27" s="110"/>
      <c r="D27" s="110"/>
      <c r="E27" s="108" t="s">
        <v>16</v>
      </c>
    </row>
    <row r="28" spans="1:5" x14ac:dyDescent="0.25">
      <c r="A28" s="110"/>
      <c r="B28" s="110"/>
      <c r="C28" s="110"/>
      <c r="D28" s="110"/>
      <c r="E28" s="108" t="s">
        <v>16</v>
      </c>
    </row>
    <row r="29" spans="1:5" x14ac:dyDescent="0.25">
      <c r="A29" s="110"/>
      <c r="B29" s="110"/>
      <c r="C29" s="110"/>
      <c r="D29" s="110"/>
      <c r="E29" s="108" t="s">
        <v>16</v>
      </c>
    </row>
    <row r="30" spans="1:5" x14ac:dyDescent="0.25">
      <c r="A30" s="110"/>
      <c r="B30" s="110"/>
      <c r="C30" s="110"/>
      <c r="D30" s="110"/>
      <c r="E30" s="108" t="s">
        <v>16</v>
      </c>
    </row>
    <row r="31" spans="1:5" x14ac:dyDescent="0.25">
      <c r="A31" s="110"/>
      <c r="B31" s="110"/>
      <c r="C31" s="110"/>
      <c r="D31" s="110"/>
      <c r="E31" s="108" t="s">
        <v>16</v>
      </c>
    </row>
    <row r="32" spans="1:5" x14ac:dyDescent="0.25">
      <c r="A32" s="110"/>
      <c r="B32" s="110"/>
      <c r="C32" s="110"/>
      <c r="D32" s="110"/>
      <c r="E32" s="108" t="s">
        <v>16</v>
      </c>
    </row>
    <row r="33" spans="1:5" x14ac:dyDescent="0.25">
      <c r="A33" s="110"/>
      <c r="B33" s="110"/>
      <c r="C33" s="110"/>
      <c r="D33" s="110"/>
      <c r="E33" s="108" t="s">
        <v>16</v>
      </c>
    </row>
    <row r="34" spans="1:5" x14ac:dyDescent="0.25">
      <c r="A34" s="110"/>
      <c r="B34" s="110"/>
      <c r="C34" s="110"/>
      <c r="D34" s="110"/>
      <c r="E34" s="108" t="s">
        <v>16</v>
      </c>
    </row>
    <row r="35" spans="1:5" x14ac:dyDescent="0.25">
      <c r="A35" s="110"/>
      <c r="B35" s="110"/>
      <c r="C35" s="110"/>
      <c r="D35" s="110"/>
      <c r="E35" s="108" t="s">
        <v>16</v>
      </c>
    </row>
    <row r="36" spans="1:5" x14ac:dyDescent="0.25">
      <c r="A36" s="110"/>
      <c r="B36" s="110"/>
      <c r="C36" s="110"/>
      <c r="D36" s="110"/>
      <c r="E36" s="108" t="s">
        <v>16</v>
      </c>
    </row>
    <row r="37" spans="1:5" x14ac:dyDescent="0.25">
      <c r="A37" s="110"/>
      <c r="B37" s="110"/>
      <c r="C37" s="110"/>
      <c r="D37" s="110"/>
      <c r="E37" s="108" t="s">
        <v>16</v>
      </c>
    </row>
    <row r="38" spans="1:5" x14ac:dyDescent="0.25">
      <c r="A38" s="110"/>
      <c r="B38" s="110"/>
      <c r="C38" s="110"/>
      <c r="D38" s="110"/>
      <c r="E38" s="108" t="s">
        <v>16</v>
      </c>
    </row>
    <row r="39" spans="1:5" x14ac:dyDescent="0.25">
      <c r="A39" s="110"/>
      <c r="B39" s="110"/>
      <c r="C39" s="110"/>
      <c r="D39" s="110"/>
      <c r="E39" s="108" t="s">
        <v>16</v>
      </c>
    </row>
    <row r="40" spans="1:5" ht="15.75" thickBot="1" x14ac:dyDescent="0.3">
      <c r="A40" s="111"/>
      <c r="B40" s="111"/>
      <c r="C40" s="111"/>
      <c r="D40" s="111"/>
      <c r="E40" s="109" t="s">
        <v>16</v>
      </c>
    </row>
  </sheetData>
  <conditionalFormatting sqref="A5:D40">
    <cfRule type="expression" dxfId="8" priority="1" stopIfTrue="1">
      <formula>OR(ISNUMBER(SEARCH("D",A5)),ISNUMBER(SEARCH("E",A5)))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A741"/>
  <sheetViews>
    <sheetView zoomScaleNormal="100" workbookViewId="0">
      <selection activeCell="R40" sqref="R40"/>
    </sheetView>
  </sheetViews>
  <sheetFormatPr defaultColWidth="9.140625" defaultRowHeight="15" x14ac:dyDescent="0.25"/>
  <cols>
    <col min="1" max="5" width="10.42578125" customWidth="1"/>
    <col min="6" max="6" width="10.42578125" style="7" customWidth="1"/>
    <col min="7" max="10" width="10.42578125" style="7" hidden="1" customWidth="1"/>
    <col min="11" max="11" width="10.42578125" customWidth="1"/>
    <col min="12" max="12" width="10.42578125" style="7" customWidth="1"/>
    <col min="13" max="13" width="10.7109375" bestFit="1" customWidth="1"/>
    <col min="14" max="14" width="4.85546875" style="7" bestFit="1" customWidth="1"/>
    <col min="15" max="15" width="6.42578125" bestFit="1" customWidth="1"/>
    <col min="16" max="16" width="10.28515625" bestFit="1" customWidth="1"/>
    <col min="17" max="17" width="5.140625" style="7" customWidth="1"/>
    <col min="18" max="18" width="6.42578125" bestFit="1" customWidth="1"/>
    <col min="19" max="19" width="11.140625" bestFit="1" customWidth="1"/>
    <col min="20" max="20" width="10.42578125" style="8" bestFit="1" customWidth="1"/>
    <col min="21" max="21" width="13.42578125" bestFit="1" customWidth="1"/>
    <col min="22" max="22" width="1.7109375" bestFit="1" customWidth="1"/>
    <col min="23" max="26" width="15.42578125" bestFit="1" customWidth="1"/>
    <col min="27" max="27" width="2.85546875" customWidth="1"/>
  </cols>
  <sheetData>
    <row r="1" spans="1:27" x14ac:dyDescent="0.25">
      <c r="A1" s="44" t="s">
        <v>63</v>
      </c>
      <c r="B1" s="242" t="s">
        <v>76</v>
      </c>
      <c r="C1" s="242"/>
      <c r="D1" s="242"/>
      <c r="E1" s="242"/>
      <c r="F1" s="242"/>
      <c r="G1" s="242"/>
      <c r="H1" s="242"/>
      <c r="I1" s="242"/>
      <c r="J1" s="242"/>
      <c r="K1" s="242"/>
      <c r="L1" s="242"/>
      <c r="M1" s="242"/>
      <c r="N1" s="242"/>
      <c r="O1" s="242"/>
      <c r="P1" s="242"/>
      <c r="Q1" s="242"/>
      <c r="R1" s="242"/>
      <c r="S1" s="242"/>
      <c r="T1" s="242"/>
      <c r="U1" s="242"/>
      <c r="V1" s="243"/>
      <c r="W1" s="105"/>
      <c r="X1" s="105"/>
      <c r="Y1" s="106"/>
      <c r="Z1" s="106"/>
      <c r="AA1" s="107"/>
    </row>
    <row r="2" spans="1:27" ht="15.75" x14ac:dyDescent="0.25">
      <c r="A2" s="249" t="s">
        <v>29</v>
      </c>
      <c r="B2" s="240"/>
      <c r="C2" s="240"/>
      <c r="D2" s="240"/>
      <c r="E2" s="240"/>
      <c r="F2" s="239" t="s">
        <v>31</v>
      </c>
      <c r="G2" s="240"/>
      <c r="H2" s="240"/>
      <c r="I2" s="240"/>
      <c r="J2" s="240"/>
      <c r="K2" s="239" t="s">
        <v>73</v>
      </c>
      <c r="L2" s="241"/>
      <c r="M2" s="239" t="s">
        <v>32</v>
      </c>
      <c r="N2" s="240"/>
      <c r="O2" s="240"/>
      <c r="P2" s="240"/>
      <c r="Q2" s="240"/>
      <c r="R2" s="240"/>
      <c r="S2" s="240"/>
      <c r="T2" s="240"/>
      <c r="U2" s="244"/>
      <c r="V2" s="45" t="s">
        <v>16</v>
      </c>
      <c r="W2" s="112" t="s">
        <v>137</v>
      </c>
      <c r="X2" s="113"/>
      <c r="Y2" s="113"/>
      <c r="Z2" s="113"/>
      <c r="AA2" s="108" t="s">
        <v>16</v>
      </c>
    </row>
    <row r="3" spans="1:27" ht="15" customHeight="1" x14ac:dyDescent="0.25">
      <c r="A3" s="67" t="s">
        <v>77</v>
      </c>
      <c r="B3" s="67" t="s">
        <v>78</v>
      </c>
      <c r="C3" s="67" t="s">
        <v>69</v>
      </c>
      <c r="D3" s="67" t="s">
        <v>69</v>
      </c>
      <c r="E3" s="67" t="s">
        <v>69</v>
      </c>
      <c r="F3" s="67" t="s">
        <v>31</v>
      </c>
      <c r="G3" s="67" t="s">
        <v>69</v>
      </c>
      <c r="H3" s="67" t="s">
        <v>69</v>
      </c>
      <c r="I3" s="67" t="s">
        <v>69</v>
      </c>
      <c r="J3" s="67" t="s">
        <v>69</v>
      </c>
      <c r="K3" s="67" t="s">
        <v>69</v>
      </c>
      <c r="L3" s="67" t="s">
        <v>69</v>
      </c>
      <c r="M3" s="66" t="str">
        <f>_xlfn.TEXTJOIN(" ",TRUE,"Max",A2,":")</f>
        <v>Max UD :</v>
      </c>
      <c r="N3" s="245">
        <f>IF(OR(A4="-",B4="-",C4="-",D4="-",E4="-"),"-",SUM(A4,B4,C4,D4,E4))</f>
        <v>100</v>
      </c>
      <c r="O3" s="246"/>
      <c r="P3" s="66" t="str">
        <f>_xlfn.TEXTJOIN(" ",TRUE,"Max",F2,":")</f>
        <v>Max SD :</v>
      </c>
      <c r="Q3" s="247">
        <f>IF(OR(F4="-",G4="-",H4="-",I4="-",J4="-"),"-",SUM(F4,G4,H4,I4,J4))</f>
        <v>100</v>
      </c>
      <c r="R3" s="248"/>
      <c r="S3" s="46"/>
      <c r="T3" s="46"/>
      <c r="U3" s="46"/>
      <c r="V3" s="45" t="s">
        <v>16</v>
      </c>
      <c r="W3" s="104" t="s">
        <v>92</v>
      </c>
      <c r="X3" s="104" t="s">
        <v>92</v>
      </c>
      <c r="Y3" s="104" t="s">
        <v>92</v>
      </c>
      <c r="Z3" s="104" t="s">
        <v>92</v>
      </c>
      <c r="AA3" s="108" t="s">
        <v>16</v>
      </c>
    </row>
    <row r="4" spans="1:27" ht="15" customHeight="1" x14ac:dyDescent="0.25">
      <c r="A4" s="76">
        <v>25</v>
      </c>
      <c r="B4" s="77">
        <v>75</v>
      </c>
      <c r="C4" s="77"/>
      <c r="D4" s="77"/>
      <c r="E4" s="77"/>
      <c r="F4" s="77">
        <v>100</v>
      </c>
      <c r="G4" s="77"/>
      <c r="H4" s="77"/>
      <c r="I4" s="77"/>
      <c r="J4" s="77"/>
      <c r="K4" s="77"/>
      <c r="L4" s="77"/>
      <c r="M4" s="53" t="str">
        <f>_xlfn.TEXTJOIN(" ",TRUE,M2,A2)</f>
        <v>Overall UD</v>
      </c>
      <c r="N4" s="68" t="s">
        <v>30</v>
      </c>
      <c r="O4" s="69" t="s">
        <v>0</v>
      </c>
      <c r="P4" s="47" t="str">
        <f>_xlfn.TEXTJOIN(" ",TRUE,M2,F2)</f>
        <v>Overall SD</v>
      </c>
      <c r="Q4" s="70" t="s">
        <v>30</v>
      </c>
      <c r="R4" s="71" t="s">
        <v>0</v>
      </c>
      <c r="S4" s="48" t="s">
        <v>47</v>
      </c>
      <c r="T4" s="48" t="s">
        <v>48</v>
      </c>
      <c r="U4" s="48" t="s">
        <v>68</v>
      </c>
      <c r="V4" s="45" t="s">
        <v>16</v>
      </c>
      <c r="W4" s="145" t="s">
        <v>107</v>
      </c>
      <c r="X4" s="146" t="s">
        <v>108</v>
      </c>
      <c r="Y4" s="147" t="s">
        <v>109</v>
      </c>
      <c r="Z4" s="148" t="s">
        <v>131</v>
      </c>
      <c r="AA4" s="108" t="s">
        <v>16</v>
      </c>
    </row>
    <row r="5" spans="1:27" ht="15" customHeight="1" x14ac:dyDescent="0.25">
      <c r="A5" s="42">
        <v>20</v>
      </c>
      <c r="B5" s="42">
        <v>63</v>
      </c>
      <c r="C5" s="42"/>
      <c r="D5" s="42"/>
      <c r="E5" s="42"/>
      <c r="F5" s="50">
        <v>73</v>
      </c>
      <c r="G5" s="42"/>
      <c r="H5" s="42"/>
      <c r="I5" s="42"/>
      <c r="J5" s="42"/>
      <c r="K5" s="50"/>
      <c r="L5" s="42"/>
      <c r="M5" s="73">
        <f t="shared" ref="M5:M40" si="0">IF(COUNTIF(A5:E5,"*-*")&gt;0,"-",IF(COUNTBLANK(A5:E5)=5,"",IF(N$3="-","-",SUM(A5:E5))))</f>
        <v>83</v>
      </c>
      <c r="N5" s="62">
        <f>IF(M5="","",IF(M5="-","-",M5/N$3))</f>
        <v>0.83</v>
      </c>
      <c r="O5" s="134" t="str" cm="1">
        <f t="array" ref="O5">IF(N5="","",GradeConverter(N5))</f>
        <v>A-</v>
      </c>
      <c r="P5" s="57">
        <f t="shared" ref="P5:P40" si="1">IF(COUNTIF(F5:J5,"*-*")&gt;0,"-",IF(COUNTBLANK(F5:J5)=5,"",IF(Q$3="-","-",SUM(F5:J5))))</f>
        <v>73</v>
      </c>
      <c r="Q5" s="64">
        <f>IF(P5="","",IF(P5="-", "-",P5/Q$3))</f>
        <v>0.73</v>
      </c>
      <c r="R5" s="54" t="str" cm="1">
        <f t="array" ref="R5">IF(Q5="","",GradeConverter(Q5))</f>
        <v>B</v>
      </c>
      <c r="S5" s="142" cm="1">
        <f t="array" ref="S5">CalcGrade(K5,N5,Q5)</f>
        <v>0.78</v>
      </c>
      <c r="T5" s="43"/>
      <c r="U5" s="43">
        <f>IF(ISBLANK(T5),S5,T5)</f>
        <v>0.78</v>
      </c>
      <c r="V5" s="45" t="s">
        <v>16</v>
      </c>
      <c r="W5" s="110"/>
      <c r="X5" s="110"/>
      <c r="Y5" s="110"/>
      <c r="Z5" s="110"/>
      <c r="AA5" s="108" t="s">
        <v>16</v>
      </c>
    </row>
    <row r="6" spans="1:27" ht="15" customHeight="1" x14ac:dyDescent="0.25">
      <c r="A6" s="42" t="s">
        <v>16</v>
      </c>
      <c r="B6" s="42" t="s">
        <v>16</v>
      </c>
      <c r="C6" s="42"/>
      <c r="D6" s="42"/>
      <c r="E6" s="42"/>
      <c r="F6" s="50">
        <v>42</v>
      </c>
      <c r="G6" s="42"/>
      <c r="H6" s="42"/>
      <c r="I6" s="42"/>
      <c r="J6" s="42"/>
      <c r="K6" s="50"/>
      <c r="L6" s="42"/>
      <c r="M6" s="73" t="str">
        <f t="shared" si="0"/>
        <v>-</v>
      </c>
      <c r="N6" s="62" t="str">
        <f t="shared" ref="N6:N39" si="2">IF(M6="","",IF(M6="-","-",M6/N$3))</f>
        <v>-</v>
      </c>
      <c r="O6" s="134" t="str" cm="1">
        <f t="array" ref="O6">IF(N6="","",GradeConverter(N6))</f>
        <v>-</v>
      </c>
      <c r="P6" s="58">
        <f t="shared" si="1"/>
        <v>42</v>
      </c>
      <c r="Q6" s="64">
        <f>IF(P6="","",IF(P6="-", "-",P6/Q$3))</f>
        <v>0.42</v>
      </c>
      <c r="R6" s="54" t="str" cm="1">
        <f t="array" ref="R6">IF(Q6="","",GradeConverter(Q6))</f>
        <v>D+</v>
      </c>
      <c r="S6" s="142" t="str" cm="1">
        <f t="array" ref="S6">CalcGrade(K6,N6,Q6)</f>
        <v>-</v>
      </c>
      <c r="T6" s="75"/>
      <c r="U6" s="43" t="str">
        <f t="shared" ref="U6:U40" si="3">IF(ISBLANK(T6),S6,T6)</f>
        <v>-</v>
      </c>
      <c r="V6" s="45" t="s">
        <v>16</v>
      </c>
      <c r="W6" s="110"/>
      <c r="X6" s="110"/>
      <c r="Y6" s="110"/>
      <c r="Z6" s="110"/>
      <c r="AA6" s="108" t="s">
        <v>16</v>
      </c>
    </row>
    <row r="7" spans="1:27" ht="15" customHeight="1" x14ac:dyDescent="0.25">
      <c r="A7" s="42">
        <v>15</v>
      </c>
      <c r="B7" s="42" t="s">
        <v>16</v>
      </c>
      <c r="C7" s="42"/>
      <c r="D7" s="42"/>
      <c r="E7" s="42"/>
      <c r="F7" s="50">
        <v>84</v>
      </c>
      <c r="G7" s="42"/>
      <c r="H7" s="42"/>
      <c r="I7" s="42"/>
      <c r="J7" s="42"/>
      <c r="K7" s="50"/>
      <c r="L7" s="42"/>
      <c r="M7" s="73" t="str">
        <f t="shared" si="0"/>
        <v>-</v>
      </c>
      <c r="N7" s="62" t="str">
        <f t="shared" si="2"/>
        <v>-</v>
      </c>
      <c r="O7" s="134" t="str" cm="1">
        <f t="array" ref="O7">IF(N7="","",GradeConverter(N7))</f>
        <v>-</v>
      </c>
      <c r="P7" s="58">
        <f t="shared" si="1"/>
        <v>84</v>
      </c>
      <c r="Q7" s="64">
        <f t="shared" ref="Q7:Q39" si="4">IF(P7="","",IF(P7="-", "-",P7/Q$3))</f>
        <v>0.84</v>
      </c>
      <c r="R7" s="54" t="str" cm="1">
        <f t="array" ref="R7">IF(Q7="","",GradeConverter(Q7))</f>
        <v>A-</v>
      </c>
      <c r="S7" s="142" t="str" cm="1">
        <f t="array" ref="S7">CalcGrade(K7,N7,Q7)</f>
        <v>-</v>
      </c>
      <c r="T7" s="75" t="s">
        <v>9</v>
      </c>
      <c r="U7" s="43" t="str">
        <f t="shared" si="3"/>
        <v>C+</v>
      </c>
      <c r="V7" s="45" t="s">
        <v>16</v>
      </c>
      <c r="W7" s="110"/>
      <c r="X7" s="110"/>
      <c r="Y7" s="110"/>
      <c r="Z7" s="110"/>
      <c r="AA7" s="108" t="s">
        <v>16</v>
      </c>
    </row>
    <row r="8" spans="1:27" ht="15" customHeight="1" x14ac:dyDescent="0.25">
      <c r="A8" s="42"/>
      <c r="B8" s="42"/>
      <c r="C8" s="42"/>
      <c r="D8" s="42"/>
      <c r="E8" s="42"/>
      <c r="F8" s="50"/>
      <c r="G8" s="42"/>
      <c r="H8" s="42"/>
      <c r="I8" s="42"/>
      <c r="J8" s="42"/>
      <c r="K8" s="50"/>
      <c r="L8" s="42"/>
      <c r="M8" s="73" t="str">
        <f t="shared" si="0"/>
        <v/>
      </c>
      <c r="N8" s="62" t="str">
        <f t="shared" si="2"/>
        <v/>
      </c>
      <c r="O8" s="134" t="str" cm="1">
        <f t="array" ref="O8">IF(N8="","",GradeConverter(N8))</f>
        <v/>
      </c>
      <c r="P8" s="58" t="str">
        <f t="shared" si="1"/>
        <v/>
      </c>
      <c r="Q8" s="64" t="str">
        <f t="shared" si="4"/>
        <v/>
      </c>
      <c r="R8" s="54" t="str" cm="1">
        <f t="array" ref="R8">IF(Q8="","",GradeConverter(Q8))</f>
        <v/>
      </c>
      <c r="S8" s="60" t="str">
        <f>IF(AND(N8="",Q8=""),"",IF(OR(N8="-",Q8="-"),"-",IF(AND(N$3&lt;&gt;0,Q$3&lt;&gt;0),VLOOKUP(AVERAGE(N8,Q8),#REF!,2,TRUE),IF(AND(N$3&lt;&gt;0,Q$3=0),O8,R8))))</f>
        <v/>
      </c>
      <c r="T8" s="43"/>
      <c r="U8" s="43" t="str">
        <f t="shared" si="3"/>
        <v/>
      </c>
      <c r="V8" s="45" t="s">
        <v>16</v>
      </c>
      <c r="W8" s="110"/>
      <c r="X8" s="110"/>
      <c r="Y8" s="110"/>
      <c r="Z8" s="110"/>
      <c r="AA8" s="108" t="s">
        <v>16</v>
      </c>
    </row>
    <row r="9" spans="1:27" ht="15" customHeight="1" x14ac:dyDescent="0.25">
      <c r="A9" s="42"/>
      <c r="B9" s="42"/>
      <c r="C9" s="42"/>
      <c r="D9" s="42"/>
      <c r="E9" s="42"/>
      <c r="F9" s="50"/>
      <c r="G9" s="42"/>
      <c r="H9" s="42"/>
      <c r="I9" s="42"/>
      <c r="J9" s="42"/>
      <c r="K9" s="50"/>
      <c r="L9" s="42"/>
      <c r="M9" s="73" t="str">
        <f t="shared" si="0"/>
        <v/>
      </c>
      <c r="N9" s="62" t="str">
        <f t="shared" si="2"/>
        <v/>
      </c>
      <c r="O9" s="134" t="str" cm="1">
        <f t="array" ref="O9">IF(N9="","",GradeConverter(N9))</f>
        <v/>
      </c>
      <c r="P9" s="58" t="str">
        <f t="shared" si="1"/>
        <v/>
      </c>
      <c r="Q9" s="64" t="str">
        <f t="shared" si="4"/>
        <v/>
      </c>
      <c r="R9" s="54" t="str" cm="1">
        <f t="array" ref="R9">IF(Q9="","",GradeConverter(Q9))</f>
        <v/>
      </c>
      <c r="S9" s="60" t="str">
        <f>IF(AND(N9="",Q9=""),"",IF(OR(N9="-",Q9="-"),"-",IF(AND(N$3&lt;&gt;0,Q$3&lt;&gt;0),VLOOKUP(AVERAGE(N9,Q9),#REF!,2,TRUE),IF(AND(N$3&lt;&gt;0,Q$3=0),O9,R9))))</f>
        <v/>
      </c>
      <c r="T9" s="43"/>
      <c r="U9" s="43" t="str">
        <f t="shared" si="3"/>
        <v/>
      </c>
      <c r="V9" s="45" t="s">
        <v>16</v>
      </c>
      <c r="W9" s="110"/>
      <c r="X9" s="110"/>
      <c r="Y9" s="110"/>
      <c r="Z9" s="110"/>
      <c r="AA9" s="108" t="s">
        <v>16</v>
      </c>
    </row>
    <row r="10" spans="1:27" ht="15" customHeight="1" x14ac:dyDescent="0.25">
      <c r="A10" s="42"/>
      <c r="B10" s="42"/>
      <c r="C10" s="42"/>
      <c r="D10" s="42"/>
      <c r="E10" s="42"/>
      <c r="F10" s="50"/>
      <c r="G10" s="42"/>
      <c r="H10" s="42"/>
      <c r="I10" s="42"/>
      <c r="J10" s="42"/>
      <c r="K10" s="50"/>
      <c r="L10" s="42"/>
      <c r="M10" s="73" t="str">
        <f t="shared" si="0"/>
        <v/>
      </c>
      <c r="N10" s="62" t="str">
        <f t="shared" si="2"/>
        <v/>
      </c>
      <c r="O10" s="134" t="str" cm="1">
        <f t="array" ref="O10">IF(N10="","",GradeConverter(N10))</f>
        <v/>
      </c>
      <c r="P10" s="58" t="str">
        <f t="shared" si="1"/>
        <v/>
      </c>
      <c r="Q10" s="64" t="str">
        <f t="shared" si="4"/>
        <v/>
      </c>
      <c r="R10" s="54" t="str" cm="1">
        <f t="array" ref="R10">IF(Q10="","",GradeConverter(Q10))</f>
        <v/>
      </c>
      <c r="S10" s="60" t="str">
        <f>IF(AND(N10="",Q10=""),"",IF(OR(N10="-",Q10="-"),"-",IF(AND(N$3&lt;&gt;0,Q$3&lt;&gt;0),VLOOKUP(AVERAGE(N10,Q10),#REF!,2,TRUE),IF(AND(N$3&lt;&gt;0,Q$3=0),O10,R10))))</f>
        <v/>
      </c>
      <c r="T10" s="43"/>
      <c r="U10" s="43" t="str">
        <f t="shared" si="3"/>
        <v/>
      </c>
      <c r="V10" s="45" t="s">
        <v>16</v>
      </c>
      <c r="W10" s="110"/>
      <c r="X10" s="110"/>
      <c r="Y10" s="110"/>
      <c r="Z10" s="110"/>
      <c r="AA10" s="108" t="s">
        <v>16</v>
      </c>
    </row>
    <row r="11" spans="1:27" ht="15" customHeight="1" x14ac:dyDescent="0.25">
      <c r="A11" s="42"/>
      <c r="B11" s="42"/>
      <c r="C11" s="42"/>
      <c r="D11" s="42"/>
      <c r="E11" s="42"/>
      <c r="F11" s="50"/>
      <c r="G11" s="42"/>
      <c r="H11" s="42"/>
      <c r="I11" s="42"/>
      <c r="J11" s="42"/>
      <c r="K11" s="50"/>
      <c r="L11" s="42"/>
      <c r="M11" s="73" t="str">
        <f t="shared" si="0"/>
        <v/>
      </c>
      <c r="N11" s="62" t="str">
        <f t="shared" si="2"/>
        <v/>
      </c>
      <c r="O11" s="134" t="str" cm="1">
        <f t="array" ref="O11">IF(N11="","",GradeConverter(N11))</f>
        <v/>
      </c>
      <c r="P11" s="58" t="str">
        <f t="shared" si="1"/>
        <v/>
      </c>
      <c r="Q11" s="64" t="str">
        <f t="shared" si="4"/>
        <v/>
      </c>
      <c r="R11" s="54" t="str" cm="1">
        <f t="array" ref="R11">IF(Q11="","",GradeConverter(Q11))</f>
        <v/>
      </c>
      <c r="S11" s="60" t="str">
        <f>IF(AND(N11="",Q11=""),"",IF(OR(N11="-",Q11="-"),"-",IF(AND(N$3&lt;&gt;0,Q$3&lt;&gt;0),VLOOKUP(AVERAGE(N11,Q11),#REF!,2,TRUE),IF(AND(N$3&lt;&gt;0,Q$3=0),O11,R11))))</f>
        <v/>
      </c>
      <c r="T11" s="43"/>
      <c r="U11" s="43" t="str">
        <f t="shared" si="3"/>
        <v/>
      </c>
      <c r="V11" s="45" t="s">
        <v>16</v>
      </c>
      <c r="W11" s="110"/>
      <c r="X11" s="110"/>
      <c r="Y11" s="110"/>
      <c r="Z11" s="110"/>
      <c r="AA11" s="108" t="s">
        <v>16</v>
      </c>
    </row>
    <row r="12" spans="1:27" ht="15" customHeight="1" x14ac:dyDescent="0.25">
      <c r="A12" s="42"/>
      <c r="B12" s="42"/>
      <c r="C12" s="42"/>
      <c r="D12" s="42"/>
      <c r="E12" s="42"/>
      <c r="F12" s="50"/>
      <c r="G12" s="42"/>
      <c r="H12" s="42"/>
      <c r="I12" s="42"/>
      <c r="J12" s="42"/>
      <c r="K12" s="50"/>
      <c r="L12" s="42"/>
      <c r="M12" s="73" t="str">
        <f t="shared" si="0"/>
        <v/>
      </c>
      <c r="N12" s="62" t="str">
        <f t="shared" si="2"/>
        <v/>
      </c>
      <c r="O12" s="134" t="str" cm="1">
        <f t="array" ref="O12">IF(N12="","",GradeConverter(N12))</f>
        <v/>
      </c>
      <c r="P12" s="58" t="str">
        <f t="shared" si="1"/>
        <v/>
      </c>
      <c r="Q12" s="64" t="str">
        <f t="shared" si="4"/>
        <v/>
      </c>
      <c r="R12" s="54" t="str" cm="1">
        <f t="array" ref="R12">IF(Q12="","",GradeConverter(Q12))</f>
        <v/>
      </c>
      <c r="S12" s="60" t="str">
        <f>IF(AND(N12="",Q12=""),"",IF(OR(N12="-",Q12="-"),"-",IF(AND(N$3&lt;&gt;0,Q$3&lt;&gt;0),VLOOKUP(AVERAGE(N12,Q12),#REF!,2,TRUE),IF(AND(N$3&lt;&gt;0,Q$3=0),O12,R12))))</f>
        <v/>
      </c>
      <c r="T12" s="43"/>
      <c r="U12" s="43" t="str">
        <f t="shared" si="3"/>
        <v/>
      </c>
      <c r="V12" s="45" t="s">
        <v>16</v>
      </c>
      <c r="W12" s="110"/>
      <c r="X12" s="110"/>
      <c r="Y12" s="110"/>
      <c r="Z12" s="110"/>
      <c r="AA12" s="108" t="s">
        <v>16</v>
      </c>
    </row>
    <row r="13" spans="1:27" ht="15" customHeight="1" x14ac:dyDescent="0.25">
      <c r="A13" s="42"/>
      <c r="B13" s="42"/>
      <c r="C13" s="42"/>
      <c r="D13" s="42"/>
      <c r="E13" s="42"/>
      <c r="F13" s="50"/>
      <c r="G13" s="42"/>
      <c r="H13" s="42"/>
      <c r="I13" s="42"/>
      <c r="J13" s="42"/>
      <c r="K13" s="50"/>
      <c r="L13" s="42"/>
      <c r="M13" s="73" t="str">
        <f t="shared" si="0"/>
        <v/>
      </c>
      <c r="N13" s="62" t="str">
        <f t="shared" si="2"/>
        <v/>
      </c>
      <c r="O13" s="134" t="str" cm="1">
        <f t="array" ref="O13">IF(N13="","",GradeConverter(N13))</f>
        <v/>
      </c>
      <c r="P13" s="58" t="str">
        <f t="shared" si="1"/>
        <v/>
      </c>
      <c r="Q13" s="64" t="str">
        <f t="shared" si="4"/>
        <v/>
      </c>
      <c r="R13" s="54" t="str" cm="1">
        <f t="array" ref="R13">IF(Q13="","",GradeConverter(Q13))</f>
        <v/>
      </c>
      <c r="S13" s="60" t="str">
        <f>IF(AND(N13="",Q13=""),"",IF(OR(N13="-",Q13="-"),"-",IF(AND(N$3&lt;&gt;0,Q$3&lt;&gt;0),VLOOKUP(AVERAGE(N13,Q13),#REF!,2,TRUE),IF(AND(N$3&lt;&gt;0,Q$3=0),O13,R13))))</f>
        <v/>
      </c>
      <c r="T13" s="43"/>
      <c r="U13" s="43" t="str">
        <f t="shared" si="3"/>
        <v/>
      </c>
      <c r="V13" s="45" t="s">
        <v>16</v>
      </c>
      <c r="W13" s="110"/>
      <c r="X13" s="110"/>
      <c r="Y13" s="110"/>
      <c r="Z13" s="110"/>
      <c r="AA13" s="108" t="s">
        <v>16</v>
      </c>
    </row>
    <row r="14" spans="1:27" x14ac:dyDescent="0.25">
      <c r="A14" s="42"/>
      <c r="B14" s="42"/>
      <c r="C14" s="42"/>
      <c r="D14" s="42"/>
      <c r="E14" s="42"/>
      <c r="F14" s="50"/>
      <c r="G14" s="42"/>
      <c r="H14" s="42"/>
      <c r="I14" s="42"/>
      <c r="J14" s="42"/>
      <c r="K14" s="50"/>
      <c r="L14" s="42"/>
      <c r="M14" s="73" t="str">
        <f t="shared" si="0"/>
        <v/>
      </c>
      <c r="N14" s="62" t="str">
        <f t="shared" si="2"/>
        <v/>
      </c>
      <c r="O14" s="134" t="str" cm="1">
        <f t="array" ref="O14">IF(N14="","",GradeConverter(N14))</f>
        <v/>
      </c>
      <c r="P14" s="58" t="str">
        <f t="shared" si="1"/>
        <v/>
      </c>
      <c r="Q14" s="64" t="str">
        <f t="shared" si="4"/>
        <v/>
      </c>
      <c r="R14" s="54" t="str" cm="1">
        <f t="array" ref="R14">IF(Q14="","",GradeConverter(Q14))</f>
        <v/>
      </c>
      <c r="S14" s="60" t="str">
        <f>IF(AND(N14="",Q14=""),"",IF(OR(N14="-",Q14="-"),"-",IF(AND(N$3&lt;&gt;0,Q$3&lt;&gt;0),VLOOKUP(AVERAGE(N14,Q14),#REF!,2,TRUE),IF(AND(N$3&lt;&gt;0,Q$3=0),O14,R14))))</f>
        <v/>
      </c>
      <c r="T14" s="43"/>
      <c r="U14" s="43" t="str">
        <f t="shared" si="3"/>
        <v/>
      </c>
      <c r="V14" s="45" t="s">
        <v>16</v>
      </c>
      <c r="W14" s="110"/>
      <c r="X14" s="110"/>
      <c r="Y14" s="110"/>
      <c r="Z14" s="110"/>
      <c r="AA14" s="108" t="s">
        <v>16</v>
      </c>
    </row>
    <row r="15" spans="1:27" x14ac:dyDescent="0.25">
      <c r="A15" s="42"/>
      <c r="B15" s="42"/>
      <c r="C15" s="42"/>
      <c r="D15" s="42"/>
      <c r="E15" s="42"/>
      <c r="F15" s="50"/>
      <c r="G15" s="42"/>
      <c r="H15" s="42"/>
      <c r="I15" s="42"/>
      <c r="J15" s="42"/>
      <c r="K15" s="50"/>
      <c r="L15" s="42"/>
      <c r="M15" s="73" t="str">
        <f t="shared" si="0"/>
        <v/>
      </c>
      <c r="N15" s="62" t="str">
        <f t="shared" si="2"/>
        <v/>
      </c>
      <c r="O15" s="134" t="str" cm="1">
        <f t="array" ref="O15">IF(N15="","",GradeConverter(N15))</f>
        <v/>
      </c>
      <c r="P15" s="58" t="str">
        <f t="shared" si="1"/>
        <v/>
      </c>
      <c r="Q15" s="64" t="str">
        <f t="shared" si="4"/>
        <v/>
      </c>
      <c r="R15" s="54" t="str" cm="1">
        <f t="array" ref="R15">IF(Q15="","",GradeConverter(Q15))</f>
        <v/>
      </c>
      <c r="S15" s="60" t="str">
        <f>IF(AND(N15="",Q15=""),"",IF(OR(N15="-",Q15="-"),"-",IF(AND(N$3&lt;&gt;0,Q$3&lt;&gt;0),VLOOKUP(AVERAGE(N15,Q15),#REF!,2,TRUE),IF(AND(N$3&lt;&gt;0,Q$3=0),O15,R15))))</f>
        <v/>
      </c>
      <c r="T15" s="43"/>
      <c r="U15" s="43" t="str">
        <f t="shared" si="3"/>
        <v/>
      </c>
      <c r="V15" s="45" t="s">
        <v>16</v>
      </c>
      <c r="W15" s="110"/>
      <c r="X15" s="110"/>
      <c r="Y15" s="110"/>
      <c r="Z15" s="110"/>
      <c r="AA15" s="108" t="s">
        <v>16</v>
      </c>
    </row>
    <row r="16" spans="1:27" x14ac:dyDescent="0.25">
      <c r="A16" s="42"/>
      <c r="B16" s="42"/>
      <c r="C16" s="42"/>
      <c r="D16" s="42"/>
      <c r="E16" s="42"/>
      <c r="F16" s="50"/>
      <c r="G16" s="42"/>
      <c r="H16" s="42"/>
      <c r="I16" s="42"/>
      <c r="J16" s="42"/>
      <c r="K16" s="50"/>
      <c r="L16" s="42"/>
      <c r="M16" s="73" t="str">
        <f t="shared" si="0"/>
        <v/>
      </c>
      <c r="N16" s="62" t="str">
        <f t="shared" si="2"/>
        <v/>
      </c>
      <c r="O16" s="134" t="str" cm="1">
        <f t="array" ref="O16">IF(N16="","",GradeConverter(N16))</f>
        <v/>
      </c>
      <c r="P16" s="58" t="str">
        <f t="shared" si="1"/>
        <v/>
      </c>
      <c r="Q16" s="64" t="str">
        <f t="shared" si="4"/>
        <v/>
      </c>
      <c r="R16" s="54" t="str" cm="1">
        <f t="array" ref="R16">IF(Q16="","",GradeConverter(Q16))</f>
        <v/>
      </c>
      <c r="S16" s="60" t="str">
        <f>IF(AND(N16="",Q16=""),"",IF(OR(N16="-",Q16="-"),"-",IF(AND(N$3&lt;&gt;0,Q$3&lt;&gt;0),VLOOKUP(AVERAGE(N16,Q16),#REF!,2,TRUE),IF(AND(N$3&lt;&gt;0,Q$3=0),O16,R16))))</f>
        <v/>
      </c>
      <c r="T16" s="43"/>
      <c r="U16" s="43" t="str">
        <f t="shared" si="3"/>
        <v/>
      </c>
      <c r="V16" s="45" t="s">
        <v>16</v>
      </c>
      <c r="W16" s="110"/>
      <c r="X16" s="110"/>
      <c r="Y16" s="110"/>
      <c r="Z16" s="110"/>
      <c r="AA16" s="108" t="s">
        <v>16</v>
      </c>
    </row>
    <row r="17" spans="1:27" x14ac:dyDescent="0.25">
      <c r="A17" s="42"/>
      <c r="B17" s="42"/>
      <c r="C17" s="42"/>
      <c r="D17" s="42"/>
      <c r="E17" s="42"/>
      <c r="F17" s="50"/>
      <c r="G17" s="42"/>
      <c r="H17" s="42"/>
      <c r="I17" s="42"/>
      <c r="J17" s="42"/>
      <c r="K17" s="50"/>
      <c r="L17" s="42"/>
      <c r="M17" s="73" t="str">
        <f t="shared" si="0"/>
        <v/>
      </c>
      <c r="N17" s="62" t="str">
        <f t="shared" si="2"/>
        <v/>
      </c>
      <c r="O17" s="134" t="str" cm="1">
        <f t="array" ref="O17">IF(N17="","",GradeConverter(N17))</f>
        <v/>
      </c>
      <c r="P17" s="58" t="str">
        <f t="shared" si="1"/>
        <v/>
      </c>
      <c r="Q17" s="64" t="str">
        <f t="shared" si="4"/>
        <v/>
      </c>
      <c r="R17" s="54" t="str" cm="1">
        <f t="array" ref="R17">IF(Q17="","",GradeConverter(Q17))</f>
        <v/>
      </c>
      <c r="S17" s="60" t="str">
        <f>IF(AND(N17="",Q17=""),"",IF(OR(N17="-",Q17="-"),"-",IF(AND(N$3&lt;&gt;0,Q$3&lt;&gt;0),VLOOKUP(AVERAGE(N17,Q17),#REF!,2,TRUE),IF(AND(N$3&lt;&gt;0,Q$3=0),O17,R17))))</f>
        <v/>
      </c>
      <c r="T17" s="43"/>
      <c r="U17" s="43" t="str">
        <f t="shared" si="3"/>
        <v/>
      </c>
      <c r="V17" s="45" t="s">
        <v>16</v>
      </c>
      <c r="W17" s="110"/>
      <c r="X17" s="110"/>
      <c r="Y17" s="110"/>
      <c r="Z17" s="110"/>
      <c r="AA17" s="108" t="s">
        <v>16</v>
      </c>
    </row>
    <row r="18" spans="1:27" x14ac:dyDescent="0.25">
      <c r="A18" s="42"/>
      <c r="B18" s="42"/>
      <c r="C18" s="42"/>
      <c r="D18" s="42"/>
      <c r="E18" s="42"/>
      <c r="F18" s="50"/>
      <c r="G18" s="42"/>
      <c r="H18" s="42"/>
      <c r="I18" s="42"/>
      <c r="J18" s="42"/>
      <c r="K18" s="50"/>
      <c r="L18" s="42"/>
      <c r="M18" s="73" t="str">
        <f t="shared" si="0"/>
        <v/>
      </c>
      <c r="N18" s="62" t="str">
        <f t="shared" si="2"/>
        <v/>
      </c>
      <c r="O18" s="134" t="str" cm="1">
        <f t="array" ref="O18">IF(N18="","",GradeConverter(N18))</f>
        <v/>
      </c>
      <c r="P18" s="58" t="str">
        <f t="shared" si="1"/>
        <v/>
      </c>
      <c r="Q18" s="64" t="str">
        <f t="shared" si="4"/>
        <v/>
      </c>
      <c r="R18" s="54" t="str" cm="1">
        <f t="array" ref="R18">IF(Q18="","",GradeConverter(Q18))</f>
        <v/>
      </c>
      <c r="S18" s="60" t="str">
        <f>IF(AND(N18="",Q18=""),"",IF(OR(N18="-",Q18="-"),"-",IF(AND(N$3&lt;&gt;0,Q$3&lt;&gt;0),VLOOKUP(AVERAGE(N18,Q18),#REF!,2,TRUE),IF(AND(N$3&lt;&gt;0,Q$3=0),O18,R18))))</f>
        <v/>
      </c>
      <c r="T18" s="43"/>
      <c r="U18" s="43" t="str">
        <f t="shared" si="3"/>
        <v/>
      </c>
      <c r="V18" s="45" t="s">
        <v>16</v>
      </c>
      <c r="W18" s="110"/>
      <c r="X18" s="110"/>
      <c r="Y18" s="110"/>
      <c r="Z18" s="110"/>
      <c r="AA18" s="108" t="s">
        <v>16</v>
      </c>
    </row>
    <row r="19" spans="1:27" x14ac:dyDescent="0.25">
      <c r="A19" s="42"/>
      <c r="B19" s="42"/>
      <c r="C19" s="42"/>
      <c r="D19" s="42"/>
      <c r="E19" s="42"/>
      <c r="F19" s="50"/>
      <c r="G19" s="42"/>
      <c r="H19" s="42"/>
      <c r="I19" s="42"/>
      <c r="J19" s="42"/>
      <c r="K19" s="50"/>
      <c r="L19" s="42"/>
      <c r="M19" s="73" t="str">
        <f t="shared" si="0"/>
        <v/>
      </c>
      <c r="N19" s="62" t="str">
        <f t="shared" si="2"/>
        <v/>
      </c>
      <c r="O19" s="134" t="str" cm="1">
        <f t="array" ref="O19">IF(N19="","",GradeConverter(N19))</f>
        <v/>
      </c>
      <c r="P19" s="58" t="str">
        <f t="shared" si="1"/>
        <v/>
      </c>
      <c r="Q19" s="64" t="str">
        <f t="shared" si="4"/>
        <v/>
      </c>
      <c r="R19" s="54" t="str" cm="1">
        <f t="array" ref="R19">IF(Q19="","",GradeConverter(Q19))</f>
        <v/>
      </c>
      <c r="S19" s="60" t="str">
        <f>IF(AND(N19="",Q19=""),"",IF(OR(N19="-",Q19="-"),"-",IF(AND(N$3&lt;&gt;0,Q$3&lt;&gt;0),VLOOKUP(AVERAGE(N19,Q19),#REF!,2,TRUE),IF(AND(N$3&lt;&gt;0,Q$3=0),O19,R19))))</f>
        <v/>
      </c>
      <c r="T19" s="43"/>
      <c r="U19" s="43" t="str">
        <f t="shared" si="3"/>
        <v/>
      </c>
      <c r="V19" s="45" t="s">
        <v>16</v>
      </c>
      <c r="W19" s="110"/>
      <c r="X19" s="110"/>
      <c r="Y19" s="110"/>
      <c r="Z19" s="110"/>
      <c r="AA19" s="108" t="s">
        <v>16</v>
      </c>
    </row>
    <row r="20" spans="1:27" x14ac:dyDescent="0.25">
      <c r="A20" s="42"/>
      <c r="B20" s="42"/>
      <c r="C20" s="42"/>
      <c r="D20" s="42"/>
      <c r="E20" s="42"/>
      <c r="F20" s="50"/>
      <c r="G20" s="42"/>
      <c r="H20" s="42"/>
      <c r="I20" s="42"/>
      <c r="J20" s="42"/>
      <c r="K20" s="50"/>
      <c r="L20" s="42"/>
      <c r="M20" s="73" t="str">
        <f t="shared" si="0"/>
        <v/>
      </c>
      <c r="N20" s="62" t="str">
        <f t="shared" si="2"/>
        <v/>
      </c>
      <c r="O20" s="134" t="str" cm="1">
        <f t="array" ref="O20">IF(N20="","",GradeConverter(N20))</f>
        <v/>
      </c>
      <c r="P20" s="58" t="str">
        <f t="shared" si="1"/>
        <v/>
      </c>
      <c r="Q20" s="64" t="str">
        <f t="shared" si="4"/>
        <v/>
      </c>
      <c r="R20" s="54" t="str" cm="1">
        <f t="array" ref="R20">IF(Q20="","",GradeConverter(Q20))</f>
        <v/>
      </c>
      <c r="S20" s="60" t="str">
        <f>IF(AND(N20="",Q20=""),"",IF(OR(N20="-",Q20="-"),"-",IF(AND(N$3&lt;&gt;0,Q$3&lt;&gt;0),VLOOKUP(AVERAGE(N20,Q20),#REF!,2,TRUE),IF(AND(N$3&lt;&gt;0,Q$3=0),O20,R20))))</f>
        <v/>
      </c>
      <c r="T20" s="43"/>
      <c r="U20" s="43" t="str">
        <f t="shared" si="3"/>
        <v/>
      </c>
      <c r="V20" s="45" t="s">
        <v>16</v>
      </c>
      <c r="W20" s="110"/>
      <c r="X20" s="110"/>
      <c r="Y20" s="110"/>
      <c r="Z20" s="110"/>
      <c r="AA20" s="108" t="s">
        <v>16</v>
      </c>
    </row>
    <row r="21" spans="1:27" x14ac:dyDescent="0.25">
      <c r="A21" s="42"/>
      <c r="B21" s="42"/>
      <c r="C21" s="42"/>
      <c r="D21" s="42"/>
      <c r="E21" s="42"/>
      <c r="F21" s="50"/>
      <c r="G21" s="42"/>
      <c r="H21" s="42"/>
      <c r="I21" s="42"/>
      <c r="J21" s="42"/>
      <c r="K21" s="50"/>
      <c r="L21" s="42"/>
      <c r="M21" s="73" t="str">
        <f t="shared" si="0"/>
        <v/>
      </c>
      <c r="N21" s="62" t="str">
        <f t="shared" si="2"/>
        <v/>
      </c>
      <c r="O21" s="134" t="str" cm="1">
        <f t="array" ref="O21">IF(N21="","",GradeConverter(N21))</f>
        <v/>
      </c>
      <c r="P21" s="58" t="str">
        <f t="shared" si="1"/>
        <v/>
      </c>
      <c r="Q21" s="64" t="str">
        <f t="shared" si="4"/>
        <v/>
      </c>
      <c r="R21" s="54" t="str" cm="1">
        <f t="array" ref="R21">IF(Q21="","",GradeConverter(Q21))</f>
        <v/>
      </c>
      <c r="S21" s="60" t="str">
        <f>IF(AND(N21="",Q21=""),"",IF(OR(N21="-",Q21="-"),"-",IF(AND(N$3&lt;&gt;0,Q$3&lt;&gt;0),VLOOKUP(AVERAGE(N21,Q21),#REF!,2,TRUE),IF(AND(N$3&lt;&gt;0,Q$3=0),O21,R21))))</f>
        <v/>
      </c>
      <c r="T21" s="43"/>
      <c r="U21" s="43" t="str">
        <f t="shared" si="3"/>
        <v/>
      </c>
      <c r="V21" s="45" t="s">
        <v>16</v>
      </c>
      <c r="W21" s="110"/>
      <c r="X21" s="110"/>
      <c r="Y21" s="110"/>
      <c r="Z21" s="110"/>
      <c r="AA21" s="108" t="s">
        <v>16</v>
      </c>
    </row>
    <row r="22" spans="1:27" x14ac:dyDescent="0.25">
      <c r="A22" s="42"/>
      <c r="B22" s="42"/>
      <c r="C22" s="42"/>
      <c r="D22" s="42"/>
      <c r="E22" s="42"/>
      <c r="F22" s="50"/>
      <c r="G22" s="42"/>
      <c r="H22" s="42"/>
      <c r="I22" s="42"/>
      <c r="J22" s="42"/>
      <c r="K22" s="50"/>
      <c r="L22" s="42"/>
      <c r="M22" s="73" t="str">
        <f t="shared" si="0"/>
        <v/>
      </c>
      <c r="N22" s="62" t="str">
        <f t="shared" si="2"/>
        <v/>
      </c>
      <c r="O22" s="134" t="str" cm="1">
        <f t="array" ref="O22">IF(N22="","",GradeConverter(N22))</f>
        <v/>
      </c>
      <c r="P22" s="58" t="str">
        <f t="shared" si="1"/>
        <v/>
      </c>
      <c r="Q22" s="64" t="str">
        <f t="shared" si="4"/>
        <v/>
      </c>
      <c r="R22" s="54" t="str" cm="1">
        <f t="array" ref="R22">IF(Q22="","",GradeConverter(Q22))</f>
        <v/>
      </c>
      <c r="S22" s="60" t="str">
        <f>IF(AND(N22="",Q22=""),"",IF(OR(N22="-",Q22="-"),"-",IF(AND(N$3&lt;&gt;0,Q$3&lt;&gt;0),VLOOKUP(AVERAGE(N22,Q22),#REF!,2,TRUE),IF(AND(N$3&lt;&gt;0,Q$3=0),O22,R22))))</f>
        <v/>
      </c>
      <c r="T22" s="43"/>
      <c r="U22" s="43" t="str">
        <f t="shared" si="3"/>
        <v/>
      </c>
      <c r="V22" s="45" t="s">
        <v>16</v>
      </c>
      <c r="W22" s="110"/>
      <c r="X22" s="110"/>
      <c r="Y22" s="110"/>
      <c r="Z22" s="110"/>
      <c r="AA22" s="108" t="s">
        <v>16</v>
      </c>
    </row>
    <row r="23" spans="1:27" x14ac:dyDescent="0.25">
      <c r="A23" s="42"/>
      <c r="B23" s="42"/>
      <c r="C23" s="42"/>
      <c r="D23" s="42"/>
      <c r="E23" s="42"/>
      <c r="F23" s="50"/>
      <c r="G23" s="42"/>
      <c r="H23" s="42"/>
      <c r="I23" s="42"/>
      <c r="J23" s="42"/>
      <c r="K23" s="50"/>
      <c r="L23" s="42"/>
      <c r="M23" s="73" t="str">
        <f t="shared" si="0"/>
        <v/>
      </c>
      <c r="N23" s="62" t="str">
        <f t="shared" si="2"/>
        <v/>
      </c>
      <c r="O23" s="134" t="str" cm="1">
        <f t="array" ref="O23">IF(N23="","",GradeConverter(N23))</f>
        <v/>
      </c>
      <c r="P23" s="58" t="str">
        <f t="shared" si="1"/>
        <v/>
      </c>
      <c r="Q23" s="64" t="str">
        <f t="shared" si="4"/>
        <v/>
      </c>
      <c r="R23" s="54" t="str" cm="1">
        <f t="array" ref="R23">IF(Q23="","",GradeConverter(Q23))</f>
        <v/>
      </c>
      <c r="S23" s="60" t="str">
        <f>IF(AND(N23="",Q23=""),"",IF(OR(N23="-",Q23="-"),"-",IF(AND(N$3&lt;&gt;0,Q$3&lt;&gt;0),VLOOKUP(AVERAGE(N23,Q23),#REF!,2,TRUE),IF(AND(N$3&lt;&gt;0,Q$3=0),O23,R23))))</f>
        <v/>
      </c>
      <c r="T23" s="43"/>
      <c r="U23" s="43" t="str">
        <f t="shared" si="3"/>
        <v/>
      </c>
      <c r="V23" s="45" t="s">
        <v>16</v>
      </c>
      <c r="W23" s="110"/>
      <c r="X23" s="110"/>
      <c r="Y23" s="110"/>
      <c r="Z23" s="110"/>
      <c r="AA23" s="108" t="s">
        <v>16</v>
      </c>
    </row>
    <row r="24" spans="1:27" x14ac:dyDescent="0.25">
      <c r="A24" s="42"/>
      <c r="B24" s="42"/>
      <c r="C24" s="42"/>
      <c r="D24" s="42"/>
      <c r="E24" s="42"/>
      <c r="F24" s="50"/>
      <c r="G24" s="42"/>
      <c r="H24" s="42"/>
      <c r="I24" s="42"/>
      <c r="J24" s="42"/>
      <c r="K24" s="50"/>
      <c r="L24" s="42"/>
      <c r="M24" s="73" t="str">
        <f t="shared" si="0"/>
        <v/>
      </c>
      <c r="N24" s="62" t="str">
        <f t="shared" si="2"/>
        <v/>
      </c>
      <c r="O24" s="134" t="str" cm="1">
        <f t="array" ref="O24">IF(N24="","",GradeConverter(N24))</f>
        <v/>
      </c>
      <c r="P24" s="58" t="str">
        <f t="shared" si="1"/>
        <v/>
      </c>
      <c r="Q24" s="64" t="str">
        <f t="shared" si="4"/>
        <v/>
      </c>
      <c r="R24" s="54" t="str" cm="1">
        <f t="array" ref="R24">IF(Q24="","",GradeConverter(Q24))</f>
        <v/>
      </c>
      <c r="S24" s="60" t="str">
        <f>IF(AND(N24="",Q24=""),"",IF(OR(N24="-",Q24="-"),"-",IF(AND(N$3&lt;&gt;0,Q$3&lt;&gt;0),VLOOKUP(AVERAGE(N24,Q24),#REF!,2,TRUE),IF(AND(N$3&lt;&gt;0,Q$3=0),O24,R24))))</f>
        <v/>
      </c>
      <c r="T24" s="43"/>
      <c r="U24" s="43" t="str">
        <f t="shared" si="3"/>
        <v/>
      </c>
      <c r="V24" s="45" t="s">
        <v>16</v>
      </c>
      <c r="W24" s="110"/>
      <c r="X24" s="110"/>
      <c r="Y24" s="110"/>
      <c r="Z24" s="110"/>
      <c r="AA24" s="108" t="s">
        <v>16</v>
      </c>
    </row>
    <row r="25" spans="1:27" x14ac:dyDescent="0.25">
      <c r="A25" s="42"/>
      <c r="B25" s="42"/>
      <c r="C25" s="42"/>
      <c r="D25" s="42"/>
      <c r="E25" s="42"/>
      <c r="F25" s="50"/>
      <c r="G25" s="42"/>
      <c r="H25" s="42"/>
      <c r="I25" s="42"/>
      <c r="J25" s="42"/>
      <c r="K25" s="50"/>
      <c r="L25" s="42"/>
      <c r="M25" s="73" t="str">
        <f t="shared" si="0"/>
        <v/>
      </c>
      <c r="N25" s="62" t="str">
        <f t="shared" si="2"/>
        <v/>
      </c>
      <c r="O25" s="134" t="str" cm="1">
        <f t="array" ref="O25">IF(N25="","",GradeConverter(N25))</f>
        <v/>
      </c>
      <c r="P25" s="58" t="str">
        <f t="shared" si="1"/>
        <v/>
      </c>
      <c r="Q25" s="64" t="str">
        <f t="shared" si="4"/>
        <v/>
      </c>
      <c r="R25" s="54" t="str" cm="1">
        <f t="array" ref="R25">IF(Q25="","",GradeConverter(Q25))</f>
        <v/>
      </c>
      <c r="S25" s="60" t="str">
        <f>IF(AND(N25="",Q25=""),"",IF(OR(N25="-",Q25="-"),"-",IF(AND(N$3&lt;&gt;0,Q$3&lt;&gt;0),VLOOKUP(AVERAGE(N25,Q25),#REF!,2,TRUE),IF(AND(N$3&lt;&gt;0,Q$3=0),O25,R25))))</f>
        <v/>
      </c>
      <c r="T25" s="43"/>
      <c r="U25" s="43" t="str">
        <f t="shared" si="3"/>
        <v/>
      </c>
      <c r="V25" s="45" t="s">
        <v>16</v>
      </c>
      <c r="W25" s="110"/>
      <c r="X25" s="110"/>
      <c r="Y25" s="110"/>
      <c r="Z25" s="110"/>
      <c r="AA25" s="108" t="s">
        <v>16</v>
      </c>
    </row>
    <row r="26" spans="1:27" x14ac:dyDescent="0.25">
      <c r="A26" s="42"/>
      <c r="B26" s="42"/>
      <c r="C26" s="42"/>
      <c r="D26" s="42"/>
      <c r="E26" s="42"/>
      <c r="F26" s="50"/>
      <c r="G26" s="42"/>
      <c r="H26" s="42"/>
      <c r="I26" s="42"/>
      <c r="J26" s="42"/>
      <c r="K26" s="50"/>
      <c r="L26" s="42"/>
      <c r="M26" s="73" t="str">
        <f t="shared" si="0"/>
        <v/>
      </c>
      <c r="N26" s="62" t="str">
        <f t="shared" si="2"/>
        <v/>
      </c>
      <c r="O26" s="134" t="str" cm="1">
        <f t="array" ref="O26">IF(N26="","",GradeConverter(N26))</f>
        <v/>
      </c>
      <c r="P26" s="58" t="str">
        <f t="shared" si="1"/>
        <v/>
      </c>
      <c r="Q26" s="64" t="str">
        <f t="shared" si="4"/>
        <v/>
      </c>
      <c r="R26" s="54" t="str" cm="1">
        <f t="array" ref="R26">IF(Q26="","",GradeConverter(Q26))</f>
        <v/>
      </c>
      <c r="S26" s="60" t="str">
        <f>IF(AND(N26="",Q26=""),"",IF(OR(N26="-",Q26="-"),"-",IF(AND(N$3&lt;&gt;0,Q$3&lt;&gt;0),VLOOKUP(AVERAGE(N26,Q26),#REF!,2,TRUE),IF(AND(N$3&lt;&gt;0,Q$3=0),O26,R26))))</f>
        <v/>
      </c>
      <c r="T26" s="43"/>
      <c r="U26" s="43" t="str">
        <f t="shared" si="3"/>
        <v/>
      </c>
      <c r="V26" s="45" t="s">
        <v>16</v>
      </c>
      <c r="W26" s="110"/>
      <c r="X26" s="110"/>
      <c r="Y26" s="110"/>
      <c r="Z26" s="110"/>
      <c r="AA26" s="108" t="s">
        <v>16</v>
      </c>
    </row>
    <row r="27" spans="1:27" x14ac:dyDescent="0.25">
      <c r="A27" s="42"/>
      <c r="B27" s="42"/>
      <c r="C27" s="42"/>
      <c r="D27" s="42"/>
      <c r="E27" s="42"/>
      <c r="F27" s="50"/>
      <c r="G27" s="42"/>
      <c r="H27" s="42"/>
      <c r="I27" s="42"/>
      <c r="J27" s="42"/>
      <c r="K27" s="50"/>
      <c r="L27" s="42"/>
      <c r="M27" s="73" t="str">
        <f t="shared" si="0"/>
        <v/>
      </c>
      <c r="N27" s="62" t="str">
        <f t="shared" si="2"/>
        <v/>
      </c>
      <c r="O27" s="134" t="str" cm="1">
        <f t="array" ref="O27">IF(N27="","",GradeConverter(N27))</f>
        <v/>
      </c>
      <c r="P27" s="58" t="str">
        <f t="shared" si="1"/>
        <v/>
      </c>
      <c r="Q27" s="64" t="str">
        <f t="shared" si="4"/>
        <v/>
      </c>
      <c r="R27" s="54" t="str" cm="1">
        <f t="array" ref="R27">IF(Q27="","",GradeConverter(Q27))</f>
        <v/>
      </c>
      <c r="S27" s="60" t="str">
        <f>IF(AND(N27="",Q27=""),"",IF(OR(N27="-",Q27="-"),"-",IF(AND(N$3&lt;&gt;0,Q$3&lt;&gt;0),VLOOKUP(AVERAGE(N27,Q27),#REF!,2,TRUE),IF(AND(N$3&lt;&gt;0,Q$3=0),O27,R27))))</f>
        <v/>
      </c>
      <c r="T27" s="43"/>
      <c r="U27" s="43" t="str">
        <f t="shared" si="3"/>
        <v/>
      </c>
      <c r="V27" s="45" t="s">
        <v>16</v>
      </c>
      <c r="W27" s="110"/>
      <c r="X27" s="110"/>
      <c r="Y27" s="110"/>
      <c r="Z27" s="110"/>
      <c r="AA27" s="108" t="s">
        <v>16</v>
      </c>
    </row>
    <row r="28" spans="1:27" x14ac:dyDescent="0.25">
      <c r="A28" s="42"/>
      <c r="B28" s="42"/>
      <c r="C28" s="42"/>
      <c r="D28" s="42"/>
      <c r="E28" s="42"/>
      <c r="F28" s="50"/>
      <c r="G28" s="42"/>
      <c r="H28" s="42"/>
      <c r="I28" s="42"/>
      <c r="J28" s="42"/>
      <c r="K28" s="50"/>
      <c r="L28" s="42"/>
      <c r="M28" s="73" t="str">
        <f t="shared" si="0"/>
        <v/>
      </c>
      <c r="N28" s="62" t="str">
        <f t="shared" si="2"/>
        <v/>
      </c>
      <c r="O28" s="134" t="str" cm="1">
        <f t="array" ref="O28">IF(N28="","",GradeConverter(N28))</f>
        <v/>
      </c>
      <c r="P28" s="58" t="str">
        <f t="shared" si="1"/>
        <v/>
      </c>
      <c r="Q28" s="64" t="str">
        <f t="shared" si="4"/>
        <v/>
      </c>
      <c r="R28" s="54" t="str" cm="1">
        <f t="array" ref="R28">IF(Q28="","",GradeConverter(Q28))</f>
        <v/>
      </c>
      <c r="S28" s="60" t="str">
        <f>IF(AND(N28="",Q28=""),"",IF(OR(N28="-",Q28="-"),"-",IF(AND(N$3&lt;&gt;0,Q$3&lt;&gt;0),VLOOKUP(AVERAGE(N28,Q28),#REF!,2,TRUE),IF(AND(N$3&lt;&gt;0,Q$3=0),O28,R28))))</f>
        <v/>
      </c>
      <c r="T28" s="43"/>
      <c r="U28" s="43" t="str">
        <f t="shared" si="3"/>
        <v/>
      </c>
      <c r="V28" s="45" t="s">
        <v>16</v>
      </c>
      <c r="W28" s="110"/>
      <c r="X28" s="110"/>
      <c r="Y28" s="110"/>
      <c r="Z28" s="110"/>
      <c r="AA28" s="108" t="s">
        <v>16</v>
      </c>
    </row>
    <row r="29" spans="1:27" x14ac:dyDescent="0.25">
      <c r="A29" s="42"/>
      <c r="B29" s="42"/>
      <c r="C29" s="42"/>
      <c r="D29" s="42"/>
      <c r="E29" s="42"/>
      <c r="F29" s="50"/>
      <c r="G29" s="42"/>
      <c r="H29" s="42"/>
      <c r="I29" s="42"/>
      <c r="J29" s="42"/>
      <c r="K29" s="50"/>
      <c r="L29" s="42"/>
      <c r="M29" s="73" t="str">
        <f t="shared" si="0"/>
        <v/>
      </c>
      <c r="N29" s="62" t="str">
        <f t="shared" si="2"/>
        <v/>
      </c>
      <c r="O29" s="134" t="str" cm="1">
        <f t="array" ref="O29">IF(N29="","",GradeConverter(N29))</f>
        <v/>
      </c>
      <c r="P29" s="58" t="str">
        <f t="shared" si="1"/>
        <v/>
      </c>
      <c r="Q29" s="64" t="str">
        <f t="shared" si="4"/>
        <v/>
      </c>
      <c r="R29" s="54" t="str" cm="1">
        <f t="array" ref="R29">IF(Q29="","",GradeConverter(Q29))</f>
        <v/>
      </c>
      <c r="S29" s="60" t="str">
        <f>IF(AND(N29="",Q29=""),"",IF(OR(N29="-",Q29="-"),"-",IF(AND(N$3&lt;&gt;0,Q$3&lt;&gt;0),VLOOKUP(AVERAGE(N29,Q29),#REF!,2,TRUE),IF(AND(N$3&lt;&gt;0,Q$3=0),O29,R29))))</f>
        <v/>
      </c>
      <c r="T29" s="43"/>
      <c r="U29" s="43" t="str">
        <f t="shared" si="3"/>
        <v/>
      </c>
      <c r="V29" s="45" t="s">
        <v>16</v>
      </c>
      <c r="W29" s="110"/>
      <c r="X29" s="110"/>
      <c r="Y29" s="110"/>
      <c r="Z29" s="110"/>
      <c r="AA29" s="108" t="s">
        <v>16</v>
      </c>
    </row>
    <row r="30" spans="1:27" x14ac:dyDescent="0.25">
      <c r="A30" s="42"/>
      <c r="B30" s="42"/>
      <c r="C30" s="42"/>
      <c r="D30" s="42"/>
      <c r="E30" s="42"/>
      <c r="F30" s="50"/>
      <c r="G30" s="42"/>
      <c r="H30" s="42"/>
      <c r="I30" s="42"/>
      <c r="J30" s="42"/>
      <c r="K30" s="50"/>
      <c r="L30" s="42"/>
      <c r="M30" s="73" t="str">
        <f t="shared" si="0"/>
        <v/>
      </c>
      <c r="N30" s="62" t="str">
        <f t="shared" si="2"/>
        <v/>
      </c>
      <c r="O30" s="134" t="str" cm="1">
        <f t="array" ref="O30">IF(N30="","",GradeConverter(N30))</f>
        <v/>
      </c>
      <c r="P30" s="58" t="str">
        <f t="shared" si="1"/>
        <v/>
      </c>
      <c r="Q30" s="64" t="str">
        <f t="shared" si="4"/>
        <v/>
      </c>
      <c r="R30" s="54" t="str" cm="1">
        <f t="array" ref="R30">IF(Q30="","",GradeConverter(Q30))</f>
        <v/>
      </c>
      <c r="S30" s="60" t="str">
        <f>IF(AND(N30="",Q30=""),"",IF(OR(N30="-",Q30="-"),"-",IF(AND(N$3&lt;&gt;0,Q$3&lt;&gt;0),VLOOKUP(AVERAGE(N30,Q30),#REF!,2,TRUE),IF(AND(N$3&lt;&gt;0,Q$3=0),O30,R30))))</f>
        <v/>
      </c>
      <c r="T30" s="43"/>
      <c r="U30" s="43" t="str">
        <f t="shared" si="3"/>
        <v/>
      </c>
      <c r="V30" s="45" t="s">
        <v>16</v>
      </c>
      <c r="W30" s="110"/>
      <c r="X30" s="110"/>
      <c r="Y30" s="110"/>
      <c r="Z30" s="110"/>
      <c r="AA30" s="108" t="s">
        <v>16</v>
      </c>
    </row>
    <row r="31" spans="1:27" x14ac:dyDescent="0.25">
      <c r="A31" s="42"/>
      <c r="B31" s="42"/>
      <c r="C31" s="42"/>
      <c r="D31" s="42"/>
      <c r="E31" s="42"/>
      <c r="F31" s="50"/>
      <c r="G31" s="42"/>
      <c r="H31" s="42"/>
      <c r="I31" s="42"/>
      <c r="J31" s="42"/>
      <c r="K31" s="50"/>
      <c r="L31" s="42"/>
      <c r="M31" s="73" t="str">
        <f t="shared" si="0"/>
        <v/>
      </c>
      <c r="N31" s="62" t="str">
        <f t="shared" si="2"/>
        <v/>
      </c>
      <c r="O31" s="134" t="str" cm="1">
        <f t="array" ref="O31">IF(N31="","",GradeConverter(N31))</f>
        <v/>
      </c>
      <c r="P31" s="58" t="str">
        <f t="shared" si="1"/>
        <v/>
      </c>
      <c r="Q31" s="64" t="str">
        <f t="shared" si="4"/>
        <v/>
      </c>
      <c r="R31" s="54" t="str" cm="1">
        <f t="array" ref="R31">IF(Q31="","",GradeConverter(Q31))</f>
        <v/>
      </c>
      <c r="S31" s="60" t="str">
        <f>IF(AND(N31="",Q31=""),"",IF(OR(N31="-",Q31="-"),"-",IF(AND(N$3&lt;&gt;0,Q$3&lt;&gt;0),VLOOKUP(AVERAGE(N31,Q31),#REF!,2,TRUE),IF(AND(N$3&lt;&gt;0,Q$3=0),O31,R31))))</f>
        <v/>
      </c>
      <c r="T31" s="43"/>
      <c r="U31" s="43" t="str">
        <f t="shared" si="3"/>
        <v/>
      </c>
      <c r="V31" s="45" t="s">
        <v>16</v>
      </c>
      <c r="W31" s="110"/>
      <c r="X31" s="110"/>
      <c r="Y31" s="110"/>
      <c r="Z31" s="110"/>
      <c r="AA31" s="108" t="s">
        <v>16</v>
      </c>
    </row>
    <row r="32" spans="1:27" x14ac:dyDescent="0.25">
      <c r="A32" s="42"/>
      <c r="B32" s="42"/>
      <c r="C32" s="42"/>
      <c r="D32" s="42"/>
      <c r="E32" s="42"/>
      <c r="F32" s="50"/>
      <c r="G32" s="42"/>
      <c r="H32" s="42"/>
      <c r="I32" s="42"/>
      <c r="J32" s="42"/>
      <c r="K32" s="50"/>
      <c r="L32" s="42"/>
      <c r="M32" s="73" t="str">
        <f t="shared" si="0"/>
        <v/>
      </c>
      <c r="N32" s="62" t="str">
        <f t="shared" si="2"/>
        <v/>
      </c>
      <c r="O32" s="134" t="str" cm="1">
        <f t="array" ref="O32">IF(N32="","",GradeConverter(N32))</f>
        <v/>
      </c>
      <c r="P32" s="58" t="str">
        <f t="shared" si="1"/>
        <v/>
      </c>
      <c r="Q32" s="64" t="str">
        <f t="shared" si="4"/>
        <v/>
      </c>
      <c r="R32" s="54" t="str" cm="1">
        <f t="array" ref="R32">IF(Q32="","",GradeConverter(Q32))</f>
        <v/>
      </c>
      <c r="S32" s="60" t="str">
        <f>IF(AND(N32="",Q32=""),"",IF(OR(N32="-",Q32="-"),"-",IF(AND(N$3&lt;&gt;0,Q$3&lt;&gt;0),VLOOKUP(AVERAGE(N32,Q32),#REF!,2,TRUE),IF(AND(N$3&lt;&gt;0,Q$3=0),O32,R32))))</f>
        <v/>
      </c>
      <c r="T32" s="43"/>
      <c r="U32" s="43" t="str">
        <f t="shared" si="3"/>
        <v/>
      </c>
      <c r="V32" s="45" t="s">
        <v>16</v>
      </c>
      <c r="W32" s="110"/>
      <c r="X32" s="110"/>
      <c r="Y32" s="110"/>
      <c r="Z32" s="110"/>
      <c r="AA32" s="108" t="s">
        <v>16</v>
      </c>
    </row>
    <row r="33" spans="1:27" x14ac:dyDescent="0.25">
      <c r="A33" s="42"/>
      <c r="B33" s="42"/>
      <c r="C33" s="42"/>
      <c r="D33" s="42"/>
      <c r="E33" s="42"/>
      <c r="F33" s="50"/>
      <c r="G33" s="42"/>
      <c r="H33" s="42"/>
      <c r="I33" s="42"/>
      <c r="J33" s="42"/>
      <c r="K33" s="50"/>
      <c r="L33" s="42"/>
      <c r="M33" s="73" t="str">
        <f t="shared" si="0"/>
        <v/>
      </c>
      <c r="N33" s="62" t="str">
        <f t="shared" si="2"/>
        <v/>
      </c>
      <c r="O33" s="134" t="str" cm="1">
        <f t="array" ref="O33">IF(N33="","",GradeConverter(N33))</f>
        <v/>
      </c>
      <c r="P33" s="58" t="str">
        <f t="shared" si="1"/>
        <v/>
      </c>
      <c r="Q33" s="64" t="str">
        <f t="shared" si="4"/>
        <v/>
      </c>
      <c r="R33" s="54" t="str" cm="1">
        <f t="array" ref="R33">IF(Q33="","",GradeConverter(Q33))</f>
        <v/>
      </c>
      <c r="S33" s="60" t="str">
        <f>IF(AND(N33="",Q33=""),"",IF(OR(N33="-",Q33="-"),"-",IF(AND(N$3&lt;&gt;0,Q$3&lt;&gt;0),VLOOKUP(AVERAGE(N33,Q33),#REF!,2,TRUE),IF(AND(N$3&lt;&gt;0,Q$3=0),O33,R33))))</f>
        <v/>
      </c>
      <c r="T33" s="43"/>
      <c r="U33" s="43" t="str">
        <f t="shared" si="3"/>
        <v/>
      </c>
      <c r="V33" s="45" t="s">
        <v>16</v>
      </c>
      <c r="W33" s="110"/>
      <c r="X33" s="110"/>
      <c r="Y33" s="110"/>
      <c r="Z33" s="110"/>
      <c r="AA33" s="108" t="s">
        <v>16</v>
      </c>
    </row>
    <row r="34" spans="1:27" x14ac:dyDescent="0.25">
      <c r="A34" s="42"/>
      <c r="B34" s="42"/>
      <c r="C34" s="42"/>
      <c r="D34" s="42"/>
      <c r="E34" s="42"/>
      <c r="F34" s="50"/>
      <c r="G34" s="42"/>
      <c r="H34" s="42"/>
      <c r="I34" s="42"/>
      <c r="J34" s="42"/>
      <c r="K34" s="50"/>
      <c r="L34" s="42"/>
      <c r="M34" s="73" t="str">
        <f t="shared" si="0"/>
        <v/>
      </c>
      <c r="N34" s="62" t="str">
        <f t="shared" si="2"/>
        <v/>
      </c>
      <c r="O34" s="134" t="str" cm="1">
        <f t="array" ref="O34">IF(N34="","",GradeConverter(N34))</f>
        <v/>
      </c>
      <c r="P34" s="58" t="str">
        <f t="shared" si="1"/>
        <v/>
      </c>
      <c r="Q34" s="64" t="str">
        <f t="shared" si="4"/>
        <v/>
      </c>
      <c r="R34" s="54" t="str" cm="1">
        <f t="array" ref="R34">IF(Q34="","",GradeConverter(Q34))</f>
        <v/>
      </c>
      <c r="S34" s="60" t="str">
        <f>IF(AND(N34="",Q34=""),"",IF(OR(N34="-",Q34="-"),"-",IF(AND(N$3&lt;&gt;0,Q$3&lt;&gt;0),VLOOKUP(AVERAGE(N34,Q34),#REF!,2,TRUE),IF(AND(N$3&lt;&gt;0,Q$3=0),O34,R34))))</f>
        <v/>
      </c>
      <c r="T34" s="43"/>
      <c r="U34" s="43" t="str">
        <f t="shared" si="3"/>
        <v/>
      </c>
      <c r="V34" s="45" t="s">
        <v>16</v>
      </c>
      <c r="W34" s="110"/>
      <c r="X34" s="110"/>
      <c r="Y34" s="110"/>
      <c r="Z34" s="110"/>
      <c r="AA34" s="108" t="s">
        <v>16</v>
      </c>
    </row>
    <row r="35" spans="1:27" x14ac:dyDescent="0.25">
      <c r="A35" s="42"/>
      <c r="B35" s="42"/>
      <c r="C35" s="42"/>
      <c r="D35" s="42"/>
      <c r="E35" s="42"/>
      <c r="F35" s="50"/>
      <c r="G35" s="42"/>
      <c r="H35" s="42"/>
      <c r="I35" s="42"/>
      <c r="J35" s="42"/>
      <c r="K35" s="50"/>
      <c r="L35" s="42"/>
      <c r="M35" s="73" t="str">
        <f t="shared" si="0"/>
        <v/>
      </c>
      <c r="N35" s="62" t="str">
        <f t="shared" si="2"/>
        <v/>
      </c>
      <c r="O35" s="134" t="str" cm="1">
        <f t="array" ref="O35">IF(N35="","",GradeConverter(N35))</f>
        <v/>
      </c>
      <c r="P35" s="58" t="str">
        <f t="shared" si="1"/>
        <v/>
      </c>
      <c r="Q35" s="64" t="str">
        <f t="shared" si="4"/>
        <v/>
      </c>
      <c r="R35" s="54" t="str" cm="1">
        <f t="array" ref="R35">IF(Q35="","",GradeConverter(Q35))</f>
        <v/>
      </c>
      <c r="S35" s="60" t="str">
        <f>IF(AND(N35="",Q35=""),"",IF(OR(N35="-",Q35="-"),"-",IF(AND(N$3&lt;&gt;0,Q$3&lt;&gt;0),VLOOKUP(AVERAGE(N35,Q35),#REF!,2,TRUE),IF(AND(N$3&lt;&gt;0,Q$3=0),O35,R35))))</f>
        <v/>
      </c>
      <c r="T35" s="43"/>
      <c r="U35" s="43" t="str">
        <f t="shared" si="3"/>
        <v/>
      </c>
      <c r="V35" s="45" t="s">
        <v>16</v>
      </c>
      <c r="W35" s="110"/>
      <c r="X35" s="110"/>
      <c r="Y35" s="110"/>
      <c r="Z35" s="110"/>
      <c r="AA35" s="108" t="s">
        <v>16</v>
      </c>
    </row>
    <row r="36" spans="1:27" x14ac:dyDescent="0.25">
      <c r="A36" s="42"/>
      <c r="B36" s="42"/>
      <c r="C36" s="42"/>
      <c r="D36" s="42"/>
      <c r="E36" s="42"/>
      <c r="F36" s="50"/>
      <c r="G36" s="42"/>
      <c r="H36" s="42"/>
      <c r="I36" s="42"/>
      <c r="J36" s="42"/>
      <c r="K36" s="50"/>
      <c r="L36" s="42"/>
      <c r="M36" s="73" t="str">
        <f t="shared" si="0"/>
        <v/>
      </c>
      <c r="N36" s="62" t="str">
        <f t="shared" si="2"/>
        <v/>
      </c>
      <c r="O36" s="134" t="str" cm="1">
        <f t="array" ref="O36">IF(N36="","",GradeConverter(N36))</f>
        <v/>
      </c>
      <c r="P36" s="58" t="str">
        <f t="shared" si="1"/>
        <v/>
      </c>
      <c r="Q36" s="64" t="str">
        <f t="shared" si="4"/>
        <v/>
      </c>
      <c r="R36" s="54" t="str" cm="1">
        <f t="array" ref="R36">IF(Q36="","",GradeConverter(Q36))</f>
        <v/>
      </c>
      <c r="S36" s="60" t="str">
        <f>IF(AND(N36="",Q36=""),"",IF(OR(N36="-",Q36="-"),"-",IF(AND(N$3&lt;&gt;0,Q$3&lt;&gt;0),VLOOKUP(AVERAGE(N36,Q36),#REF!,2,TRUE),IF(AND(N$3&lt;&gt;0,Q$3=0),O36,R36))))</f>
        <v/>
      </c>
      <c r="T36" s="43"/>
      <c r="U36" s="43" t="str">
        <f t="shared" si="3"/>
        <v/>
      </c>
      <c r="V36" s="45" t="s">
        <v>16</v>
      </c>
      <c r="W36" s="110"/>
      <c r="X36" s="110"/>
      <c r="Y36" s="110"/>
      <c r="Z36" s="110"/>
      <c r="AA36" s="108" t="s">
        <v>16</v>
      </c>
    </row>
    <row r="37" spans="1:27" x14ac:dyDescent="0.25">
      <c r="A37" s="42"/>
      <c r="B37" s="42"/>
      <c r="C37" s="42"/>
      <c r="D37" s="42"/>
      <c r="E37" s="42"/>
      <c r="F37" s="50"/>
      <c r="G37" s="42"/>
      <c r="H37" s="42"/>
      <c r="I37" s="42"/>
      <c r="J37" s="42"/>
      <c r="K37" s="50"/>
      <c r="L37" s="42"/>
      <c r="M37" s="73" t="str">
        <f t="shared" si="0"/>
        <v/>
      </c>
      <c r="N37" s="62" t="str">
        <f t="shared" si="2"/>
        <v/>
      </c>
      <c r="O37" s="134" t="str" cm="1">
        <f t="array" ref="O37">IF(N37="","",GradeConverter(N37))</f>
        <v/>
      </c>
      <c r="P37" s="58" t="str">
        <f t="shared" si="1"/>
        <v/>
      </c>
      <c r="Q37" s="64" t="str">
        <f t="shared" si="4"/>
        <v/>
      </c>
      <c r="R37" s="54" t="str" cm="1">
        <f t="array" ref="R37">IF(Q37="","",GradeConverter(Q37))</f>
        <v/>
      </c>
      <c r="S37" s="60" t="str">
        <f>IF(AND(N37="",Q37=""),"",IF(OR(N37="-",Q37="-"),"-",IF(AND(N$3&lt;&gt;0,Q$3&lt;&gt;0),VLOOKUP(AVERAGE(N37,Q37),#REF!,2,TRUE),IF(AND(N$3&lt;&gt;0,Q$3=0),O37,R37))))</f>
        <v/>
      </c>
      <c r="T37" s="43"/>
      <c r="U37" s="43" t="str">
        <f t="shared" si="3"/>
        <v/>
      </c>
      <c r="V37" s="45" t="s">
        <v>16</v>
      </c>
      <c r="W37" s="110"/>
      <c r="X37" s="110"/>
      <c r="Y37" s="110"/>
      <c r="Z37" s="110"/>
      <c r="AA37" s="108" t="s">
        <v>16</v>
      </c>
    </row>
    <row r="38" spans="1:27" x14ac:dyDescent="0.25">
      <c r="A38" s="42"/>
      <c r="B38" s="42"/>
      <c r="C38" s="42"/>
      <c r="D38" s="42"/>
      <c r="E38" s="42"/>
      <c r="F38" s="50"/>
      <c r="G38" s="42"/>
      <c r="H38" s="42"/>
      <c r="I38" s="42"/>
      <c r="J38" s="42"/>
      <c r="K38" s="50"/>
      <c r="L38" s="42"/>
      <c r="M38" s="73" t="str">
        <f t="shared" si="0"/>
        <v/>
      </c>
      <c r="N38" s="62" t="str">
        <f t="shared" si="2"/>
        <v/>
      </c>
      <c r="O38" s="134" t="str" cm="1">
        <f t="array" ref="O38">IF(N38="","",GradeConverter(N38))</f>
        <v/>
      </c>
      <c r="P38" s="58" t="str">
        <f t="shared" si="1"/>
        <v/>
      </c>
      <c r="Q38" s="64" t="str">
        <f t="shared" si="4"/>
        <v/>
      </c>
      <c r="R38" s="54" t="str" cm="1">
        <f t="array" ref="R38">IF(Q38="","",GradeConverter(Q38))</f>
        <v/>
      </c>
      <c r="S38" s="60" t="str">
        <f>IF(AND(N38="",Q38=""),"",IF(OR(N38="-",Q38="-"),"-",IF(AND(N$3&lt;&gt;0,Q$3&lt;&gt;0),VLOOKUP(AVERAGE(N38,Q38),#REF!,2,TRUE),IF(AND(N$3&lt;&gt;0,Q$3=0),O38,R38))))</f>
        <v/>
      </c>
      <c r="T38" s="43"/>
      <c r="U38" s="43" t="str">
        <f t="shared" si="3"/>
        <v/>
      </c>
      <c r="V38" s="45" t="s">
        <v>16</v>
      </c>
      <c r="W38" s="110"/>
      <c r="X38" s="110"/>
      <c r="Y38" s="110"/>
      <c r="Z38" s="110"/>
      <c r="AA38" s="108" t="s">
        <v>16</v>
      </c>
    </row>
    <row r="39" spans="1:27" x14ac:dyDescent="0.25">
      <c r="A39" s="42"/>
      <c r="B39" s="42"/>
      <c r="C39" s="42"/>
      <c r="D39" s="42"/>
      <c r="E39" s="42"/>
      <c r="F39" s="50"/>
      <c r="G39" s="42"/>
      <c r="H39" s="42"/>
      <c r="I39" s="42"/>
      <c r="J39" s="42"/>
      <c r="K39" s="50"/>
      <c r="L39" s="42"/>
      <c r="M39" s="73" t="str">
        <f t="shared" si="0"/>
        <v/>
      </c>
      <c r="N39" s="62" t="str">
        <f t="shared" si="2"/>
        <v/>
      </c>
      <c r="O39" s="134" t="str" cm="1">
        <f t="array" ref="O39">IF(N39="","",GradeConverter(N39))</f>
        <v/>
      </c>
      <c r="P39" s="58" t="str">
        <f t="shared" si="1"/>
        <v/>
      </c>
      <c r="Q39" s="64" t="str">
        <f t="shared" si="4"/>
        <v/>
      </c>
      <c r="R39" s="54" t="str" cm="1">
        <f t="array" ref="R39">IF(Q39="","",GradeConverter(Q39))</f>
        <v/>
      </c>
      <c r="S39" s="60" t="str">
        <f>IF(AND(N39="",Q39=""),"",IF(OR(N39="-",Q39="-"),"-",IF(AND(N$3&lt;&gt;0,Q$3&lt;&gt;0),VLOOKUP(AVERAGE(N39,Q39),#REF!,2,TRUE),IF(AND(N$3&lt;&gt;0,Q$3=0),O39,R39))))</f>
        <v/>
      </c>
      <c r="T39" s="43"/>
      <c r="U39" s="43" t="str">
        <f t="shared" si="3"/>
        <v/>
      </c>
      <c r="V39" s="45" t="s">
        <v>16</v>
      </c>
      <c r="W39" s="110"/>
      <c r="X39" s="110"/>
      <c r="Y39" s="110"/>
      <c r="Z39" s="110"/>
      <c r="AA39" s="108" t="s">
        <v>16</v>
      </c>
    </row>
    <row r="40" spans="1:27" ht="15.75" thickBot="1" x14ac:dyDescent="0.3">
      <c r="A40" s="51"/>
      <c r="B40" s="51"/>
      <c r="C40" s="51"/>
      <c r="D40" s="51"/>
      <c r="E40" s="51"/>
      <c r="F40" s="52"/>
      <c r="G40" s="51"/>
      <c r="H40" s="51"/>
      <c r="I40" s="51"/>
      <c r="J40" s="51"/>
      <c r="K40" s="52"/>
      <c r="L40" s="72"/>
      <c r="M40" s="74" t="str">
        <f t="shared" si="0"/>
        <v/>
      </c>
      <c r="N40" s="63" t="str">
        <f>IF(M40="","",IF(M40="-","-",M40/N$3))</f>
        <v/>
      </c>
      <c r="O40" s="134" t="str" cm="1">
        <f t="array" ref="O40">IF(N40="","",GradeConverter(N40))</f>
        <v/>
      </c>
      <c r="P40" s="59" t="str">
        <f t="shared" si="1"/>
        <v/>
      </c>
      <c r="Q40" s="65" t="str">
        <f>IF(P40="","",IF(P40="-", "-",P40/Q$3))</f>
        <v/>
      </c>
      <c r="R40" s="54" t="str" cm="1">
        <f t="array" ref="R40">IF(Q40="","",GradeConverter(Q40))</f>
        <v/>
      </c>
      <c r="S40" s="61" t="str">
        <f>IF(AND(N40="",Q40=""),"",IF(OR(N40="-",Q40="-"),"-",IF(AND(N$3&lt;&gt;0,Q$3&lt;&gt;0),VLOOKUP(AVERAGE(N40,Q40),#REF!,2,TRUE),IF(AND(N$3&lt;&gt;0,Q$3=0),O40,R40))))</f>
        <v/>
      </c>
      <c r="T40" s="55"/>
      <c r="U40" s="56" t="str">
        <f t="shared" si="3"/>
        <v/>
      </c>
      <c r="V40" s="49" t="s">
        <v>16</v>
      </c>
      <c r="W40" s="111"/>
      <c r="X40" s="111"/>
      <c r="Y40" s="111"/>
      <c r="Z40" s="111"/>
      <c r="AA40" s="109" t="s">
        <v>16</v>
      </c>
    </row>
    <row r="41" spans="1:27" x14ac:dyDescent="0.25">
      <c r="F41"/>
      <c r="G41"/>
      <c r="H41"/>
      <c r="I41"/>
      <c r="J41"/>
      <c r="L41"/>
      <c r="N41"/>
      <c r="Q41"/>
      <c r="T41"/>
    </row>
    <row r="42" spans="1:27" x14ac:dyDescent="0.25">
      <c r="F42"/>
      <c r="G42"/>
      <c r="H42"/>
      <c r="I42"/>
      <c r="J42"/>
      <c r="L42"/>
      <c r="N42"/>
      <c r="Q42"/>
      <c r="T42"/>
    </row>
    <row r="43" spans="1:27" x14ac:dyDescent="0.25">
      <c r="F43"/>
      <c r="G43"/>
      <c r="H43"/>
      <c r="I43"/>
      <c r="J43"/>
      <c r="L43"/>
      <c r="N43"/>
      <c r="Q43"/>
      <c r="T43"/>
    </row>
    <row r="44" spans="1:27" x14ac:dyDescent="0.25">
      <c r="F44"/>
      <c r="G44"/>
      <c r="H44"/>
      <c r="I44"/>
      <c r="J44"/>
      <c r="L44"/>
      <c r="N44"/>
      <c r="Q44"/>
      <c r="T44"/>
    </row>
    <row r="45" spans="1:27" x14ac:dyDescent="0.25">
      <c r="F45"/>
      <c r="G45"/>
      <c r="H45"/>
      <c r="I45"/>
      <c r="J45"/>
      <c r="L45"/>
      <c r="N45"/>
      <c r="Q45"/>
      <c r="T45"/>
    </row>
    <row r="46" spans="1:27" x14ac:dyDescent="0.25">
      <c r="F46"/>
      <c r="G46"/>
      <c r="H46"/>
      <c r="I46"/>
      <c r="J46"/>
      <c r="L46"/>
      <c r="N46"/>
      <c r="Q46"/>
      <c r="T46"/>
    </row>
    <row r="47" spans="1:27" x14ac:dyDescent="0.25">
      <c r="F47"/>
      <c r="G47"/>
      <c r="H47"/>
      <c r="I47"/>
      <c r="J47"/>
      <c r="L47"/>
      <c r="N47"/>
      <c r="Q47"/>
      <c r="T47"/>
    </row>
    <row r="48" spans="1:27" x14ac:dyDescent="0.25">
      <c r="F48"/>
      <c r="G48"/>
      <c r="H48"/>
      <c r="I48"/>
      <c r="J48"/>
      <c r="L48"/>
      <c r="N48"/>
      <c r="Q48"/>
      <c r="T48"/>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sheetData>
  <sheetProtection sheet="1" objects="1" scenarios="1"/>
  <mergeCells count="7">
    <mergeCell ref="F2:J2"/>
    <mergeCell ref="K2:L2"/>
    <mergeCell ref="B1:V1"/>
    <mergeCell ref="M2:U2"/>
    <mergeCell ref="N3:O3"/>
    <mergeCell ref="Q3:R3"/>
    <mergeCell ref="A2:E2"/>
  </mergeCells>
  <conditionalFormatting sqref="R8:U40 R5:R7 T5:U7">
    <cfRule type="expression" dxfId="7" priority="8" stopIfTrue="1">
      <formula>OR(ISNUMBER(SEARCH("D",R5)),ISNUMBER(SEARCH("E",R5)))</formula>
    </cfRule>
  </conditionalFormatting>
  <conditionalFormatting sqref="A5:J40">
    <cfRule type="expression" dxfId="6" priority="6" stopIfTrue="1">
      <formula>NOT(ISBLANK(A5))</formula>
    </cfRule>
  </conditionalFormatting>
  <conditionalFormatting sqref="A5:J7">
    <cfRule type="expression" dxfId="5" priority="7" stopIfTrue="1">
      <formula>NOT($A5="ZZZZZ")</formula>
    </cfRule>
  </conditionalFormatting>
  <conditionalFormatting sqref="O5:O40">
    <cfRule type="expression" dxfId="4" priority="5" stopIfTrue="1">
      <formula>OR(ISNUMBER(SEARCH("D",O5)),ISNUMBER(SEARCH("E",O5)))</formula>
    </cfRule>
  </conditionalFormatting>
  <conditionalFormatting sqref="S5">
    <cfRule type="expression" dxfId="3" priority="4" stopIfTrue="1">
      <formula>OR(ISNUMBER(SEARCH("D",S5)),ISNUMBER(SEARCH("E",S5)))</formula>
    </cfRule>
  </conditionalFormatting>
  <conditionalFormatting sqref="S6">
    <cfRule type="expression" dxfId="2" priority="3" stopIfTrue="1">
      <formula>OR(ISNUMBER(SEARCH("D",S6)),ISNUMBER(SEARCH("E",S6)))</formula>
    </cfRule>
  </conditionalFormatting>
  <conditionalFormatting sqref="S7">
    <cfRule type="expression" dxfId="1" priority="2" stopIfTrue="1">
      <formula>OR(ISNUMBER(SEARCH("D",S7)),ISNUMBER(SEARCH("E",S7)))</formula>
    </cfRule>
  </conditionalFormatting>
  <conditionalFormatting sqref="W5:Z40">
    <cfRule type="expression" dxfId="0" priority="1" stopIfTrue="1">
      <formula>OR(ISNUMBER(SEARCH("D",W5)),ISNUMBER(SEARCH("E",W5)))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GradeScheme!#REF!</xm:f>
          </x14:formula1>
          <xm:sqref>T5:T40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29"/>
  <sheetViews>
    <sheetView zoomScaleNormal="100" workbookViewId="0">
      <selection activeCell="G24" sqref="G24"/>
    </sheetView>
  </sheetViews>
  <sheetFormatPr defaultRowHeight="15" x14ac:dyDescent="0.25"/>
  <cols>
    <col min="1" max="1" width="14.28515625" customWidth="1"/>
    <col min="2" max="2" width="20.7109375" bestFit="1" customWidth="1"/>
    <col min="3" max="3" width="9.140625" customWidth="1"/>
    <col min="4" max="4" width="14.28515625" customWidth="1"/>
    <col min="5" max="5" width="16.28515625" customWidth="1"/>
  </cols>
  <sheetData>
    <row r="1" spans="1:5" x14ac:dyDescent="0.25">
      <c r="A1" t="s">
        <v>118</v>
      </c>
      <c r="B1" t="s">
        <v>119</v>
      </c>
      <c r="D1" t="s">
        <v>118</v>
      </c>
      <c r="E1" t="s">
        <v>122</v>
      </c>
    </row>
    <row r="2" spans="1:5" x14ac:dyDescent="0.25">
      <c r="A2" t="s">
        <v>15</v>
      </c>
      <c r="B2">
        <v>0.94</v>
      </c>
      <c r="D2" t="s">
        <v>15</v>
      </c>
      <c r="E2">
        <v>15</v>
      </c>
    </row>
    <row r="3" spans="1:5" x14ac:dyDescent="0.25">
      <c r="A3" t="s">
        <v>14</v>
      </c>
      <c r="B3">
        <v>0.87</v>
      </c>
      <c r="D3" t="s">
        <v>14</v>
      </c>
      <c r="E3">
        <v>14</v>
      </c>
    </row>
    <row r="4" spans="1:5" x14ac:dyDescent="0.25">
      <c r="A4" s="12" t="s">
        <v>13</v>
      </c>
      <c r="B4">
        <v>0.8</v>
      </c>
      <c r="D4" t="s">
        <v>13</v>
      </c>
      <c r="E4">
        <v>13</v>
      </c>
    </row>
    <row r="5" spans="1:5" x14ac:dyDescent="0.25">
      <c r="A5" t="s">
        <v>12</v>
      </c>
      <c r="B5">
        <v>0.75</v>
      </c>
      <c r="D5" t="s">
        <v>12</v>
      </c>
      <c r="E5">
        <v>12</v>
      </c>
    </row>
    <row r="6" spans="1:5" x14ac:dyDescent="0.25">
      <c r="A6" t="s">
        <v>11</v>
      </c>
      <c r="B6">
        <v>0.7</v>
      </c>
      <c r="D6" t="s">
        <v>11</v>
      </c>
      <c r="E6">
        <v>11</v>
      </c>
    </row>
    <row r="7" spans="1:5" x14ac:dyDescent="0.25">
      <c r="A7" t="s">
        <v>10</v>
      </c>
      <c r="B7">
        <v>0.65</v>
      </c>
      <c r="D7" t="s">
        <v>10</v>
      </c>
      <c r="E7">
        <v>10</v>
      </c>
    </row>
    <row r="8" spans="1:5" x14ac:dyDescent="0.25">
      <c r="A8" t="s">
        <v>9</v>
      </c>
      <c r="B8">
        <v>0.59</v>
      </c>
      <c r="D8" t="s">
        <v>9</v>
      </c>
      <c r="E8">
        <v>9</v>
      </c>
    </row>
    <row r="9" spans="1:5" x14ac:dyDescent="0.25">
      <c r="A9" t="s">
        <v>8</v>
      </c>
      <c r="B9">
        <v>0.52</v>
      </c>
      <c r="D9" t="s">
        <v>8</v>
      </c>
      <c r="E9">
        <v>8</v>
      </c>
    </row>
    <row r="10" spans="1:5" x14ac:dyDescent="0.25">
      <c r="A10" t="s">
        <v>7</v>
      </c>
      <c r="B10">
        <v>0.45</v>
      </c>
      <c r="D10" t="s">
        <v>7</v>
      </c>
      <c r="E10">
        <v>7</v>
      </c>
    </row>
    <row r="11" spans="1:5" x14ac:dyDescent="0.25">
      <c r="A11" t="s">
        <v>6</v>
      </c>
      <c r="B11">
        <v>0.38</v>
      </c>
      <c r="D11" t="s">
        <v>6</v>
      </c>
      <c r="E11">
        <v>6</v>
      </c>
    </row>
    <row r="12" spans="1:5" x14ac:dyDescent="0.25">
      <c r="A12" t="s">
        <v>5</v>
      </c>
      <c r="B12">
        <v>0.32</v>
      </c>
      <c r="D12" t="s">
        <v>5</v>
      </c>
      <c r="E12">
        <v>5</v>
      </c>
    </row>
    <row r="13" spans="1:5" x14ac:dyDescent="0.25">
      <c r="A13" t="s">
        <v>4</v>
      </c>
      <c r="B13">
        <v>0.25</v>
      </c>
      <c r="D13" t="s">
        <v>4</v>
      </c>
      <c r="E13">
        <v>4</v>
      </c>
    </row>
    <row r="14" spans="1:5" x14ac:dyDescent="0.25">
      <c r="A14" t="s">
        <v>3</v>
      </c>
      <c r="B14">
        <v>0.17</v>
      </c>
      <c r="D14" t="s">
        <v>3</v>
      </c>
      <c r="E14">
        <v>3</v>
      </c>
    </row>
    <row r="15" spans="1:5" x14ac:dyDescent="0.25">
      <c r="A15" t="s">
        <v>2</v>
      </c>
      <c r="B15">
        <v>0.09</v>
      </c>
      <c r="D15" t="s">
        <v>2</v>
      </c>
      <c r="E15">
        <v>2</v>
      </c>
    </row>
    <row r="16" spans="1:5" x14ac:dyDescent="0.25">
      <c r="A16" t="s">
        <v>1</v>
      </c>
      <c r="B16">
        <v>0</v>
      </c>
      <c r="D16" t="s">
        <v>1</v>
      </c>
      <c r="E16">
        <v>1</v>
      </c>
    </row>
    <row r="29" spans="1:1" x14ac:dyDescent="0.25">
      <c r="A29" s="152"/>
    </row>
  </sheetData>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9"/>
  <sheetViews>
    <sheetView zoomScale="85" zoomScaleNormal="85" workbookViewId="0">
      <selection activeCell="E25" sqref="E25"/>
    </sheetView>
  </sheetViews>
  <sheetFormatPr defaultColWidth="9.140625" defaultRowHeight="15" x14ac:dyDescent="0.25"/>
  <cols>
    <col min="1" max="1" width="9.140625" style="17"/>
    <col min="2" max="2" width="16.42578125" style="18" bestFit="1" customWidth="1"/>
    <col min="3" max="3" width="9.28515625" style="18" bestFit="1" customWidth="1"/>
    <col min="4" max="4" width="11.5703125" style="18" bestFit="1" customWidth="1"/>
    <col min="5" max="5" width="63.5703125" style="19" customWidth="1"/>
    <col min="6" max="6" width="9.140625" style="17"/>
    <col min="7" max="7" width="20.28515625" style="17" bestFit="1" customWidth="1"/>
    <col min="8" max="8" width="1.5703125" style="17" customWidth="1"/>
    <col min="9" max="16384" width="9.140625" style="17"/>
  </cols>
  <sheetData>
    <row r="1" spans="2:7" ht="15.75" thickBot="1" x14ac:dyDescent="0.3"/>
    <row r="2" spans="2:7" ht="15.75" thickBot="1" x14ac:dyDescent="0.3">
      <c r="B2" s="20" t="s">
        <v>37</v>
      </c>
      <c r="C2" s="21" t="s">
        <v>40</v>
      </c>
      <c r="D2" s="21" t="s">
        <v>38</v>
      </c>
      <c r="E2" s="22" t="s">
        <v>39</v>
      </c>
      <c r="G2" s="23"/>
    </row>
    <row r="3" spans="2:7" ht="45" x14ac:dyDescent="0.25">
      <c r="B3" s="28" t="s">
        <v>138</v>
      </c>
      <c r="C3" s="28" t="s">
        <v>41</v>
      </c>
      <c r="D3" s="29">
        <v>45061</v>
      </c>
      <c r="E3" s="30" t="s">
        <v>139</v>
      </c>
      <c r="G3" s="23"/>
    </row>
    <row r="4" spans="2:7" x14ac:dyDescent="0.25">
      <c r="B4" s="28" t="s">
        <v>134</v>
      </c>
      <c r="C4" s="28" t="s">
        <v>41</v>
      </c>
      <c r="D4" s="29">
        <v>45007</v>
      </c>
      <c r="E4" s="28" t="s">
        <v>136</v>
      </c>
      <c r="G4" s="23"/>
    </row>
    <row r="5" spans="2:7" ht="75" x14ac:dyDescent="0.25">
      <c r="B5" s="28" t="s">
        <v>120</v>
      </c>
      <c r="C5" s="28" t="s">
        <v>41</v>
      </c>
      <c r="D5" s="29">
        <v>44987</v>
      </c>
      <c r="E5" s="30" t="s">
        <v>133</v>
      </c>
      <c r="G5" s="23"/>
    </row>
    <row r="6" spans="2:7" x14ac:dyDescent="0.25">
      <c r="B6" s="28" t="s">
        <v>116</v>
      </c>
      <c r="C6" s="28" t="s">
        <v>41</v>
      </c>
      <c r="D6" s="29">
        <v>44369</v>
      </c>
      <c r="E6" s="28" t="s">
        <v>117</v>
      </c>
      <c r="G6" s="23"/>
    </row>
    <row r="7" spans="2:7" ht="30" x14ac:dyDescent="0.25">
      <c r="B7" s="28" t="s">
        <v>114</v>
      </c>
      <c r="C7" s="28" t="s">
        <v>41</v>
      </c>
      <c r="D7" s="29">
        <v>44368</v>
      </c>
      <c r="E7" s="30" t="s">
        <v>115</v>
      </c>
      <c r="G7" s="23"/>
    </row>
    <row r="8" spans="2:7" x14ac:dyDescent="0.25">
      <c r="B8" s="28" t="s">
        <v>112</v>
      </c>
      <c r="C8" s="28" t="s">
        <v>41</v>
      </c>
      <c r="D8" s="29">
        <v>44368</v>
      </c>
      <c r="E8" s="30" t="s">
        <v>113</v>
      </c>
      <c r="G8" s="23"/>
    </row>
    <row r="9" spans="2:7" x14ac:dyDescent="0.25">
      <c r="B9" s="28" t="s">
        <v>110</v>
      </c>
      <c r="C9" s="28" t="s">
        <v>41</v>
      </c>
      <c r="D9" s="29">
        <v>44368</v>
      </c>
      <c r="E9" s="30" t="s">
        <v>111</v>
      </c>
      <c r="G9" s="23"/>
    </row>
    <row r="10" spans="2:7" ht="30" x14ac:dyDescent="0.25">
      <c r="B10" s="28" t="s">
        <v>103</v>
      </c>
      <c r="C10" s="28" t="s">
        <v>41</v>
      </c>
      <c r="D10" s="29">
        <v>44367</v>
      </c>
      <c r="E10" s="30" t="s">
        <v>104</v>
      </c>
      <c r="G10" s="23"/>
    </row>
    <row r="11" spans="2:7" x14ac:dyDescent="0.25">
      <c r="B11" s="28" t="s">
        <v>101</v>
      </c>
      <c r="C11" s="28" t="s">
        <v>41</v>
      </c>
      <c r="D11" s="29">
        <v>44366</v>
      </c>
      <c r="E11" s="30" t="s">
        <v>102</v>
      </c>
      <c r="G11" s="23"/>
    </row>
    <row r="12" spans="2:7" x14ac:dyDescent="0.25">
      <c r="B12" s="28" t="s">
        <v>97</v>
      </c>
      <c r="C12" s="28" t="s">
        <v>41</v>
      </c>
      <c r="D12" s="29">
        <v>44284</v>
      </c>
      <c r="E12" s="30" t="s">
        <v>98</v>
      </c>
      <c r="G12" s="23"/>
    </row>
    <row r="13" spans="2:7" x14ac:dyDescent="0.25">
      <c r="B13" s="28" t="s">
        <v>95</v>
      </c>
      <c r="C13" s="28" t="s">
        <v>41</v>
      </c>
      <c r="D13" s="29">
        <v>44107</v>
      </c>
      <c r="E13" s="30" t="s">
        <v>96</v>
      </c>
    </row>
    <row r="14" spans="2:7" x14ac:dyDescent="0.25">
      <c r="B14" s="28" t="s">
        <v>93</v>
      </c>
      <c r="C14" s="28" t="s">
        <v>41</v>
      </c>
      <c r="D14" s="29">
        <v>44103</v>
      </c>
      <c r="E14" s="30" t="s">
        <v>94</v>
      </c>
    </row>
    <row r="15" spans="2:7" x14ac:dyDescent="0.25">
      <c r="B15" s="28" t="s">
        <v>90</v>
      </c>
      <c r="C15" s="28" t="s">
        <v>41</v>
      </c>
      <c r="D15" s="29">
        <v>44099</v>
      </c>
      <c r="E15" s="30" t="s">
        <v>91</v>
      </c>
    </row>
    <row r="16" spans="2:7" ht="30" x14ac:dyDescent="0.25">
      <c r="B16" s="28" t="s">
        <v>86</v>
      </c>
      <c r="C16" s="28" t="s">
        <v>41</v>
      </c>
      <c r="D16" s="29">
        <v>44099</v>
      </c>
      <c r="E16" s="30" t="s">
        <v>89</v>
      </c>
    </row>
    <row r="17" spans="2:5" x14ac:dyDescent="0.25">
      <c r="B17" s="28" t="s">
        <v>87</v>
      </c>
      <c r="C17" s="28" t="s">
        <v>41</v>
      </c>
      <c r="D17" s="29">
        <v>44099</v>
      </c>
      <c r="E17" s="30" t="s">
        <v>88</v>
      </c>
    </row>
    <row r="18" spans="2:5" x14ac:dyDescent="0.25">
      <c r="B18" s="28" t="s">
        <v>84</v>
      </c>
      <c r="C18" s="28" t="s">
        <v>41</v>
      </c>
      <c r="D18" s="29">
        <v>43898</v>
      </c>
      <c r="E18" s="30" t="s">
        <v>85</v>
      </c>
    </row>
    <row r="19" spans="2:5" ht="90" x14ac:dyDescent="0.25">
      <c r="B19" s="28" t="s">
        <v>82</v>
      </c>
      <c r="C19" s="28" t="s">
        <v>41</v>
      </c>
      <c r="D19" s="29">
        <v>43896</v>
      </c>
      <c r="E19" s="30" t="s">
        <v>81</v>
      </c>
    </row>
    <row r="20" spans="2:5" x14ac:dyDescent="0.25">
      <c r="B20" s="28" t="s">
        <v>74</v>
      </c>
      <c r="C20" s="28" t="s">
        <v>41</v>
      </c>
      <c r="D20" s="29">
        <v>43895</v>
      </c>
      <c r="E20" s="30" t="s">
        <v>80</v>
      </c>
    </row>
    <row r="21" spans="2:5" ht="45" x14ac:dyDescent="0.25">
      <c r="B21" s="28" t="s">
        <v>75</v>
      </c>
      <c r="C21" s="28" t="s">
        <v>41</v>
      </c>
      <c r="D21" s="29">
        <v>43895</v>
      </c>
      <c r="E21" s="30" t="s">
        <v>79</v>
      </c>
    </row>
    <row r="22" spans="2:5" ht="60" x14ac:dyDescent="0.25">
      <c r="B22" s="28" t="s">
        <v>71</v>
      </c>
      <c r="C22" s="28" t="s">
        <v>41</v>
      </c>
      <c r="D22" s="29">
        <v>43811</v>
      </c>
      <c r="E22" s="30" t="s">
        <v>72</v>
      </c>
    </row>
    <row r="23" spans="2:5" ht="30" x14ac:dyDescent="0.25">
      <c r="B23" s="28" t="s">
        <v>66</v>
      </c>
      <c r="C23" s="28" t="s">
        <v>41</v>
      </c>
      <c r="D23" s="29">
        <v>43810</v>
      </c>
      <c r="E23" s="30" t="s">
        <v>67</v>
      </c>
    </row>
    <row r="24" spans="2:5" x14ac:dyDescent="0.25">
      <c r="B24" s="28" t="s">
        <v>64</v>
      </c>
      <c r="C24" s="28" t="s">
        <v>41</v>
      </c>
      <c r="D24" s="28" t="s">
        <v>65</v>
      </c>
      <c r="E24" s="30" t="s">
        <v>65</v>
      </c>
    </row>
    <row r="25" spans="2:5" ht="45" x14ac:dyDescent="0.25">
      <c r="B25" s="28" t="s">
        <v>61</v>
      </c>
      <c r="C25" s="28" t="s">
        <v>41</v>
      </c>
      <c r="D25" s="29">
        <v>43742</v>
      </c>
      <c r="E25" s="30" t="s">
        <v>62</v>
      </c>
    </row>
    <row r="26" spans="2:5" ht="30" x14ac:dyDescent="0.25">
      <c r="B26" s="28" t="s">
        <v>59</v>
      </c>
      <c r="C26" s="28" t="s">
        <v>41</v>
      </c>
      <c r="D26" s="29">
        <v>43738</v>
      </c>
      <c r="E26" s="30" t="s">
        <v>60</v>
      </c>
    </row>
    <row r="27" spans="2:5" x14ac:dyDescent="0.25">
      <c r="B27" s="28" t="s">
        <v>57</v>
      </c>
      <c r="C27" s="28" t="s">
        <v>41</v>
      </c>
      <c r="D27" s="29">
        <v>43684</v>
      </c>
      <c r="E27" s="30" t="s">
        <v>58</v>
      </c>
    </row>
    <row r="28" spans="2:5" x14ac:dyDescent="0.25">
      <c r="B28" s="28" t="s">
        <v>55</v>
      </c>
      <c r="C28" s="28" t="s">
        <v>41</v>
      </c>
      <c r="D28" s="29">
        <v>43679</v>
      </c>
      <c r="E28" s="30" t="s">
        <v>56</v>
      </c>
    </row>
    <row r="29" spans="2:5" ht="60" x14ac:dyDescent="0.25">
      <c r="B29" s="28" t="s">
        <v>53</v>
      </c>
      <c r="C29" s="28" t="s">
        <v>41</v>
      </c>
      <c r="D29" s="29">
        <v>43678</v>
      </c>
      <c r="E29" s="30" t="s">
        <v>54</v>
      </c>
    </row>
    <row r="30" spans="2:5" x14ac:dyDescent="0.25">
      <c r="B30" s="28" t="s">
        <v>51</v>
      </c>
      <c r="C30" s="28" t="s">
        <v>41</v>
      </c>
      <c r="D30" s="29">
        <v>43663</v>
      </c>
      <c r="E30" s="30" t="s">
        <v>52</v>
      </c>
    </row>
    <row r="31" spans="2:5" ht="135" x14ac:dyDescent="0.25">
      <c r="B31" s="28" t="s">
        <v>50</v>
      </c>
      <c r="C31" s="28" t="s">
        <v>41</v>
      </c>
      <c r="D31" s="29">
        <v>43655</v>
      </c>
      <c r="E31" s="30" t="s">
        <v>49</v>
      </c>
    </row>
    <row r="32" spans="2:5" ht="45" x14ac:dyDescent="0.25">
      <c r="B32" s="28" t="s">
        <v>42</v>
      </c>
      <c r="C32" s="28" t="s">
        <v>41</v>
      </c>
      <c r="D32" s="29">
        <v>43643</v>
      </c>
      <c r="E32" s="30" t="s">
        <v>45</v>
      </c>
    </row>
    <row r="33" spans="2:5" ht="75" x14ac:dyDescent="0.25">
      <c r="B33" s="24" t="s">
        <v>43</v>
      </c>
      <c r="C33" s="25" t="s">
        <v>41</v>
      </c>
      <c r="D33" s="26">
        <v>43641</v>
      </c>
      <c r="E33" s="27" t="s">
        <v>44</v>
      </c>
    </row>
    <row r="34" spans="2:5" x14ac:dyDescent="0.25">
      <c r="B34" s="28"/>
      <c r="C34" s="28"/>
      <c r="D34" s="28"/>
      <c r="E34" s="30"/>
    </row>
    <row r="35" spans="2:5" x14ac:dyDescent="0.25">
      <c r="B35" s="28"/>
      <c r="C35" s="28"/>
      <c r="D35" s="28"/>
      <c r="E35" s="30"/>
    </row>
    <row r="36" spans="2:5" x14ac:dyDescent="0.25">
      <c r="B36" s="28"/>
      <c r="C36" s="28"/>
      <c r="D36" s="28"/>
      <c r="E36" s="30"/>
    </row>
    <row r="37" spans="2:5" x14ac:dyDescent="0.25">
      <c r="B37" s="28"/>
      <c r="C37" s="28"/>
      <c r="D37" s="28"/>
      <c r="E37" s="30"/>
    </row>
    <row r="38" spans="2:5" x14ac:dyDescent="0.25">
      <c r="B38" s="28"/>
      <c r="C38" s="28"/>
      <c r="D38" s="28"/>
      <c r="E38" s="30"/>
    </row>
    <row r="39" spans="2:5" x14ac:dyDescent="0.25">
      <c r="B39" s="28"/>
      <c r="C39" s="28"/>
      <c r="D39" s="28"/>
      <c r="E39" s="30"/>
    </row>
    <row r="40" spans="2:5" x14ac:dyDescent="0.25">
      <c r="B40" s="28"/>
      <c r="C40" s="28"/>
      <c r="D40" s="28"/>
      <c r="E40" s="30"/>
    </row>
    <row r="41" spans="2:5" x14ac:dyDescent="0.25">
      <c r="B41" s="28"/>
      <c r="C41" s="28"/>
      <c r="D41" s="28"/>
      <c r="E41" s="30"/>
    </row>
    <row r="42" spans="2:5" x14ac:dyDescent="0.25">
      <c r="B42" s="28"/>
      <c r="C42" s="28"/>
      <c r="D42" s="28"/>
      <c r="E42" s="30"/>
    </row>
    <row r="43" spans="2:5" x14ac:dyDescent="0.25">
      <c r="B43" s="28"/>
      <c r="C43" s="28"/>
      <c r="D43" s="28"/>
      <c r="E43" s="30"/>
    </row>
    <row r="44" spans="2:5" x14ac:dyDescent="0.25">
      <c r="B44" s="28"/>
      <c r="C44" s="28"/>
      <c r="D44" s="28"/>
      <c r="E44" s="30"/>
    </row>
    <row r="45" spans="2:5" x14ac:dyDescent="0.25">
      <c r="B45" s="28"/>
      <c r="C45" s="28"/>
      <c r="D45" s="28"/>
      <c r="E45" s="30"/>
    </row>
    <row r="46" spans="2:5" x14ac:dyDescent="0.25">
      <c r="B46" s="28"/>
      <c r="C46" s="28"/>
      <c r="D46" s="28"/>
      <c r="E46" s="30"/>
    </row>
    <row r="47" spans="2:5" x14ac:dyDescent="0.25">
      <c r="B47" s="28"/>
      <c r="C47" s="28"/>
      <c r="D47" s="28"/>
      <c r="E47" s="30"/>
    </row>
    <row r="109" spans="1:1" x14ac:dyDescent="0.25">
      <c r="A109" s="16" t="s">
        <v>46</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ClassInformation</vt:lpstr>
      <vt:lpstr>Semester1</vt:lpstr>
      <vt:lpstr>Semester2</vt:lpstr>
      <vt:lpstr>StudentProfile</vt:lpstr>
      <vt:lpstr>AssessmentTemplate</vt:lpstr>
      <vt:lpstr>EOSTemplate</vt:lpstr>
      <vt:lpstr>TemplateInstruction</vt:lpstr>
      <vt:lpstr>GradeScheme</vt:lpstr>
      <vt:lpstr>Changelog</vt:lpstr>
      <vt:lpstr>OVERGrade1</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cp:lastPrinted>2023-03-02T10:28:33Z</cp:lastPrinted>
  <dcterms:created xsi:type="dcterms:W3CDTF">2019-06-24T12:42:24Z</dcterms:created>
  <dcterms:modified xsi:type="dcterms:W3CDTF">2023-05-15T11:41:07Z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