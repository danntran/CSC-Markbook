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1dca33e2598669c1/"/>
    </mc:Choice>
  </mc:AlternateContent>
  <xr:revisionPtr revIDLastSave="3001" documentId="13_ncr:1_{A07AC5BC-974E-4513-A0DB-D07882F6FB79}" xr6:coauthVersionLast="47" xr6:coauthVersionMax="47" xr10:uidLastSave="{8A7A3F0C-C0B6-4D7D-A6F3-88BACD952BA3}"/>
  <bookViews>
    <workbookView xWindow="-120" yWindow="-120" windowWidth="51840" windowHeight="21240" tabRatio="794" activeTab="3" xr2:uid="{819FE5EB-A8BE-46E7-8C57-623FF87BA6E9}"/>
  </bookViews>
  <sheets>
    <sheet name="ClassInformation" sheetId="3" r:id="rId1"/>
    <sheet name="Semester1" sheetId="4" r:id="rId2"/>
    <sheet name="Semester2" sheetId="17" r:id="rId3"/>
    <sheet name="StudentProfile" sheetId="19" r:id="rId4"/>
    <sheet name="AssessmentTemplate" sheetId="14" state="hidden" r:id="rId5"/>
    <sheet name="EOSTemplate" sheetId="18" state="hidden" r:id="rId6"/>
    <sheet name="TemplateInstruction" sheetId="9" r:id="rId7"/>
    <sheet name="GradeScheme" sheetId="2" r:id="rId8"/>
    <sheet name="Changelog" sheetId="11" r:id="rId9"/>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 i="19" l="1"/>
  <c r="B2" i="19"/>
  <c r="AG40" i="14" a="1"/>
  <c r="AG40" i="14" s="1"/>
  <c r="A40" i="17" l="1"/>
  <c r="A39" i="17"/>
  <c r="A38" i="17"/>
  <c r="A37" i="17"/>
  <c r="A36" i="17"/>
  <c r="A32" i="17"/>
  <c r="A33" i="17"/>
  <c r="A34" i="17"/>
  <c r="A35" i="17"/>
  <c r="A31" i="17"/>
  <c r="A30" i="17"/>
  <c r="A29" i="17"/>
  <c r="A28" i="17"/>
  <c r="A27" i="17"/>
  <c r="A26" i="17"/>
  <c r="A25" i="17"/>
  <c r="A24" i="17"/>
  <c r="A23" i="17"/>
  <c r="A22" i="17"/>
  <c r="A21" i="17"/>
  <c r="A20" i="17"/>
  <c r="A19" i="17"/>
  <c r="A18" i="17"/>
  <c r="A17" i="17"/>
  <c r="A16" i="17"/>
  <c r="A15" i="17"/>
  <c r="A14" i="17"/>
  <c r="A13" i="17"/>
  <c r="A12" i="17"/>
  <c r="A11" i="17"/>
  <c r="A10" i="17"/>
  <c r="A9" i="17"/>
  <c r="A8" i="17"/>
  <c r="A7" i="17"/>
  <c r="A6" i="17"/>
  <c r="A5" i="17"/>
  <c r="A40" i="4"/>
  <c r="A39" i="4"/>
  <c r="A38" i="4"/>
  <c r="A37" i="4"/>
  <c r="A36" i="4"/>
  <c r="A32" i="4"/>
  <c r="A33" i="4"/>
  <c r="A34" i="4"/>
  <c r="A35" i="4"/>
  <c r="A31" i="4"/>
  <c r="A30" i="4"/>
  <c r="A29" i="4"/>
  <c r="A28" i="4"/>
  <c r="A27" i="4"/>
  <c r="A26" i="4"/>
  <c r="A25" i="4"/>
  <c r="A24" i="4"/>
  <c r="A23" i="4"/>
  <c r="A22" i="4"/>
  <c r="A21" i="4"/>
  <c r="A20" i="4"/>
  <c r="A19" i="4"/>
  <c r="A18" i="4"/>
  <c r="A17" i="4"/>
  <c r="A16" i="4"/>
  <c r="A15" i="4"/>
  <c r="A14" i="4"/>
  <c r="A13" i="4"/>
  <c r="A12" i="4"/>
  <c r="A11" i="4"/>
  <c r="A10" i="4"/>
  <c r="A9" i="4"/>
  <c r="A8" i="4"/>
  <c r="A7" i="4"/>
  <c r="A6" i="4"/>
  <c r="A5" i="4"/>
  <c r="B2" i="3" l="1"/>
  <c r="AA6" i="14" a="1"/>
  <c r="AA5" i="14" a="1"/>
  <c r="U5" i="14" a="1"/>
  <c r="AA5" i="14" l="1"/>
  <c r="AA6" i="14"/>
  <c r="U5" i="14"/>
  <c r="AB3" i="14"/>
  <c r="Y3" i="14"/>
  <c r="V3" i="14"/>
  <c r="U4" i="14"/>
  <c r="AA4" i="14"/>
  <c r="X4" i="14"/>
  <c r="AA3" i="14"/>
  <c r="U26" i="14" a="1"/>
  <c r="U34" i="14" a="1"/>
  <c r="X26" i="14" a="1"/>
  <c r="X27" i="14" a="1"/>
  <c r="U24" i="14" a="1"/>
  <c r="AA31" i="14" a="1"/>
  <c r="AA21" i="14" a="1"/>
  <c r="X8" i="14" a="1"/>
  <c r="U31" i="14" a="1"/>
  <c r="X37" i="14" a="1"/>
  <c r="AA32" i="14" a="1"/>
  <c r="X12" i="14" a="1"/>
  <c r="U20" i="14" a="1"/>
  <c r="AA29" i="14" a="1"/>
  <c r="X30" i="14" a="1"/>
  <c r="X34" i="14" a="1"/>
  <c r="AA12" i="14" a="1"/>
  <c r="AA33" i="14" a="1"/>
  <c r="X9" i="14" a="1"/>
  <c r="X6" i="14" a="1"/>
  <c r="AA36" i="14" a="1"/>
  <c r="AA20" i="14" a="1"/>
  <c r="U29" i="14" a="1"/>
  <c r="X29" i="14" a="1"/>
  <c r="U40" i="14" a="1"/>
  <c r="U28" i="14" a="1"/>
  <c r="U38" i="14" a="1"/>
  <c r="U7" i="14" a="1"/>
  <c r="AA19" i="14" a="1"/>
  <c r="AA40" i="14" a="1"/>
  <c r="X10" i="14" a="1"/>
  <c r="AA14" i="14" a="1"/>
  <c r="U6" i="14" a="1"/>
  <c r="U36" i="14" a="1"/>
  <c r="U23" i="14" a="1"/>
  <c r="U15" i="14" a="1"/>
  <c r="X36" i="14" a="1"/>
  <c r="U8" i="14" a="1"/>
  <c r="AA28" i="14" a="1"/>
  <c r="X5" i="14" a="1"/>
  <c r="AA35" i="14" a="1"/>
  <c r="AA34" i="14" a="1"/>
  <c r="AA13" i="14" a="1"/>
  <c r="U25" i="14" a="1"/>
  <c r="U27" i="14" a="1"/>
  <c r="U18" i="14" a="1"/>
  <c r="X28" i="14" a="1"/>
  <c r="X32" i="14" a="1"/>
  <c r="X19" i="14" a="1"/>
  <c r="U12" i="14" a="1"/>
  <c r="X7" i="14" a="1"/>
  <c r="AA25" i="14" a="1"/>
  <c r="X25" i="14" a="1"/>
  <c r="X21" i="14" a="1"/>
  <c r="X31" i="14" a="1"/>
  <c r="AA16" i="14" a="1"/>
  <c r="X39" i="14" a="1"/>
  <c r="X38" i="14" a="1"/>
  <c r="X33" i="14" a="1"/>
  <c r="U30" i="14" a="1"/>
  <c r="AA15" i="14" a="1"/>
  <c r="AA10" i="14" a="1"/>
  <c r="AA18" i="14" a="1"/>
  <c r="X22" i="14" a="1"/>
  <c r="AA22" i="14" a="1"/>
  <c r="AA26" i="14" a="1"/>
  <c r="U33" i="14" a="1"/>
  <c r="U37" i="14" a="1"/>
  <c r="U10" i="14" a="1"/>
  <c r="U16" i="14" a="1"/>
  <c r="X24" i="14" a="1"/>
  <c r="X13" i="14" a="1"/>
  <c r="X18" i="14" a="1"/>
  <c r="AA23" i="14" a="1"/>
  <c r="U17" i="14" a="1"/>
  <c r="X14" i="14" a="1"/>
  <c r="AA17" i="14" a="1"/>
  <c r="X35" i="14" a="1"/>
  <c r="X16" i="14" a="1"/>
  <c r="U9" i="14" a="1"/>
  <c r="U35" i="14" a="1"/>
  <c r="AA27" i="14" a="1"/>
  <c r="U13" i="14" a="1"/>
  <c r="AA9" i="14" a="1"/>
  <c r="X15" i="14" a="1"/>
  <c r="X20" i="14" a="1"/>
  <c r="X17" i="14" a="1"/>
  <c r="AA11" i="14" a="1"/>
  <c r="AA30" i="14" a="1"/>
  <c r="U11" i="14" a="1"/>
  <c r="X11" i="14" a="1"/>
  <c r="U39" i="14" a="1"/>
  <c r="X40" i="14" a="1"/>
  <c r="AA39" i="14" a="1"/>
  <c r="U19" i="14" a="1"/>
  <c r="U14" i="14" a="1"/>
  <c r="U32" i="14" a="1"/>
  <c r="U22" i="14" a="1"/>
  <c r="U21" i="14" a="1"/>
  <c r="AA7" i="14" a="1"/>
  <c r="AA24" i="14" a="1"/>
  <c r="AA8" i="14" a="1"/>
  <c r="AA38" i="14" a="1"/>
  <c r="AA37" i="14" a="1"/>
  <c r="X23" i="14" a="1"/>
  <c r="U17" i="14" l="1"/>
  <c r="V17" i="14" s="1"/>
  <c r="W17" i="14" s="1" a="1"/>
  <c r="W17" i="14" s="1"/>
  <c r="U38" i="14"/>
  <c r="V38" i="14" s="1"/>
  <c r="W38" i="14" s="1" a="1"/>
  <c r="W38" i="14" s="1"/>
  <c r="U39" i="14"/>
  <c r="V39" i="14" s="1"/>
  <c r="W39" i="14" s="1" a="1"/>
  <c r="W39" i="14" s="1"/>
  <c r="U8" i="14"/>
  <c r="V8" i="14" s="1"/>
  <c r="W8" i="14" s="1" a="1"/>
  <c r="W8" i="14" s="1"/>
  <c r="U24" i="14"/>
  <c r="V24" i="14" s="1"/>
  <c r="W24" i="14" s="1" a="1"/>
  <c r="W24" i="14" s="1"/>
  <c r="U14" i="14"/>
  <c r="V14" i="14" s="1"/>
  <c r="W14" i="14" s="1" a="1"/>
  <c r="W14" i="14" s="1"/>
  <c r="U20" i="14"/>
  <c r="V20" i="14" s="1"/>
  <c r="W20" i="14" s="1" a="1"/>
  <c r="W20" i="14" s="1"/>
  <c r="U26" i="14"/>
  <c r="V26" i="14" s="1"/>
  <c r="W26" i="14" s="1" a="1"/>
  <c r="W26" i="14" s="1"/>
  <c r="U29" i="14"/>
  <c r="V29" i="14" s="1"/>
  <c r="W29" i="14" s="1" a="1"/>
  <c r="W29" i="14" s="1"/>
  <c r="U32" i="14"/>
  <c r="V32" i="14" s="1"/>
  <c r="W32" i="14" s="1" a="1"/>
  <c r="W32" i="14" s="1"/>
  <c r="U35" i="14"/>
  <c r="V35" i="14" s="1"/>
  <c r="W35" i="14" s="1" a="1"/>
  <c r="W35" i="14" s="1"/>
  <c r="U6" i="14"/>
  <c r="V6" i="14" s="1"/>
  <c r="W6" i="14" s="1" a="1"/>
  <c r="W6" i="14" s="1"/>
  <c r="U9" i="14"/>
  <c r="V9" i="14" s="1"/>
  <c r="W9" i="14" s="1" a="1"/>
  <c r="W9" i="14" s="1"/>
  <c r="U12" i="14"/>
  <c r="V12" i="14" s="1"/>
  <c r="W12" i="14" s="1" a="1"/>
  <c r="W12" i="14" s="1"/>
  <c r="U15" i="14"/>
  <c r="V15" i="14" s="1"/>
  <c r="W15" i="14" s="1" a="1"/>
  <c r="W15" i="14" s="1"/>
  <c r="U18" i="14"/>
  <c r="V18" i="14" s="1"/>
  <c r="W18" i="14" s="1" a="1"/>
  <c r="W18" i="14" s="1"/>
  <c r="U21" i="14"/>
  <c r="V21" i="14" s="1"/>
  <c r="W21" i="14" s="1" a="1"/>
  <c r="W21" i="14" s="1"/>
  <c r="U27" i="14"/>
  <c r="V27" i="14" s="1"/>
  <c r="W27" i="14" s="1" a="1"/>
  <c r="W27" i="14" s="1"/>
  <c r="U30" i="14"/>
  <c r="V30" i="14" s="1"/>
  <c r="W30" i="14" s="1" a="1"/>
  <c r="W30" i="14" s="1"/>
  <c r="U36" i="14"/>
  <c r="V36" i="14" s="1"/>
  <c r="W36" i="14" s="1" a="1"/>
  <c r="W36" i="14" s="1"/>
  <c r="U7" i="14"/>
  <c r="V7" i="14" s="1"/>
  <c r="W7" i="14" s="1" a="1"/>
  <c r="W7" i="14" s="1"/>
  <c r="U10" i="14"/>
  <c r="V10" i="14" s="1"/>
  <c r="W10" i="14" s="1" a="1"/>
  <c r="W10" i="14" s="1"/>
  <c r="U13" i="14"/>
  <c r="V13" i="14" s="1"/>
  <c r="W13" i="14" s="1" a="1"/>
  <c r="W13" i="14" s="1"/>
  <c r="U16" i="14"/>
  <c r="V16" i="14" s="1"/>
  <c r="W16" i="14" s="1" a="1"/>
  <c r="W16" i="14" s="1"/>
  <c r="U19" i="14"/>
  <c r="V19" i="14" s="1"/>
  <c r="W19" i="14" s="1" a="1"/>
  <c r="W19" i="14" s="1"/>
  <c r="U22" i="14"/>
  <c r="V22" i="14" s="1"/>
  <c r="W22" i="14" s="1" a="1"/>
  <c r="W22" i="14" s="1"/>
  <c r="U25" i="14"/>
  <c r="V25" i="14" s="1"/>
  <c r="W25" i="14" s="1" a="1"/>
  <c r="W25" i="14" s="1"/>
  <c r="U28" i="14"/>
  <c r="V28" i="14" s="1"/>
  <c r="W28" i="14" s="1" a="1"/>
  <c r="W28" i="14" s="1"/>
  <c r="U31" i="14"/>
  <c r="V31" i="14" s="1"/>
  <c r="W31" i="14" s="1" a="1"/>
  <c r="W31" i="14" s="1"/>
  <c r="U34" i="14"/>
  <c r="V34" i="14" s="1"/>
  <c r="W34" i="14" s="1" a="1"/>
  <c r="W34" i="14" s="1"/>
  <c r="U37" i="14"/>
  <c r="V37" i="14" s="1"/>
  <c r="W37" i="14" s="1" a="1"/>
  <c r="W37" i="14" s="1"/>
  <c r="U40" i="14"/>
  <c r="U11" i="14"/>
  <c r="V11" i="14" s="1"/>
  <c r="W11" i="14" s="1" a="1"/>
  <c r="W11" i="14" s="1"/>
  <c r="U23" i="14"/>
  <c r="V23" i="14" s="1"/>
  <c r="W23" i="14" s="1" a="1"/>
  <c r="W23" i="14" s="1"/>
  <c r="U33" i="14"/>
  <c r="V33" i="14" s="1"/>
  <c r="W33" i="14" s="1" a="1"/>
  <c r="W33" i="14" s="1"/>
  <c r="X8" i="14"/>
  <c r="Y8" i="14" s="1"/>
  <c r="Z8" i="14" s="1" a="1"/>
  <c r="Z8" i="14" s="1"/>
  <c r="X23" i="14"/>
  <c r="Y23" i="14" s="1"/>
  <c r="Z23" i="14" s="1" a="1"/>
  <c r="Z23" i="14" s="1"/>
  <c r="X32" i="14"/>
  <c r="Y32" i="14" s="1"/>
  <c r="Z32" i="14" s="1" a="1"/>
  <c r="Z32" i="14" s="1"/>
  <c r="X9" i="14"/>
  <c r="Y9" i="14" s="1"/>
  <c r="Z9" i="14" s="1" a="1"/>
  <c r="Z9" i="14" s="1"/>
  <c r="X12" i="14"/>
  <c r="Y12" i="14" s="1"/>
  <c r="Z12" i="14" s="1" a="1"/>
  <c r="Z12" i="14" s="1"/>
  <c r="X15" i="14"/>
  <c r="Y15" i="14" s="1"/>
  <c r="Z15" i="14" s="1" a="1"/>
  <c r="Z15" i="14" s="1"/>
  <c r="X18" i="14"/>
  <c r="Y18" i="14" s="1"/>
  <c r="Z18" i="14" s="1" a="1"/>
  <c r="Z18" i="14" s="1"/>
  <c r="X24" i="14"/>
  <c r="Y24" i="14" s="1"/>
  <c r="Z24" i="14" s="1" a="1"/>
  <c r="Z24" i="14" s="1"/>
  <c r="X27" i="14"/>
  <c r="Y27" i="14" s="1"/>
  <c r="Z27" i="14" s="1" a="1"/>
  <c r="Z27" i="14" s="1"/>
  <c r="X30" i="14"/>
  <c r="Y30" i="14" s="1"/>
  <c r="Z30" i="14" s="1" a="1"/>
  <c r="Z30" i="14" s="1"/>
  <c r="X33" i="14"/>
  <c r="Y33" i="14" s="1"/>
  <c r="Z33" i="14" s="1" a="1"/>
  <c r="Z33" i="14" s="1"/>
  <c r="X36" i="14"/>
  <c r="Y36" i="14" s="1"/>
  <c r="Z36" i="14" s="1" a="1"/>
  <c r="Z36" i="14" s="1"/>
  <c r="X39" i="14"/>
  <c r="Y39" i="14" s="1"/>
  <c r="Z39" i="14" s="1" a="1"/>
  <c r="Z39" i="14" s="1"/>
  <c r="X11" i="14"/>
  <c r="Y11" i="14" s="1"/>
  <c r="Z11" i="14" s="1" a="1"/>
  <c r="Z11" i="14" s="1"/>
  <c r="X14" i="14"/>
  <c r="Y14" i="14" s="1"/>
  <c r="Z14" i="14" s="1" a="1"/>
  <c r="Z14" i="14" s="1"/>
  <c r="X20" i="14"/>
  <c r="Y20" i="14" s="1"/>
  <c r="Z20" i="14" s="1" a="1"/>
  <c r="Z20" i="14" s="1"/>
  <c r="X29" i="14"/>
  <c r="Y29" i="14" s="1"/>
  <c r="Z29" i="14" s="1" a="1"/>
  <c r="Z29" i="14" s="1"/>
  <c r="X38" i="14"/>
  <c r="Y38" i="14" s="1"/>
  <c r="Z38" i="14" s="1" a="1"/>
  <c r="Z38" i="14" s="1"/>
  <c r="X6" i="14"/>
  <c r="X21" i="14"/>
  <c r="Y21" i="14" s="1"/>
  <c r="Z21" i="14" s="1" a="1"/>
  <c r="Z21" i="14" s="1"/>
  <c r="X17" i="14"/>
  <c r="Y17" i="14" s="1"/>
  <c r="Z17" i="14" s="1" a="1"/>
  <c r="Z17" i="14" s="1"/>
  <c r="X35" i="14"/>
  <c r="Y35" i="14" s="1"/>
  <c r="Z35" i="14" s="1" a="1"/>
  <c r="Z35" i="14" s="1"/>
  <c r="X7" i="14"/>
  <c r="Y7" i="14" s="1"/>
  <c r="Z7" i="14" s="1" a="1"/>
  <c r="Z7" i="14" s="1"/>
  <c r="X10" i="14"/>
  <c r="Y10" i="14" s="1"/>
  <c r="Z10" i="14" s="1" a="1"/>
  <c r="Z10" i="14" s="1"/>
  <c r="X16" i="14"/>
  <c r="Y16" i="14" s="1"/>
  <c r="Z16" i="14" s="1" a="1"/>
  <c r="Z16" i="14" s="1"/>
  <c r="X19" i="14"/>
  <c r="Y19" i="14" s="1"/>
  <c r="Z19" i="14" s="1" a="1"/>
  <c r="Z19" i="14" s="1"/>
  <c r="X22" i="14"/>
  <c r="Y22" i="14" s="1"/>
  <c r="Z22" i="14" s="1" a="1"/>
  <c r="Z22" i="14" s="1"/>
  <c r="X25" i="14"/>
  <c r="Y25" i="14" s="1"/>
  <c r="Z25" i="14" s="1" a="1"/>
  <c r="Z25" i="14" s="1"/>
  <c r="X28" i="14"/>
  <c r="Y28" i="14" s="1"/>
  <c r="Z28" i="14" s="1" a="1"/>
  <c r="Z28" i="14" s="1"/>
  <c r="X31" i="14"/>
  <c r="Y31" i="14" s="1"/>
  <c r="Z31" i="14" s="1" a="1"/>
  <c r="Z31" i="14" s="1"/>
  <c r="X34" i="14"/>
  <c r="Y34" i="14" s="1"/>
  <c r="Z34" i="14" s="1" a="1"/>
  <c r="Z34" i="14" s="1"/>
  <c r="X37" i="14"/>
  <c r="Y37" i="14" s="1"/>
  <c r="Z37" i="14" s="1" a="1"/>
  <c r="Z37" i="14" s="1"/>
  <c r="X40" i="14"/>
  <c r="Y40" i="14" s="1"/>
  <c r="Z40" i="14" s="1" a="1"/>
  <c r="Z40" i="14" s="1"/>
  <c r="X26" i="14"/>
  <c r="Y26" i="14" s="1"/>
  <c r="Z26" i="14" s="1" a="1"/>
  <c r="Z26" i="14" s="1"/>
  <c r="X13" i="14"/>
  <c r="Y13" i="14" s="1"/>
  <c r="Z13" i="14" s="1" a="1"/>
  <c r="Z13" i="14" s="1"/>
  <c r="X5" i="14"/>
  <c r="AB5" i="14"/>
  <c r="AC5" i="14" s="1" a="1"/>
  <c r="AA10" i="14"/>
  <c r="AA40" i="14"/>
  <c r="AA34" i="14"/>
  <c r="AA28" i="14"/>
  <c r="AA22" i="14"/>
  <c r="AA16" i="14"/>
  <c r="AA36" i="14"/>
  <c r="AA27" i="14"/>
  <c r="AA9" i="14"/>
  <c r="AA37" i="14"/>
  <c r="AA31" i="14"/>
  <c r="AA25" i="14"/>
  <c r="AA19" i="14"/>
  <c r="AA13" i="14"/>
  <c r="AA39" i="14"/>
  <c r="AA33" i="14"/>
  <c r="AA30" i="14"/>
  <c r="AA24" i="14"/>
  <c r="AA21" i="14"/>
  <c r="AA18" i="14"/>
  <c r="AA15" i="14"/>
  <c r="AA12" i="14"/>
  <c r="AA38" i="14"/>
  <c r="AA35" i="14"/>
  <c r="AA32" i="14"/>
  <c r="AA29" i="14"/>
  <c r="AA26" i="14"/>
  <c r="AA23" i="14"/>
  <c r="AA20" i="14"/>
  <c r="AA17" i="14"/>
  <c r="AA14" i="14"/>
  <c r="AA11" i="14"/>
  <c r="AA8" i="14"/>
  <c r="AA7" i="14"/>
  <c r="AB7" i="14" s="1"/>
  <c r="AC7" i="14" s="1" a="1"/>
  <c r="AC7" i="14" s="1"/>
  <c r="A1" i="17"/>
  <c r="AD7" i="14" a="1"/>
  <c r="AC5" i="14" l="1"/>
  <c r="V40" i="14"/>
  <c r="W40" i="14" a="1"/>
  <c r="W40" i="14" s="1"/>
  <c r="AB9" i="14"/>
  <c r="AC9" i="14" s="1" a="1"/>
  <c r="AC9" i="14" s="1"/>
  <c r="AB15" i="14"/>
  <c r="AC15" i="14" s="1" a="1"/>
  <c r="AC15" i="14" s="1"/>
  <c r="AB12" i="14"/>
  <c r="AC12" i="14" s="1" a="1"/>
  <c r="AC12" i="14" s="1"/>
  <c r="AB8" i="14"/>
  <c r="AC8" i="14" s="1" a="1"/>
  <c r="AC8" i="14" s="1"/>
  <c r="AB6" i="14"/>
  <c r="AC6" i="14" s="1" a="1"/>
  <c r="AC6" i="14" s="1"/>
  <c r="AB39" i="14"/>
  <c r="AC39" i="14" s="1" a="1"/>
  <c r="AC39" i="14" s="1"/>
  <c r="AB34" i="14"/>
  <c r="AC34" i="14" s="1" a="1"/>
  <c r="AC34" i="14" s="1"/>
  <c r="AB33" i="14"/>
  <c r="AC33" i="14" s="1" a="1"/>
  <c r="AC33" i="14" s="1"/>
  <c r="AB26" i="14"/>
  <c r="AC26" i="14" s="1" a="1"/>
  <c r="AC26" i="14" s="1"/>
  <c r="AB31" i="14"/>
  <c r="AC31" i="14" s="1" a="1"/>
  <c r="AC31" i="14" s="1"/>
  <c r="AB28" i="14"/>
  <c r="AC28" i="14" s="1" a="1"/>
  <c r="AC28" i="14" s="1"/>
  <c r="AB35" i="14"/>
  <c r="AC35" i="14" s="1" a="1"/>
  <c r="AC35" i="14" s="1"/>
  <c r="AB40" i="14"/>
  <c r="AC40" i="14" s="1" a="1"/>
  <c r="AC40" i="14" s="1"/>
  <c r="AB27" i="14"/>
  <c r="AC27" i="14" s="1" a="1"/>
  <c r="AC27" i="14" s="1"/>
  <c r="AB13" i="14"/>
  <c r="AC13" i="14" s="1" a="1"/>
  <c r="AC13" i="14" s="1"/>
  <c r="AB11" i="14"/>
  <c r="AC11" i="14" s="1" a="1"/>
  <c r="AC11" i="14" s="1"/>
  <c r="AB10" i="14"/>
  <c r="AC10" i="14" s="1" a="1"/>
  <c r="AC10" i="14" s="1"/>
  <c r="AB38" i="14"/>
  <c r="AC38" i="14" s="1" a="1"/>
  <c r="AC38" i="14" s="1"/>
  <c r="AB22" i="14"/>
  <c r="AC22" i="14" s="1" a="1"/>
  <c r="AC22" i="14" s="1"/>
  <c r="AB23" i="14"/>
  <c r="AC23" i="14" s="1" a="1"/>
  <c r="AC23" i="14" s="1"/>
  <c r="AB24" i="14"/>
  <c r="AC24" i="14" s="1" a="1"/>
  <c r="AC24" i="14" s="1"/>
  <c r="AB36" i="14"/>
  <c r="AC36" i="14" s="1" a="1"/>
  <c r="AC36" i="14" s="1"/>
  <c r="AB20" i="14"/>
  <c r="AC20" i="14" s="1" a="1"/>
  <c r="AC20" i="14" s="1"/>
  <c r="AB37" i="14"/>
  <c r="AC37" i="14" s="1" a="1"/>
  <c r="AC37" i="14" s="1"/>
  <c r="AB21" i="14"/>
  <c r="AC21" i="14" s="1" a="1"/>
  <c r="AC21" i="14" s="1"/>
  <c r="AB32" i="14"/>
  <c r="AC32" i="14" s="1" a="1"/>
  <c r="AC32" i="14" s="1"/>
  <c r="AB19" i="14"/>
  <c r="AC19" i="14" s="1" a="1"/>
  <c r="AC19" i="14" s="1"/>
  <c r="AB30" i="14"/>
  <c r="AC30" i="14" s="1" a="1"/>
  <c r="AC30" i="14" s="1"/>
  <c r="AB18" i="14"/>
  <c r="AC18" i="14" s="1" a="1"/>
  <c r="AC18" i="14" s="1"/>
  <c r="AB29" i="14"/>
  <c r="AC29" i="14" s="1" a="1"/>
  <c r="AC29" i="14" s="1"/>
  <c r="AB17" i="14"/>
  <c r="AC17" i="14" s="1" a="1"/>
  <c r="AC17" i="14" s="1"/>
  <c r="AB16" i="14"/>
  <c r="AC16" i="14" s="1" a="1"/>
  <c r="AC16" i="14" s="1"/>
  <c r="AB14" i="14"/>
  <c r="AC14" i="14" s="1" a="1"/>
  <c r="AC14" i="14" s="1"/>
  <c r="AB25" i="14"/>
  <c r="AC25" i="14" s="1" a="1"/>
  <c r="AC25" i="14" s="1"/>
  <c r="AD7" i="14"/>
  <c r="AF7" i="14" s="1" a="1"/>
  <c r="AF7" i="14" s="1"/>
  <c r="AD19" i="14" a="1"/>
  <c r="AD40" i="14" a="1"/>
  <c r="AD24" i="14" a="1"/>
  <c r="AD37" i="14" a="1"/>
  <c r="AD20" i="14" a="1"/>
  <c r="AD23" i="14" a="1"/>
  <c r="AD31" i="14" a="1"/>
  <c r="AD22" i="14" a="1"/>
  <c r="AD34" i="14" a="1"/>
  <c r="AD35" i="14" a="1"/>
  <c r="AD10" i="14" a="1"/>
  <c r="AD17" i="14" a="1"/>
  <c r="AD14" i="14" a="1"/>
  <c r="AD12" i="14" a="1"/>
  <c r="AD27" i="14" a="1"/>
  <c r="AD8" i="14" a="1"/>
  <c r="AD32" i="14" a="1"/>
  <c r="AD11" i="14" a="1"/>
  <c r="AD39" i="14" a="1"/>
  <c r="AD28" i="14" a="1"/>
  <c r="AD13" i="14" a="1"/>
  <c r="AD9" i="14" a="1"/>
  <c r="AD16" i="14" a="1"/>
  <c r="AD26" i="14" a="1"/>
  <c r="AD21" i="14" a="1"/>
  <c r="AD15" i="14" a="1"/>
  <c r="AD25" i="14" a="1"/>
  <c r="AD36" i="14" a="1"/>
  <c r="AD33" i="14" a="1"/>
  <c r="AD29" i="14" a="1"/>
  <c r="AD30" i="14" a="1"/>
  <c r="AD18" i="14" a="1"/>
  <c r="AD38" i="14" a="1"/>
  <c r="AD8" i="14" l="1"/>
  <c r="AF8" i="14" s="1" a="1"/>
  <c r="AF8" i="14" s="1"/>
  <c r="AD15" i="14"/>
  <c r="AF15" i="14" s="1" a="1"/>
  <c r="AF15" i="14" s="1"/>
  <c r="AD9" i="14"/>
  <c r="AF9" i="14" s="1" a="1"/>
  <c r="AF9" i="14" s="1"/>
  <c r="AD39" i="14"/>
  <c r="AF39" i="14" s="1" a="1"/>
  <c r="AF39" i="14" s="1"/>
  <c r="AD12" i="14"/>
  <c r="AF12" i="14" s="1" a="1"/>
  <c r="AF12" i="14" s="1"/>
  <c r="AD31" i="14"/>
  <c r="AF31" i="14" s="1" a="1"/>
  <c r="AF31" i="14" s="1"/>
  <c r="AD26" i="14"/>
  <c r="AF26" i="14" s="1" a="1"/>
  <c r="AF26" i="14" s="1"/>
  <c r="AD33" i="14"/>
  <c r="AF33" i="14" s="1" a="1"/>
  <c r="AF33" i="14" s="1"/>
  <c r="AD34" i="14"/>
  <c r="AF34" i="14" s="1" a="1"/>
  <c r="AF34" i="14" s="1"/>
  <c r="AD40" i="14"/>
  <c r="AF40" i="14" s="1" a="1"/>
  <c r="AF40" i="14" s="1"/>
  <c r="AD35" i="14"/>
  <c r="AF35" i="14" s="1" a="1"/>
  <c r="AF35" i="14" s="1"/>
  <c r="AD28" i="14"/>
  <c r="AF28" i="14" s="1" a="1"/>
  <c r="AF28" i="14" s="1"/>
  <c r="AD11" i="14"/>
  <c r="AF11" i="14" s="1" a="1"/>
  <c r="AF11" i="14" s="1"/>
  <c r="AD13" i="14"/>
  <c r="AF13" i="14" s="1" a="1"/>
  <c r="AF13" i="14" s="1"/>
  <c r="AD27" i="14"/>
  <c r="AF27" i="14" s="1" a="1"/>
  <c r="AF27" i="14" s="1"/>
  <c r="AD38" i="14"/>
  <c r="AF38" i="14" s="1" a="1"/>
  <c r="AF38" i="14" s="1"/>
  <c r="AD36" i="14"/>
  <c r="AF36" i="14" s="1" a="1"/>
  <c r="AF36" i="14" s="1"/>
  <c r="AD24" i="14"/>
  <c r="AF24" i="14" s="1" a="1"/>
  <c r="AF24" i="14" s="1"/>
  <c r="AD23" i="14"/>
  <c r="AF23" i="14" s="1" a="1"/>
  <c r="AF23" i="14" s="1"/>
  <c r="AD22" i="14"/>
  <c r="AF22" i="14" s="1" a="1"/>
  <c r="AF22" i="14" s="1"/>
  <c r="AD37" i="14"/>
  <c r="AF37" i="14" s="1" a="1"/>
  <c r="AF37" i="14" s="1"/>
  <c r="AD20" i="14"/>
  <c r="AF20" i="14" s="1" a="1"/>
  <c r="AF20" i="14" s="1"/>
  <c r="AD10" i="14"/>
  <c r="AF10" i="14" s="1" a="1"/>
  <c r="AF10" i="14" s="1"/>
  <c r="AD29" i="14"/>
  <c r="AF29" i="14" s="1" a="1"/>
  <c r="AF29" i="14" s="1"/>
  <c r="AD25" i="14"/>
  <c r="AF25" i="14" s="1" a="1"/>
  <c r="AF25" i="14" s="1"/>
  <c r="AD30" i="14"/>
  <c r="AF30" i="14" s="1" a="1"/>
  <c r="AF30" i="14" s="1"/>
  <c r="AD19" i="14"/>
  <c r="AF19" i="14" s="1" a="1"/>
  <c r="AF19" i="14" s="1"/>
  <c r="AD18" i="14"/>
  <c r="AF18" i="14" s="1" a="1"/>
  <c r="AF18" i="14" s="1"/>
  <c r="AD14" i="14"/>
  <c r="AF14" i="14" s="1" a="1"/>
  <c r="AF14" i="14" s="1"/>
  <c r="AD16" i="14"/>
  <c r="AF16" i="14" s="1" a="1"/>
  <c r="AF16" i="14" s="1"/>
  <c r="AD32" i="14"/>
  <c r="AF32" i="14" s="1" a="1"/>
  <c r="AF32" i="14" s="1"/>
  <c r="AD17" i="14"/>
  <c r="AF17" i="14" s="1" a="1"/>
  <c r="AF17" i="14" s="1"/>
  <c r="AD21" i="14"/>
  <c r="AF21" i="14" s="1" a="1"/>
  <c r="AF21" i="14" s="1"/>
  <c r="P40" i="9"/>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TLM7" i="4"/>
  <c r="TLM8" i="4"/>
  <c r="TLM9" i="4"/>
  <c r="TLM10" i="4"/>
  <c r="TLM12" i="4"/>
  <c r="TLM13" i="4"/>
  <c r="TLM14" i="4"/>
  <c r="TLM16" i="4"/>
  <c r="TLM17" i="4"/>
  <c r="TLM18" i="4"/>
  <c r="TLM19" i="4"/>
  <c r="TLM20" i="4"/>
  <c r="TLM21" i="4"/>
  <c r="TLM22" i="4"/>
  <c r="TLM23" i="4"/>
  <c r="TLM24" i="4"/>
  <c r="TLM25" i="4"/>
  <c r="TLM26" i="4"/>
  <c r="TLM27" i="4"/>
  <c r="TLM30" i="4"/>
  <c r="TLM31" i="4"/>
  <c r="TLM35" i="4"/>
  <c r="TLM34" i="4"/>
  <c r="TLM33" i="4"/>
  <c r="TLM15" i="4"/>
  <c r="TLM5" i="4"/>
  <c r="TLM29" i="4"/>
  <c r="TLM28" i="4"/>
  <c r="TLM11" i="4"/>
  <c r="TLM32" i="4"/>
  <c r="TLM36" i="4"/>
  <c r="TLM37" i="4"/>
  <c r="TLM38" i="4"/>
  <c r="TLM39" i="4"/>
  <c r="TLM40" i="4"/>
  <c r="TLM6" i="4"/>
  <c r="A1"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X3" i="14"/>
  <c r="U3" i="14"/>
  <c r="Y5" i="14" l="1"/>
  <c r="Z5" i="14" s="1" a="1"/>
  <c r="Z5" i="14" s="1"/>
  <c r="Y6" i="14"/>
  <c r="Z6" i="14" s="1" a="1"/>
  <c r="Z6" i="14" s="1"/>
  <c r="V5" i="14"/>
  <c r="W5" i="14" s="1" a="1"/>
  <c r="W5" i="14" s="1"/>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AD5" i="14" a="1"/>
  <c r="AD6" i="14" a="1"/>
  <c r="AD6" i="14" l="1"/>
  <c r="AF6" i="14" s="1" a="1"/>
  <c r="AF6" i="14" s="1"/>
  <c r="AD5" i="14"/>
  <c r="AF5" i="14" a="1"/>
  <c r="AF5" i="1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<sst xmlns="http://schemas.openxmlformats.org/spreadsheetml/2006/main" count="395" uniqueCount="141">
  <si>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</si>
  <si>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</si>
  <si>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</si>
  <si>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</si>
  <si>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</si>
  <si>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</si>
  <si>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</si>
  <si>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</si>
  <si>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</si>
  <si>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</si>
  <si>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</si>
  <si>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</si>
  <si>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</si>
  <si>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</si>
  <si>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</si>
  <si>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</si>
  <si>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</si>
  <si>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</si>
  <si>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</si>
  <si>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</si>
  <si>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</si>
  <si>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</si>
  <si>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</si>
  <si>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</si>
  <si>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</si>
  <si>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</si>
  <si>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</si>
  <si>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</si>
  <si>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</si>
  <si>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</si>
  <si>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</si>
  <si>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</si>
  <si>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</si>
  <si>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</si>
  <si>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</si>
  <si>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</si>
  <si>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</si>
  <si>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</si>
  <si>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</si>
  <si>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</si>
  <si>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</si>
  <si>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</si>
  <si>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</si>
  <si>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</si>
  <si>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</si>
  <si>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</si>
  <si>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</si>
  <si>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</si>
  <si>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</si>
  <si>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</si>
  <si>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</si>
  <si>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</si>
  <si>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</si>
  <si>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</si>
  <si>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</si>
  <si>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</si>
  <si>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</si>
  <si>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</si>
  <si>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</si>
  <si>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</si>
  <si>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</si>
  <si>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</si>
  <si>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</si>
  <si>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</si>
  <si>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</si>
  <si>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</si>
  <si>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</si>
  <si>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</si>
  <si>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</si>
  <si>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</si>
  <si>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</si>
  <si>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</si>
  <si>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</si>
  <si>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</si>
  <si>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</si>
  <si>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</si>
  <si>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</si>
  <si>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</si>
  <si>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</si>
  <si>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</si>
  <si>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</si>
  <si>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</si>
  <si>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</si>
  <si>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</si>
  <si>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</si>
  <si>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</si>
  <si>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</si>
  <si>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</si>
  <si>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</si>
  <si>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</si>
  <si>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</si>
  <si>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</si>
  <si>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</si>
  <si>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</si>
  <si>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</si>
  <si>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</si>
  <si>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</si>
  <si>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</si>
  <si>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</si>
  <si>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</si>
  <si>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</si>
  <si>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</si>
  <si>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</si>
  <si>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</si>
  <si>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</si>
  <si>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</si>
  <si>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</si>
  <si>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</si>
  <si>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</si>
  <si>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</si>
  <si>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</si>
  <si>
    <t>SU:</t>
  </si>
  <si>
    <t>SHE :</t>
  </si>
  <si>
    <t>SIS :</t>
  </si>
  <si>
    <t>1.11.0</t>
  </si>
  <si>
    <t>Added Functionality to import data from old revisions</t>
  </si>
  <si>
    <t>1.11.1</t>
  </si>
  <si>
    <t>Added Paste Values as Default</t>
  </si>
  <si>
    <t>1.11.2</t>
  </si>
  <si>
    <t>Fixed bug that the Assessment name wouldn't import over. Also added function where the Hide column will hide unused Overall</t>
  </si>
  <si>
    <t>1.11.3</t>
  </si>
  <si>
    <t>Fixed bug where the imported data was importing incorrectly</t>
  </si>
  <si>
    <t>Letter Grade</t>
  </si>
  <si>
    <t>Percentage Grade</t>
  </si>
  <si>
    <t>1.12.0</t>
  </si>
  <si>
    <t>Science</t>
  </si>
  <si>
    <t>Number Grade</t>
  </si>
  <si>
    <t>Assessment</t>
  </si>
  <si>
    <t>Science Understanding</t>
  </si>
  <si>
    <t>Science as a Human Endeavour</t>
  </si>
  <si>
    <t>Science Inquiry Skills</t>
  </si>
  <si>
    <t>Total</t>
  </si>
  <si>
    <t>Student:</t>
  </si>
  <si>
    <t>Lastname</t>
  </si>
  <si>
    <t>Firstname</t>
  </si>
  <si>
    <t>#</t>
  </si>
  <si>
    <t xml:space="preserve">Check </t>
  </si>
  <si>
    <t>Overall:</t>
  </si>
  <si>
    <t>ZZZZZ</t>
  </si>
  <si>
    <t>[Assessment]</t>
  </si>
  <si>
    <t>Optimised Code using AI.
- Added ability to see Individual student mark using the StudentProfile
- Letter Grades can be placed directly in the fields now and will convert them to the 15 point scale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</si>
</sst>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
      <sz val="11"/>
      <color rgb="FF000000"/>
      <name val="Calibri"/>
      <family val="2"/>
    </font>
  </fonts>
  <fills count="18">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105">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
      <left style="thin">
        <color indexed="64"/>
      </left>
      <right/>
      <top style="thin">
        <color rgb="FF7F7F7F"/>
      </top>
      <bottom style="thin">
        <color indexed="64"/>
      </bottom>
      <diagonal/>
    </border>
    <border>
      <left/>
      <right style="thin">
        <color rgb="FF7F7F7F"/>
      </right>
      <top style="thin">
        <color rgb="FF7F7F7F"/>
      </top>
      <bottom style="thin">
        <color indexed="64"/>
      </bottom>
      <diagonal/>
    </border>
    <border>
      <left style="thin">
        <color indexed="64"/>
      </left>
      <right/>
      <top style="thin">
        <color rgb="FF7F7F7F"/>
      </top>
      <bottom style="thin">
        <color rgb="FF7F7F7F"/>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style="thin">
        <color theme="0" tint="-0.24994659260841701"/>
      </top>
      <bottom style="medium">
        <color indexed="64"/>
      </bottom>
      <diagonal/>
    </border>
    <border>
      <left/>
      <right style="medium">
        <color indexed="64"/>
      </right>
      <top style="thin">
        <color theme="0" tint="-0.24994659260841701"/>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67">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3" borderId="21" xfId="0" applyFill="1" applyBorder="1"/>
    <xf numFmtId="0" fontId="0" fillId="3" borderId="22" xfId="0" applyFill="1" applyBorder="1"/>
    <xf numFmtId="0" fontId="4" fillId="3" borderId="10" xfId="0" applyFont="1" applyFill="1" applyBorder="1"/>
    <xf numFmtId="0" fontId="4" fillId="3" borderId="28" xfId="0" applyFont="1" applyFill="1" applyBorder="1" applyAlignment="1">
      <alignment horizontal="center"/>
    </xf>
    <xf numFmtId="0" fontId="4" fillId="3" borderId="29" xfId="0" applyFont="1" applyFill="1" applyBorder="1" applyAlignment="1">
      <alignment horizontal="center"/>
    </xf>
    <xf numFmtId="0" fontId="4" fillId="3" borderId="30" xfId="0" applyFont="1" applyFill="1" applyBorder="1"/>
    <xf numFmtId="0" fontId="0" fillId="0" borderId="36" xfId="0" applyBorder="1" applyAlignment="1">
      <alignment horizontal="center" vertical="center"/>
    </xf>
    <xf numFmtId="9" fontId="0" fillId="0" borderId="0" xfId="4" applyFont="1" applyBorder="1"/>
    <xf numFmtId="0" fontId="0" fillId="0" borderId="39" xfId="0" applyBorder="1"/>
    <xf numFmtId="0" fontId="3" fillId="2" borderId="39" xfId="3" applyBorder="1"/>
    <xf numFmtId="0" fontId="0" fillId="3" borderId="0" xfId="0" applyFill="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4" xfId="0" applyFont="1" applyFill="1" applyBorder="1" applyAlignment="1" applyProtection="1">
      <alignment horizontal="left" vertical="center"/>
      <protection locked="0"/>
    </xf>
    <xf numFmtId="0" fontId="4" fillId="3" borderId="45" xfId="0" applyFont="1" applyFill="1" applyBorder="1" applyAlignment="1" applyProtection="1">
      <alignment horizontal="left" vertical="center"/>
      <protection locked="0"/>
    </xf>
    <xf numFmtId="0" fontId="4" fillId="3" borderId="46"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protection locked="0"/>
    </xf>
    <xf numFmtId="14"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wrapText="1"/>
      <protection locked="0"/>
    </xf>
    <xf numFmtId="0" fontId="0" fillId="3" borderId="42" xfId="0" applyFill="1" applyBorder="1" applyAlignment="1" applyProtection="1">
      <alignment horizontal="left" vertical="center"/>
      <protection locked="0"/>
    </xf>
    <xf numFmtId="14" fontId="0" fillId="3" borderId="42" xfId="0" applyNumberFormat="1" applyFill="1" applyBorder="1" applyAlignment="1" applyProtection="1">
      <alignment horizontal="left" vertical="center"/>
      <protection locked="0"/>
    </xf>
    <xf numFmtId="0" fontId="0" fillId="3" borderId="42" xfId="0" applyFill="1" applyBorder="1" applyAlignment="1" applyProtection="1">
      <alignment horizontal="left" vertical="center" wrapText="1"/>
      <protection locked="0"/>
    </xf>
    <xf numFmtId="0" fontId="0" fillId="3" borderId="0" xfId="0" applyFill="1" applyAlignment="1">
      <alignment wrapText="1"/>
    </xf>
    <xf numFmtId="0" fontId="4" fillId="3" borderId="0" xfId="0" applyFont="1" applyFill="1"/>
    <xf numFmtId="0" fontId="3" fillId="3" borderId="0" xfId="3" applyFill="1" applyBorder="1"/>
    <xf numFmtId="0" fontId="4" fillId="0" borderId="54" xfId="0" applyFont="1" applyBorder="1"/>
    <xf numFmtId="0" fontId="0" fillId="3" borderId="23" xfId="0" applyFill="1" applyBorder="1"/>
    <xf numFmtId="0" fontId="0" fillId="3" borderId="24" xfId="0" applyFill="1" applyBorder="1"/>
    <xf numFmtId="0" fontId="0" fillId="3" borderId="25" xfId="0" applyFill="1" applyBorder="1"/>
    <xf numFmtId="0" fontId="0" fillId="0" borderId="25" xfId="0" applyBorder="1" applyAlignment="1">
      <alignment horizontal="center"/>
    </xf>
    <xf numFmtId="0" fontId="0" fillId="0" borderId="0" xfId="0" applyAlignment="1" applyProtection="1">
      <alignment horizontal="center"/>
      <protection locked="0"/>
    </xf>
    <xf numFmtId="0" fontId="0" fillId="0" borderId="0" xfId="0" applyAlignment="1">
      <alignment horizontal="center"/>
    </xf>
    <xf numFmtId="9" fontId="0" fillId="0" borderId="0" xfId="4" applyFont="1" applyBorder="1" applyAlignment="1">
      <alignment horizontal="center"/>
    </xf>
    <xf numFmtId="0" fontId="0" fillId="0" borderId="21" xfId="0" applyBorder="1" applyAlignment="1">
      <alignment horizontal="center"/>
    </xf>
    <xf numFmtId="164" fontId="0" fillId="0" borderId="57" xfId="0" applyNumberFormat="1" applyBorder="1" applyAlignment="1">
      <alignment horizontal="center" vertical="center"/>
    </xf>
    <xf numFmtId="0" fontId="5" fillId="4" borderId="56" xfId="6" applyBorder="1" applyAlignment="1" applyProtection="1">
      <alignment horizontal="center" vertical="center"/>
    </xf>
    <xf numFmtId="0" fontId="4" fillId="0" borderId="18" xfId="0" applyFont="1" applyBorder="1" applyAlignment="1">
      <alignment horizontal="center"/>
    </xf>
    <xf numFmtId="0" fontId="9" fillId="10" borderId="39" xfId="0" applyFont="1" applyFill="1" applyBorder="1" applyAlignment="1">
      <alignment horizontal="center"/>
    </xf>
    <xf numFmtId="0" fontId="0" fillId="3" borderId="28" xfId="0" applyFill="1" applyBorder="1" applyAlignment="1">
      <alignment horizontal="center"/>
    </xf>
    <xf numFmtId="0" fontId="4" fillId="8" borderId="41" xfId="8" applyFont="1" applyFill="1" applyBorder="1" applyAlignment="1" applyProtection="1">
      <alignment horizontal="center"/>
    </xf>
    <xf numFmtId="0" fontId="4" fillId="0" borderId="30" xfId="0" applyFont="1" applyBorder="1" applyAlignment="1">
      <alignment horizontal="center" vertical="center"/>
    </xf>
    <xf numFmtId="0" fontId="9" fillId="10" borderId="38" xfId="0" applyFont="1" applyFill="1" applyBorder="1" applyAlignment="1">
      <alignment horizontal="center"/>
    </xf>
    <xf numFmtId="164" fontId="0" fillId="0" borderId="59" xfId="0" applyNumberFormat="1" applyBorder="1" applyAlignment="1">
      <alignment horizontal="center" vertical="center"/>
    </xf>
    <xf numFmtId="164" fontId="0" fillId="0" borderId="60" xfId="0" applyNumberFormat="1" applyBorder="1" applyAlignment="1">
      <alignment horizontal="center" vertical="center"/>
    </xf>
    <xf numFmtId="164" fontId="0" fillId="0" borderId="61" xfId="0" applyNumberFormat="1" applyBorder="1" applyAlignment="1">
      <alignment horizontal="center" vertical="center"/>
    </xf>
    <xf numFmtId="0" fontId="4" fillId="7" borderId="63" xfId="7" applyFont="1" applyFill="1" applyBorder="1" applyAlignment="1" applyProtection="1">
      <alignment horizontal="center"/>
    </xf>
    <xf numFmtId="0" fontId="5" fillId="7" borderId="58" xfId="7" applyFill="1" applyBorder="1" applyAlignment="1" applyProtection="1">
      <alignment horizontal="center"/>
    </xf>
    <xf numFmtId="164" fontId="5" fillId="8" borderId="56" xfId="8" applyNumberFormat="1" applyFill="1" applyBorder="1" applyAlignment="1" applyProtection="1">
      <alignment horizontal="center" vertical="center"/>
    </xf>
    <xf numFmtId="0" fontId="5" fillId="7" borderId="65" xfId="7" applyFill="1" applyBorder="1" applyAlignment="1" applyProtection="1">
      <alignment horizontal="center"/>
    </xf>
    <xf numFmtId="164" fontId="5" fillId="8" borderId="66" xfId="8" applyNumberFormat="1" applyFill="1" applyBorder="1" applyAlignment="1" applyProtection="1">
      <alignment horizontal="center" vertical="center"/>
    </xf>
    <xf numFmtId="0" fontId="5" fillId="4" borderId="66" xfId="6" applyBorder="1" applyAlignment="1" applyProtection="1">
      <alignment horizontal="center" vertical="center"/>
    </xf>
    <xf numFmtId="0" fontId="5" fillId="4" borderId="67" xfId="6" applyBorder="1" applyAlignment="1" applyProtection="1">
      <alignment horizontal="center" vertical="center"/>
    </xf>
    <xf numFmtId="164" fontId="5" fillId="8" borderId="40" xfId="8" applyNumberFormat="1" applyFill="1" applyBorder="1" applyAlignment="1" applyProtection="1">
      <alignment horizontal="center" vertical="center"/>
    </xf>
    <xf numFmtId="164" fontId="5" fillId="8" borderId="68" xfId="8" applyNumberFormat="1" applyFill="1" applyBorder="1" applyAlignment="1" applyProtection="1">
      <alignment horizontal="center" vertical="center"/>
    </xf>
    <xf numFmtId="164" fontId="5" fillId="8" borderId="69"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9" fontId="5" fillId="7" borderId="58" xfId="4" applyFill="1" applyBorder="1" applyAlignment="1" applyProtection="1">
      <alignment horizontal="center"/>
    </xf>
    <xf numFmtId="9" fontId="5" fillId="7" borderId="65" xfId="4" applyFill="1" applyBorder="1" applyAlignment="1" applyProtection="1">
      <alignment horizontal="center"/>
    </xf>
    <xf numFmtId="9" fontId="5" fillId="8" borderId="56" xfId="4" applyFill="1" applyBorder="1" applyAlignment="1" applyProtection="1">
      <alignment horizontal="center" vertical="center"/>
    </xf>
    <xf numFmtId="9" fontId="5" fillId="8" borderId="66" xfId="4" applyFill="1" applyBorder="1" applyAlignment="1" applyProtection="1">
      <alignment horizontal="center" vertical="center"/>
    </xf>
    <xf numFmtId="0" fontId="0" fillId="0" borderId="35" xfId="0" applyBorder="1" applyAlignment="1">
      <alignment horizontal="center"/>
    </xf>
    <xf numFmtId="0" fontId="6" fillId="2" borderId="32" xfId="3" applyFont="1" applyBorder="1" applyAlignment="1" applyProtection="1">
      <alignment horizontal="center"/>
    </xf>
    <xf numFmtId="9" fontId="4" fillId="7" borderId="70"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2" xfId="8" applyNumberFormat="1" applyFont="1" applyFill="1" applyBorder="1" applyAlignment="1" applyProtection="1">
      <alignment horizontal="center"/>
    </xf>
    <xf numFmtId="0" fontId="4" fillId="8" borderId="73" xfId="8" applyFont="1" applyFill="1" applyBorder="1" applyAlignment="1" applyProtection="1">
      <alignment horizontal="center"/>
    </xf>
    <xf numFmtId="164" fontId="0" fillId="0" borderId="74" xfId="0" applyNumberFormat="1" applyBorder="1" applyAlignment="1">
      <alignment horizontal="center" vertical="center"/>
    </xf>
    <xf numFmtId="0" fontId="0" fillId="0" borderId="24" xfId="0" applyBorder="1" applyAlignment="1">
      <alignment horizontal="center"/>
    </xf>
    <xf numFmtId="164" fontId="5" fillId="7" borderId="62" xfId="7" applyNumberFormat="1" applyFill="1" applyBorder="1" applyAlignment="1" applyProtection="1">
      <alignment horizontal="center"/>
    </xf>
    <xf numFmtId="164" fontId="5" fillId="7" borderId="64" xfId="7" applyNumberFormat="1" applyFill="1" applyBorder="1" applyAlignment="1" applyProtection="1">
      <alignment horizontal="center"/>
    </xf>
    <xf numFmtId="0" fontId="0" fillId="4" borderId="56" xfId="6" applyFont="1" applyBorder="1" applyAlignment="1" applyProtection="1">
      <alignment horizontal="center" vertical="center"/>
    </xf>
    <xf numFmtId="0" fontId="6" fillId="2" borderId="35" xfId="3" applyFont="1" applyBorder="1" applyAlignment="1" applyProtection="1">
      <alignment horizontal="center" vertical="center"/>
    </xf>
    <xf numFmtId="0" fontId="6" fillId="2" borderId="33" xfId="3" applyFont="1" applyBorder="1" applyAlignment="1" applyProtection="1">
      <alignment horizontal="center" vertical="center"/>
    </xf>
    <xf numFmtId="0" fontId="9" fillId="10" borderId="39" xfId="0" applyFont="1" applyFill="1" applyBorder="1" applyAlignment="1" applyProtection="1">
      <alignment horizontal="center"/>
      <protection locked="0"/>
    </xf>
    <xf numFmtId="0" fontId="6" fillId="2" borderId="32" xfId="3" applyFont="1" applyBorder="1" applyAlignment="1" applyProtection="1">
      <alignment horizontal="center"/>
      <protection locked="0"/>
    </xf>
    <xf numFmtId="0" fontId="6" fillId="2" borderId="35" xfId="3" applyFont="1" applyBorder="1" applyAlignment="1" applyProtection="1">
      <alignment horizontal="center" vertical="center"/>
      <protection locked="0"/>
    </xf>
    <xf numFmtId="0" fontId="6" fillId="2" borderId="33" xfId="3" applyFont="1" applyBorder="1" applyAlignment="1" applyProtection="1">
      <alignment horizontal="center" vertical="center"/>
      <protection locked="0"/>
    </xf>
    <xf numFmtId="0" fontId="4" fillId="8" borderId="41" xfId="8" applyFont="1" applyFill="1" applyBorder="1" applyAlignment="1" applyProtection="1">
      <alignment horizontal="center"/>
      <protection locked="0"/>
    </xf>
    <xf numFmtId="9" fontId="4" fillId="8" borderId="72" xfId="8" applyNumberFormat="1" applyFont="1" applyFill="1" applyBorder="1" applyAlignment="1" applyProtection="1">
      <alignment horizontal="center"/>
      <protection locked="0"/>
    </xf>
    <xf numFmtId="0" fontId="4" fillId="8" borderId="73" xfId="8" applyFont="1" applyFill="1" applyBorder="1" applyAlignment="1" applyProtection="1">
      <alignment horizontal="center"/>
      <protection locked="0"/>
    </xf>
    <xf numFmtId="0" fontId="4" fillId="0" borderId="30" xfId="0" applyFont="1" applyBorder="1" applyAlignment="1" applyProtection="1">
      <alignment horizontal="center" vertical="center"/>
      <protection locked="0"/>
    </xf>
    <xf numFmtId="164" fontId="0" fillId="0" borderId="57" xfId="0" applyNumberFormat="1" applyBorder="1" applyAlignment="1" applyProtection="1">
      <alignment horizontal="center" vertical="center"/>
      <protection locked="0"/>
    </xf>
    <xf numFmtId="164" fontId="0" fillId="0" borderId="59" xfId="0" applyNumberFormat="1" applyBorder="1" applyAlignment="1" applyProtection="1">
      <alignment horizontal="center" vertical="center"/>
      <protection locked="0"/>
    </xf>
    <xf numFmtId="164" fontId="5" fillId="8" borderId="40" xfId="8" applyNumberFormat="1" applyFill="1" applyBorder="1" applyAlignment="1" applyProtection="1">
      <alignment horizontal="center" vertical="center"/>
      <protection locked="0"/>
    </xf>
    <xf numFmtId="9" fontId="5" fillId="8" borderId="56" xfId="4" applyFill="1" applyBorder="1" applyAlignment="1" applyProtection="1">
      <alignment horizontal="center" vertical="center"/>
      <protection locked="0"/>
    </xf>
    <xf numFmtId="164" fontId="5" fillId="8" borderId="56" xfId="8" applyNumberFormat="1" applyFill="1" applyBorder="1" applyAlignment="1" applyProtection="1">
      <alignment horizontal="center" vertical="center"/>
      <protection locked="0"/>
    </xf>
    <xf numFmtId="0" fontId="5" fillId="4" borderId="56" xfId="6"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164" fontId="0" fillId="0" borderId="60" xfId="0" applyNumberFormat="1" applyBorder="1" applyAlignment="1" applyProtection="1">
      <alignment horizontal="center" vertical="center"/>
      <protection locked="0"/>
    </xf>
    <xf numFmtId="164" fontId="0" fillId="0" borderId="61" xfId="0" applyNumberFormat="1" applyBorder="1" applyAlignment="1" applyProtection="1">
      <alignment horizontal="center" vertical="center"/>
      <protection locked="0"/>
    </xf>
    <xf numFmtId="164" fontId="0" fillId="0" borderId="74" xfId="0" applyNumberFormat="1" applyBorder="1" applyAlignment="1" applyProtection="1">
      <alignment horizontal="center" vertical="center"/>
      <protection locked="0"/>
    </xf>
    <xf numFmtId="164" fontId="5" fillId="8" borderId="69" xfId="8" applyNumberFormat="1" applyFill="1" applyBorder="1" applyAlignment="1" applyProtection="1">
      <alignment horizontal="center" vertical="center"/>
      <protection locked="0"/>
    </xf>
    <xf numFmtId="9" fontId="5" fillId="8" borderId="66" xfId="4" applyFill="1" applyBorder="1" applyAlignment="1" applyProtection="1">
      <alignment horizontal="center" vertical="center"/>
      <protection locked="0"/>
    </xf>
    <xf numFmtId="164" fontId="5" fillId="8" borderId="66" xfId="8" applyNumberFormat="1" applyFill="1" applyBorder="1" applyAlignment="1" applyProtection="1">
      <alignment horizontal="center" vertical="center"/>
      <protection locked="0"/>
    </xf>
    <xf numFmtId="0" fontId="5" fillId="4" borderId="66" xfId="6" applyBorder="1" applyAlignment="1" applyProtection="1">
      <alignment horizontal="center" vertical="center"/>
      <protection locked="0"/>
    </xf>
    <xf numFmtId="0" fontId="9" fillId="10" borderId="38" xfId="0" applyFont="1" applyFill="1" applyBorder="1" applyAlignment="1" applyProtection="1">
      <alignment horizontal="center"/>
      <protection locked="0"/>
    </xf>
    <xf numFmtId="164" fontId="0" fillId="0" borderId="75" xfId="0" applyNumberFormat="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28"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39" xfId="0" applyFont="1" applyFill="1" applyBorder="1" applyAlignment="1" applyProtection="1">
      <alignment horizontal="center"/>
      <protection locked="0"/>
    </xf>
    <xf numFmtId="0" fontId="9" fillId="11" borderId="38" xfId="0" applyFont="1" applyFill="1" applyBorder="1" applyAlignment="1" applyProtection="1">
      <alignment horizontal="center"/>
      <protection locked="0"/>
    </xf>
    <xf numFmtId="0" fontId="4" fillId="4" borderId="76" xfId="6" applyFont="1" applyBorder="1" applyAlignment="1" applyProtection="1">
      <alignment horizontal="center" vertical="center"/>
      <protection locked="0"/>
    </xf>
    <xf numFmtId="0" fontId="4" fillId="4" borderId="77" xfId="6" applyFont="1" applyBorder="1" applyAlignment="1" applyProtection="1">
      <alignment horizontal="center" vertical="center"/>
      <protection locked="0"/>
    </xf>
    <xf numFmtId="0" fontId="12" fillId="0" borderId="37" xfId="5" applyFont="1" applyBorder="1" applyAlignment="1" applyProtection="1">
      <alignment horizontal="centerContinuous"/>
      <protection locked="0"/>
    </xf>
    <xf numFmtId="0" fontId="12" fillId="0" borderId="35" xfId="5" applyFont="1" applyBorder="1" applyAlignment="1" applyProtection="1">
      <alignment horizontal="centerContinuous"/>
      <protection locked="0"/>
    </xf>
    <xf numFmtId="0" fontId="6" fillId="2" borderId="33" xfId="3" applyFont="1" applyBorder="1" applyAlignment="1" applyProtection="1">
      <alignment horizontal="center"/>
      <protection locked="0"/>
    </xf>
    <xf numFmtId="164" fontId="0" fillId="0" borderId="78" xfId="0" applyNumberFormat="1" applyBorder="1" applyAlignment="1" applyProtection="1">
      <alignment horizontal="center" vertical="center"/>
      <protection locked="0"/>
    </xf>
    <xf numFmtId="164" fontId="0" fillId="0" borderId="79" xfId="0" applyNumberFormat="1" applyBorder="1" applyAlignment="1" applyProtection="1">
      <alignment horizontal="center" vertical="center"/>
      <protection locked="0"/>
    </xf>
    <xf numFmtId="0" fontId="4" fillId="12" borderId="41" xfId="8" applyFont="1" applyFill="1" applyBorder="1" applyAlignment="1" applyProtection="1">
      <alignment horizontal="center"/>
      <protection locked="0"/>
    </xf>
    <xf numFmtId="9" fontId="4" fillId="12" borderId="72" xfId="8" applyNumberFormat="1" applyFont="1"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164" fontId="5" fillId="12" borderId="40" xfId="8" applyNumberFormat="1" applyFill="1" applyBorder="1" applyAlignment="1" applyProtection="1">
      <alignment horizontal="center" vertical="center"/>
      <protection locked="0"/>
    </xf>
    <xf numFmtId="9" fontId="5" fillId="12" borderId="56" xfId="4" applyFill="1" applyBorder="1" applyAlignment="1" applyProtection="1">
      <alignment horizontal="center" vertical="center"/>
      <protection locked="0"/>
    </xf>
    <xf numFmtId="164" fontId="5" fillId="12" borderId="56" xfId="8" applyNumberFormat="1"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9" fontId="5" fillId="12" borderId="66" xfId="4" applyFill="1" applyBorder="1" applyAlignment="1" applyProtection="1">
      <alignment horizontal="center" vertical="center"/>
      <protection locked="0"/>
    </xf>
    <xf numFmtId="164" fontId="5" fillId="12" borderId="66" xfId="8" applyNumberFormat="1" applyFill="1" applyBorder="1" applyAlignment="1" applyProtection="1">
      <alignment horizontal="center" vertical="center"/>
      <protection locked="0"/>
    </xf>
    <xf numFmtId="164" fontId="0" fillId="0" borderId="80" xfId="0" applyNumberFormat="1" applyBorder="1" applyAlignment="1" applyProtection="1">
      <alignment horizontal="center" vertical="center"/>
      <protection locked="0"/>
    </xf>
    <xf numFmtId="164" fontId="0" fillId="0" borderId="81" xfId="0" applyNumberFormat="1" applyBorder="1" applyAlignment="1" applyProtection="1">
      <alignment horizontal="center" vertical="center"/>
      <protection locked="0"/>
    </xf>
    <xf numFmtId="164" fontId="0" fillId="0" borderId="82" xfId="0" applyNumberFormat="1" applyBorder="1" applyAlignment="1" applyProtection="1">
      <alignment horizontal="center" vertical="center"/>
      <protection locked="0"/>
    </xf>
    <xf numFmtId="0" fontId="4" fillId="14" borderId="63" xfId="7" applyFont="1" applyFill="1" applyBorder="1" applyAlignment="1" applyProtection="1">
      <alignment horizontal="center"/>
      <protection locked="0"/>
    </xf>
    <xf numFmtId="9" fontId="4" fillId="14" borderId="70"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2" xfId="7" applyNumberFormat="1" applyFill="1" applyBorder="1" applyAlignment="1" applyProtection="1">
      <alignment horizontal="center"/>
      <protection locked="0"/>
    </xf>
    <xf numFmtId="9" fontId="5" fillId="14" borderId="58" xfId="4" applyFill="1" applyBorder="1" applyAlignment="1" applyProtection="1">
      <alignment horizontal="center"/>
      <protection locked="0"/>
    </xf>
    <xf numFmtId="0" fontId="5" fillId="14" borderId="58" xfId="7"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5" xfId="4" applyFill="1" applyBorder="1" applyAlignment="1" applyProtection="1">
      <alignment horizontal="center"/>
      <protection locked="0"/>
    </xf>
    <xf numFmtId="0" fontId="5" fillId="14" borderId="65" xfId="7" applyFill="1" applyBorder="1" applyAlignment="1" applyProtection="1">
      <alignment horizontal="center"/>
      <protection locked="0"/>
    </xf>
    <xf numFmtId="0" fontId="0" fillId="14" borderId="35" xfId="0" applyFill="1" applyBorder="1" applyAlignment="1" applyProtection="1">
      <alignment horizontal="center"/>
      <protection locked="0"/>
    </xf>
    <xf numFmtId="0" fontId="0" fillId="13" borderId="35" xfId="0" applyFill="1" applyBorder="1" applyAlignment="1" applyProtection="1">
      <alignment horizontal="center"/>
      <protection locked="0"/>
    </xf>
    <xf numFmtId="0" fontId="0" fillId="12" borderId="35"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68" xfId="4" applyFill="1" applyBorder="1" applyAlignment="1" applyProtection="1">
      <alignment horizontal="center" vertical="center"/>
      <protection locked="0"/>
    </xf>
    <xf numFmtId="9" fontId="5" fillId="4" borderId="83" xfId="4" applyFill="1" applyBorder="1" applyAlignment="1" applyProtection="1">
      <alignment horizontal="center" vertical="center"/>
      <protection locked="0"/>
    </xf>
    <xf numFmtId="164" fontId="5" fillId="12" borderId="83" xfId="8" applyNumberFormat="1" applyFill="1" applyBorder="1" applyAlignment="1" applyProtection="1">
      <alignment horizontal="center" vertical="center"/>
      <protection locked="0"/>
    </xf>
    <xf numFmtId="0" fontId="6" fillId="15" borderId="30" xfId="3" applyFont="1" applyFill="1" applyBorder="1" applyAlignment="1" applyProtection="1">
      <alignment horizontal="center"/>
      <protection locked="0"/>
    </xf>
    <xf numFmtId="0" fontId="6" fillId="16" borderId="10" xfId="3" applyFont="1" applyFill="1" applyBorder="1" applyAlignment="1" applyProtection="1">
      <alignment horizontal="center"/>
      <protection locked="0"/>
    </xf>
    <xf numFmtId="0" fontId="6" fillId="17" borderId="10" xfId="3" applyFont="1" applyFill="1" applyBorder="1" applyAlignment="1" applyProtection="1">
      <alignment horizontal="center"/>
      <protection locked="0"/>
    </xf>
    <xf numFmtId="0" fontId="6" fillId="3" borderId="10" xfId="3" applyFont="1" applyFill="1" applyBorder="1" applyAlignment="1" applyProtection="1">
      <alignment horizontal="center"/>
      <protection locked="0"/>
    </xf>
    <xf numFmtId="0" fontId="3" fillId="2" borderId="3" xfId="3" applyAlignment="1" applyProtection="1">
      <alignment horizontal="center"/>
      <protection locked="0"/>
    </xf>
    <xf numFmtId="0" fontId="3" fillId="2" borderId="27" xfId="3" applyBorder="1" applyAlignment="1" applyProtection="1">
      <alignment horizontal="center" vertical="center"/>
      <protection locked="0"/>
    </xf>
    <xf numFmtId="0" fontId="7" fillId="3" borderId="28" xfId="0" applyFont="1" applyFill="1" applyBorder="1" applyAlignment="1" applyProtection="1">
      <alignment horizontal="center"/>
      <protection locked="0"/>
    </xf>
    <xf numFmtId="9" fontId="0" fillId="0" borderId="0" xfId="4" applyFont="1"/>
    <xf numFmtId="0" fontId="7" fillId="0" borderId="0" xfId="0" applyFont="1"/>
    <xf numFmtId="0" fontId="4" fillId="0" borderId="0" xfId="0" applyFont="1"/>
    <xf numFmtId="0" fontId="0" fillId="0" borderId="0" xfId="0" applyAlignment="1">
      <alignment horizontal="center" vertical="center"/>
    </xf>
    <xf numFmtId="0" fontId="0" fillId="0" borderId="24" xfId="0" applyBorder="1" applyAlignment="1">
      <alignment horizontal="center" vertical="center"/>
    </xf>
    <xf numFmtId="0" fontId="0" fillId="0" borderId="25" xfId="0" applyBorder="1"/>
    <xf numFmtId="0" fontId="4" fillId="0" borderId="24" xfId="0" applyFont="1" applyBorder="1"/>
    <xf numFmtId="0" fontId="0" fillId="0" borderId="94" xfId="0" applyBorder="1" applyAlignment="1">
      <alignment horizontal="center" vertical="center"/>
    </xf>
    <xf numFmtId="0" fontId="0" fillId="0" borderId="95" xfId="0" applyBorder="1" applyAlignment="1">
      <alignment horizontal="centerContinuous" vertical="center"/>
    </xf>
    <xf numFmtId="0" fontId="0" fillId="0" borderId="96" xfId="0" applyBorder="1" applyAlignment="1">
      <alignment horizontal="centerContinuous" vertical="center"/>
    </xf>
    <xf numFmtId="0" fontId="0" fillId="0" borderId="97" xfId="0" applyBorder="1" applyAlignment="1">
      <alignment horizontal="centerContinuous" vertical="center"/>
    </xf>
    <xf numFmtId="0" fontId="0" fillId="0" borderId="98" xfId="0" applyBorder="1" applyAlignment="1">
      <alignment horizontal="centerContinuous" vertical="center"/>
    </xf>
    <xf numFmtId="0" fontId="0" fillId="0" borderId="99" xfId="0" applyBorder="1" applyAlignment="1">
      <alignment horizontal="centerContinuous" vertical="center"/>
    </xf>
    <xf numFmtId="0" fontId="0" fillId="0" borderId="100" xfId="0" applyBorder="1" applyAlignment="1">
      <alignment horizontal="centerContinuous" vertical="center"/>
    </xf>
    <xf numFmtId="0" fontId="0" fillId="0" borderId="101" xfId="0" applyBorder="1" applyAlignment="1">
      <alignment horizontal="center" vertical="center"/>
    </xf>
    <xf numFmtId="0" fontId="4" fillId="0" borderId="88" xfId="0" applyFont="1" applyBorder="1" applyAlignment="1">
      <alignment horizontal="center" vertical="center"/>
    </xf>
    <xf numFmtId="9" fontId="0" fillId="0" borderId="93" xfId="4" applyFont="1" applyBorder="1" applyAlignment="1">
      <alignment horizontal="center" vertical="center"/>
    </xf>
    <xf numFmtId="0" fontId="0" fillId="0" borderId="102" xfId="0" applyBorder="1" applyAlignment="1">
      <alignment horizontal="center" vertical="center"/>
    </xf>
    <xf numFmtId="0" fontId="7" fillId="0" borderId="103" xfId="0" applyFont="1" applyBorder="1" applyAlignment="1">
      <alignment horizontal="center" vertical="center"/>
    </xf>
    <xf numFmtId="0" fontId="7" fillId="0" borderId="94" xfId="0" applyFont="1" applyBorder="1" applyAlignment="1">
      <alignment horizontal="center" vertical="center"/>
    </xf>
    <xf numFmtId="0" fontId="7" fillId="0" borderId="93" xfId="0" applyFont="1" applyBorder="1" applyAlignment="1">
      <alignment horizontal="center" vertical="center"/>
    </xf>
    <xf numFmtId="0" fontId="7" fillId="0" borderId="104" xfId="0" applyFont="1" applyBorder="1" applyAlignment="1">
      <alignment horizontal="center" vertical="center"/>
    </xf>
    <xf numFmtId="0" fontId="7" fillId="0" borderId="24" xfId="0" applyFont="1" applyBorder="1" applyAlignment="1">
      <alignment horizontal="center" vertical="center"/>
    </xf>
    <xf numFmtId="0" fontId="7" fillId="0" borderId="92" xfId="0" applyFont="1" applyBorder="1"/>
    <xf numFmtId="0" fontId="7" fillId="0" borderId="46" xfId="0" applyFont="1" applyBorder="1" applyAlignment="1">
      <alignment horizontal="center"/>
    </xf>
    <xf numFmtId="0" fontId="7" fillId="0" borderId="87" xfId="0" applyFont="1" applyBorder="1" applyAlignment="1">
      <alignment horizontal="center" vertical="center"/>
    </xf>
    <xf numFmtId="0" fontId="0" fillId="9" borderId="47" xfId="0" applyFill="1" applyBorder="1" applyAlignment="1">
      <alignment vertical="center"/>
    </xf>
    <xf numFmtId="0" fontId="0" fillId="9" borderId="39" xfId="0" applyFill="1" applyBorder="1" applyAlignment="1">
      <alignment vertical="center"/>
    </xf>
    <xf numFmtId="0" fontId="0" fillId="9" borderId="48" xfId="0" applyFill="1" applyBorder="1" applyAlignment="1">
      <alignment vertical="center"/>
    </xf>
    <xf numFmtId="0" fontId="0" fillId="0" borderId="49" xfId="0" applyBorder="1" applyAlignment="1">
      <alignment horizontal="center" wrapText="1"/>
    </xf>
    <xf numFmtId="0" fontId="0" fillId="0" borderId="31" xfId="0" applyBorder="1" applyAlignment="1">
      <alignment horizontal="center" wrapText="1"/>
    </xf>
    <xf numFmtId="0" fontId="0" fillId="0" borderId="50" xfId="0" applyBorder="1" applyAlignment="1">
      <alignment horizontal="center" wrapText="1"/>
    </xf>
    <xf numFmtId="0" fontId="0" fillId="0" borderId="21" xfId="0" applyBorder="1" applyAlignment="1">
      <alignment horizontal="center" wrapText="1"/>
    </xf>
    <xf numFmtId="0" fontId="0" fillId="0" borderId="0" xfId="0" applyAlignment="1">
      <alignment horizontal="center" wrapText="1"/>
    </xf>
    <xf numFmtId="0" fontId="0" fillId="0" borderId="22" xfId="0" applyBorder="1" applyAlignment="1">
      <alignment horizontal="center" wrapText="1"/>
    </xf>
    <xf numFmtId="0" fontId="0" fillId="0" borderId="51" xfId="0" applyBorder="1" applyAlignment="1">
      <alignment horizontal="center" wrapText="1"/>
    </xf>
    <xf numFmtId="0" fontId="0" fillId="0" borderId="52" xfId="0" applyBorder="1" applyAlignment="1">
      <alignment horizontal="center" wrapText="1"/>
    </xf>
    <xf numFmtId="0" fontId="0" fillId="0" borderId="53" xfId="0" applyBorder="1" applyAlignment="1">
      <alignment horizontal="center" wrapText="1"/>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vertical="center"/>
    </xf>
    <xf numFmtId="0" fontId="4" fillId="3" borderId="0" xfId="0" applyFont="1" applyFill="1" applyAlignment="1">
      <alignment horizontal="center"/>
    </xf>
    <xf numFmtId="0" fontId="0" fillId="3" borderId="0" xfId="0" applyFill="1" applyAlignment="1">
      <alignment horizontal="center"/>
    </xf>
    <xf numFmtId="0" fontId="4" fillId="3" borderId="8" xfId="0" applyFont="1" applyFill="1" applyBorder="1" applyAlignment="1">
      <alignment horizontal="center"/>
    </xf>
    <xf numFmtId="0" fontId="4" fillId="3" borderId="31" xfId="0" applyFont="1" applyFill="1" applyBorder="1" applyAlignment="1">
      <alignment horizontal="center"/>
    </xf>
    <xf numFmtId="0" fontId="4" fillId="3" borderId="9" xfId="0" applyFont="1" applyFill="1" applyBorder="1" applyAlignment="1">
      <alignment horizontal="center"/>
    </xf>
    <xf numFmtId="0" fontId="3" fillId="2" borderId="86" xfId="3" applyBorder="1" applyAlignment="1" applyProtection="1">
      <alignment horizontal="center"/>
      <protection locked="0"/>
    </xf>
    <xf numFmtId="0" fontId="3" fillId="2" borderId="27" xfId="3" applyBorder="1" applyAlignment="1" applyProtection="1">
      <alignment horizontal="center"/>
      <protection locked="0"/>
    </xf>
    <xf numFmtId="0" fontId="3" fillId="2" borderId="86" xfId="3" applyBorder="1"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84" xfId="3" applyBorder="1" applyAlignment="1" applyProtection="1">
      <alignment horizontal="center" vertical="center"/>
      <protection locked="0"/>
    </xf>
    <xf numFmtId="0" fontId="3" fillId="2" borderId="85" xfId="3" applyBorder="1" applyAlignment="1" applyProtection="1">
      <alignment horizontal="center" vertical="center"/>
      <protection locked="0"/>
    </xf>
    <xf numFmtId="0" fontId="1" fillId="3" borderId="1" xfId="1" applyFill="1" applyAlignment="1">
      <alignment horizontal="center"/>
    </xf>
    <xf numFmtId="0" fontId="4" fillId="0" borderId="37" xfId="0" applyFont="1" applyBorder="1" applyAlignment="1">
      <alignment horizontal="center"/>
    </xf>
    <xf numFmtId="0" fontId="4" fillId="0" borderId="35" xfId="0" applyFont="1" applyBorder="1" applyAlignment="1">
      <alignment horizontal="center"/>
    </xf>
    <xf numFmtId="0" fontId="4" fillId="0" borderId="55" xfId="0" applyFont="1" applyBorder="1" applyAlignment="1">
      <alignment horizontal="center"/>
    </xf>
    <xf numFmtId="0" fontId="0" fillId="0" borderId="21" xfId="0" applyBorder="1" applyAlignment="1">
      <alignment horizontal="center"/>
    </xf>
    <xf numFmtId="0" fontId="0" fillId="0" borderId="0" xfId="0"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Alignment="1">
      <alignment horizontal="center"/>
    </xf>
    <xf numFmtId="0" fontId="4" fillId="0" borderId="22" xfId="0" applyFont="1" applyBorder="1" applyAlignment="1">
      <alignment horizontal="center"/>
    </xf>
    <xf numFmtId="0" fontId="4" fillId="0" borderId="89" xfId="0" applyFont="1" applyBorder="1" applyAlignment="1">
      <alignment horizontal="center" wrapText="1"/>
    </xf>
    <xf numFmtId="0" fontId="4" fillId="0" borderId="90" xfId="0" applyFont="1" applyBorder="1" applyAlignment="1">
      <alignment horizontal="center" wrapText="1"/>
    </xf>
    <xf numFmtId="0" fontId="4" fillId="0" borderId="91" xfId="0" applyFont="1" applyBorder="1" applyAlignment="1">
      <alignment horizontal="center" wrapText="1"/>
    </xf>
    <xf numFmtId="0" fontId="4" fillId="12" borderId="71" xfId="8" applyFont="1" applyFill="1" applyBorder="1" applyAlignment="1" applyProtection="1">
      <alignment horizontal="center"/>
      <protection locked="0"/>
    </xf>
    <xf numFmtId="0" fontId="4" fillId="12" borderId="34" xfId="8" applyFont="1" applyFill="1" applyBorder="1" applyAlignment="1" applyProtection="1">
      <alignment horizontal="center"/>
      <protection locked="0"/>
    </xf>
    <xf numFmtId="0" fontId="2" fillId="0" borderId="33" xfId="5" applyBorder="1" applyAlignment="1" applyProtection="1">
      <alignment horizontal="left"/>
      <protection locked="0"/>
    </xf>
    <xf numFmtId="0" fontId="2" fillId="0" borderId="35" xfId="5" applyBorder="1" applyAlignment="1" applyProtection="1">
      <alignment horizontal="left"/>
      <protection locked="0"/>
    </xf>
    <xf numFmtId="0" fontId="2" fillId="0" borderId="55" xfId="5" applyBorder="1" applyAlignment="1" applyProtection="1">
      <alignment horizontal="left"/>
      <protection locked="0"/>
    </xf>
    <xf numFmtId="0" fontId="6" fillId="2" borderId="19" xfId="3" applyFont="1" applyBorder="1" applyAlignment="1" applyProtection="1">
      <alignment horizontal="left"/>
      <protection locked="0"/>
    </xf>
    <xf numFmtId="0" fontId="6" fillId="2" borderId="20" xfId="3" applyFont="1" applyBorder="1" applyAlignment="1" applyProtection="1">
      <alignment horizontal="left"/>
      <protection locked="0"/>
    </xf>
    <xf numFmtId="0" fontId="4" fillId="14" borderId="71" xfId="4" applyNumberFormat="1" applyFont="1" applyFill="1" applyBorder="1" applyAlignment="1" applyProtection="1">
      <alignment horizontal="center"/>
      <protection locked="0"/>
    </xf>
    <xf numFmtId="0" fontId="4" fillId="14" borderId="34" xfId="4" applyNumberFormat="1" applyFont="1" applyFill="1" applyBorder="1" applyAlignment="1" applyProtection="1">
      <alignment horizontal="center"/>
      <protection locked="0"/>
    </xf>
    <xf numFmtId="0" fontId="4" fillId="6" borderId="71" xfId="8" applyFont="1" applyBorder="1" applyAlignment="1" applyProtection="1">
      <alignment horizontal="center"/>
      <protection locked="0"/>
    </xf>
    <xf numFmtId="0" fontId="4" fillId="6" borderId="34" xfId="8" applyFont="1" applyBorder="1" applyAlignment="1" applyProtection="1">
      <alignment horizontal="center"/>
      <protection locked="0"/>
    </xf>
    <xf numFmtId="0" fontId="2" fillId="0" borderId="34" xfId="5" applyBorder="1" applyAlignment="1" applyProtection="1">
      <alignment horizontal="left"/>
      <protection locked="0"/>
    </xf>
    <xf numFmtId="0" fontId="2" fillId="14" borderId="37" xfId="5" applyFill="1" applyBorder="1" applyAlignment="1" applyProtection="1">
      <alignment horizontal="left"/>
      <protection locked="0"/>
    </xf>
    <xf numFmtId="0" fontId="2" fillId="14" borderId="35" xfId="5" applyFill="1" applyBorder="1" applyAlignment="1" applyProtection="1">
      <alignment horizontal="left"/>
      <protection locked="0"/>
    </xf>
    <xf numFmtId="0" fontId="2" fillId="13" borderId="33" xfId="5" applyFill="1" applyBorder="1" applyAlignment="1" applyProtection="1">
      <alignment horizontal="left"/>
      <protection locked="0"/>
    </xf>
    <xf numFmtId="0" fontId="2" fillId="13" borderId="35" xfId="5" applyFill="1" applyBorder="1" applyAlignment="1" applyProtection="1">
      <alignment horizontal="left"/>
      <protection locked="0"/>
    </xf>
    <xf numFmtId="0" fontId="2" fillId="12" borderId="33" xfId="5" applyFill="1" applyBorder="1" applyAlignment="1" applyProtection="1">
      <alignment horizontal="left"/>
      <protection locked="0"/>
    </xf>
    <xf numFmtId="0" fontId="2" fillId="12" borderId="35" xfId="5" applyFill="1" applyBorder="1" applyAlignment="1" applyProtection="1">
      <alignment horizontal="left"/>
      <protection locked="0"/>
    </xf>
    <xf numFmtId="0" fontId="2" fillId="12" borderId="34" xfId="5" applyFill="1" applyBorder="1" applyAlignment="1" applyProtection="1">
      <alignment horizontal="left"/>
      <protection locked="0"/>
    </xf>
    <xf numFmtId="0" fontId="2" fillId="0" borderId="33" xfId="5" applyBorder="1" applyAlignment="1" applyProtection="1">
      <alignment horizontal="center"/>
    </xf>
    <xf numFmtId="0" fontId="2" fillId="0" borderId="35" xfId="5" applyBorder="1" applyAlignment="1" applyProtection="1">
      <alignment horizontal="center"/>
    </xf>
    <xf numFmtId="0" fontId="2" fillId="0" borderId="34"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5" xfId="5" applyBorder="1" applyAlignment="1" applyProtection="1">
      <alignment horizontal="center"/>
    </xf>
    <xf numFmtId="0" fontId="4" fillId="7" borderId="71" xfId="4" applyNumberFormat="1" applyFont="1" applyFill="1" applyBorder="1" applyAlignment="1" applyProtection="1">
      <alignment horizontal="center"/>
    </xf>
    <xf numFmtId="0" fontId="4" fillId="7" borderId="34" xfId="4" applyNumberFormat="1" applyFont="1" applyFill="1" applyBorder="1" applyAlignment="1" applyProtection="1">
      <alignment horizontal="center"/>
    </xf>
    <xf numFmtId="0" fontId="4" fillId="6" borderId="71" xfId="8" applyFont="1" applyBorder="1" applyAlignment="1" applyProtection="1">
      <alignment horizontal="center"/>
    </xf>
    <xf numFmtId="0" fontId="4" fillId="6" borderId="34" xfId="8" applyFont="1" applyBorder="1" applyAlignment="1" applyProtection="1">
      <alignment horizontal="center"/>
    </xf>
    <xf numFmtId="0" fontId="2" fillId="0" borderId="37" xfId="5" applyBorder="1" applyAlignment="1" applyProtection="1">
      <alignment horizontal="center"/>
    </xf>
    <xf numFmtId="0" fontId="0" fillId="0" borderId="25" xfId="0" applyBorder="1" applyAlignment="1">
      <alignment horizontal="center" vertical="center" wrapText="1"/>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font>
        <strike val="0"/>
        <color theme="0"/>
      </font>
    </dxf>
  </dxfs>
  <tableStyles count="0" defaultTableStyle="TableStyleMedium2" defaultPivotStyle="PivotStyleLight16"/>
  <colors>
    <mruColors>
      <color rgb="FFBAC2FE"/>
      <color rgb="FFC9C9C9"/>
      <color rgb="FFCCECFF"/>
      <color rgb="FFFACDAC"/>
      <color rgb="FFFFB9B9"/>
      <color rgb="FFFF9B9B"/>
      <color rgb="FFFFCCFF"/>
      <color rgb="FFFF9F9F"/>
      <color rgb="FFFF6969"/>
      <color rgb="FFFF8B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mc:AlternateContent xmlns:mc="http://schemas.openxmlformats.org/markup-compatibility/2006">
    <mc:Choice xmlns:a14="http://schemas.microsoft.com/office/drawing/2010/main" Requires="a14">
      <xdr:twoCellAnchor>
        <xdr:from>
          <xdr:col>7</xdr:col>
          <xdr:colOff>504825</xdr:colOff>
          <xdr:row>27</xdr:row>
          <xdr:rowOff>76200</xdr:rowOff>
        </xdr:from>
        <xdr:to>
          <xdr:col>10</xdr:col>
          <xdr:colOff>28575</xdr:colOff>
          <xdr:row>30</xdr:row>
          <xdr:rowOff>38100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Data from Old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473433</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8448675"/>
          <a:ext cx="1543049" cy="477836"/>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815703</xdr:colOff>
      <xdr:row>46</xdr:row>
      <xdr:rowOff>148953</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686801"/>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180975</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29493"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420100"/>
          <a:ext cx="1543049" cy="477836"/>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648700"/>
          <a:ext cx="291499" cy="190499"/>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168206</xdr:colOff>
      <xdr:row>0</xdr:row>
      <xdr:rowOff>0</xdr:rowOff>
    </xdr:from>
    <xdr:to>
      <xdr:col>13</xdr:col>
      <xdr:colOff>259315</xdr:colOff>
      <xdr:row>1</xdr:row>
      <xdr:rowOff>17642</xdr:rowOff>
    </xdr:to>
    <xdr:pic macro="[0]!PopulateProfile">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5646" b="15511"/>
        <a:stretch/>
      </xdr:blipFill>
      <xdr:spPr>
        <a:xfrm>
          <a:off x="6421861" y="0"/>
          <a:ext cx="518092" cy="359228"/>
        </a:xfrm>
        <a:prstGeom prst="rect">
          <a:avLst/>
        </a:prstGeom>
      </xdr:spPr>
    </xdr:pic>
    <xdr:clientData/>
  </xdr:twoCellAnchor>
  <xdr:twoCellAnchor>
    <xdr:from>
      <xdr:col>3</xdr:col>
      <xdr:colOff>63719</xdr:colOff>
      <xdr:row>0</xdr:row>
      <xdr:rowOff>0</xdr:rowOff>
    </xdr:from>
    <xdr:to>
      <xdr:col>6</xdr:col>
      <xdr:colOff>391239</xdr:colOff>
      <xdr:row>0</xdr:row>
      <xdr:rowOff>281608</xdr:rowOff>
    </xdr:to>
    <xdr:sp macro="" textlink="$C$1">
      <xdr:nvSpPr>
        <xdr:cNvPr id="9" name="TextBox 8">
          <a:extLst>
            <a:ext uri="{FF2B5EF4-FFF2-40B4-BE49-F238E27FC236}">
              <a16:creationId xmlns:a16="http://schemas.microsoft.com/office/drawing/2014/main" id="{00000000-0008-0000-0300-000009000000}"/>
            </a:ext>
          </a:extLst>
        </xdr:cNvPr>
        <xdr:cNvSpPr txBox="1"/>
      </xdr:nvSpPr>
      <xdr:spPr>
        <a:xfrm>
          <a:off x="2902169" y="0"/>
          <a:ext cx="1613395" cy="281608"/>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1F3908-F510-4446-BC90-23E505638B80}" type="TxLink">
            <a:rPr lang="en-US" sz="1400" b="1" i="0" u="none" strike="noStrike">
              <a:solidFill>
                <a:srgbClr val="000000"/>
              </a:solidFill>
              <a:latin typeface="Calibri"/>
              <a:cs typeface="Calibri"/>
            </a:rPr>
            <a:pPr/>
            <a:t>2022 7A Science</a:t>
          </a:fld>
          <a:endParaRPr lang="en-US" sz="1400" b="1"/>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6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6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6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6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6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6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6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6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6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6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6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6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6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6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6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6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6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6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600-00001D000000}"/>
            </a:ext>
          </a:extLst>
        </xdr:cNvPr>
        <xdr:cNvGrpSpPr/>
      </xdr:nvGrpSpPr>
      <xdr:grpSpPr>
        <a:xfrm>
          <a:off x="3476625" y="7820025"/>
          <a:ext cx="1543049" cy="477836"/>
          <a:chOff x="699989" y="3255968"/>
          <a:chExt cx="1884534" cy="576892"/>
        </a:xfrm>
      </xdr:grpSpPr>
      <xdr:pic>
        <xdr:nvPicPr>
          <xdr:cNvPr id="30" name="Picture 29">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6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600-000022000000}"/>
            </a:ext>
          </a:extLst>
        </xdr:cNvPr>
        <xdr:cNvGrpSpPr/>
      </xdr:nvGrpSpPr>
      <xdr:grpSpPr>
        <a:xfrm>
          <a:off x="3524250" y="8058151"/>
          <a:ext cx="291499" cy="190499"/>
          <a:chOff x="6126341" y="2133035"/>
          <a:chExt cx="337782" cy="220745"/>
        </a:xfrm>
      </xdr:grpSpPr>
      <xdr:pic>
        <xdr:nvPicPr>
          <xdr:cNvPr id="36" name="Picture 35" descr="Related image">
            <a:extLst>
              <a:ext uri="{FF2B5EF4-FFF2-40B4-BE49-F238E27FC236}">
                <a16:creationId xmlns:a16="http://schemas.microsoft.com/office/drawing/2014/main" id="{00000000-0008-0000-06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6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7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7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7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
  <autoFilter ref="A1:C18" xr:uid="{498E8186-74A7-4E6E-AE4A-D794E9C8B595}"/>
  <tableColumns count="3">
    <tableColumn id="1" xr3:uid="{5861E389-9F05-4056-B978-22BEA3DA1355}" name="Score" dataDxfId="2" dataCellStyle="Percent"/>
    <tableColumn id="2" xr3:uid="{9526CEDD-EB3F-43D3-A6D9-A4B81BDDC393}" name="Grade" dataDxfId="1"/>
    <tableColumn id="3" xr3:uid="{63910571-226F-4D3A-AE65-3CF97BD66F23}" name="Points" dataDxfId="0"/>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E3EED86-B9A9-4C52-AB52-687B83E1FFDE}" name="LetterPercent" displayName="LetterPercent" ref="E1:F16" totalsRowShown="0">
  <autoFilter ref="E1:F16" xr:uid="{1E3EED86-B9A9-4C52-AB52-687B83E1FFDE}"/>
  <tableColumns count="2">
    <tableColumn id="1" xr3:uid="{4E30AD2F-C188-4949-99C8-5EE4CD95DAD9}" name="Letter Grade"/>
    <tableColumn id="2" xr3:uid="{2C4C56CC-23D1-44B7-A374-2338608246FD}" name="Percentage Grad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B0F8B2-3741-4B4A-8B37-68677490744E}" name="LetterNumber" displayName="LetterNumber" ref="H1:I16" totalsRowShown="0">
  <autoFilter ref="H1:I16" xr:uid="{D6B0F8B2-3741-4B4A-8B37-68677490744E}"/>
  <tableColumns count="2">
    <tableColumn id="1" xr3:uid="{29E1F960-E8D1-4545-9887-2AEE9904CB4A}" name="Letter Grade"/>
    <tableColumn id="2" xr3:uid="{C1557EF9-33D0-482B-9BAD-3026C4A8443B}" name="Number Gra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7.xml"/><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zoomScaleNormal="100" workbookViewId="0">
      <selection activeCell="E31" sqref="E31"/>
    </sheetView>
  </sheetViews>
  <sheetFormatPr defaultColWidth="9.140625" defaultRowHeight="15" x14ac:dyDescent="0.25"/>
  <cols>
    <col min="1" max="1" width="2.5703125" style="19" customWidth="1"/>
    <col min="2" max="2" width="4.7109375" style="19" customWidth="1"/>
    <col min="3" max="5" width="15.7109375" style="19" customWidth="1"/>
    <col min="6" max="6" width="4.7109375" style="19" customWidth="1"/>
    <col min="7" max="7" width="3.7109375" style="19" customWidth="1"/>
    <col min="8" max="12" width="9.140625" style="19"/>
    <col min="13" max="13" width="12.140625" style="19" customWidth="1"/>
    <col min="14" max="14" width="11.140625" style="19" bestFit="1" customWidth="1"/>
    <col min="15" max="16384" width="9.140625" style="19"/>
  </cols>
  <sheetData>
    <row r="1" spans="2:11" ht="15.75" thickBot="1" x14ac:dyDescent="0.3"/>
    <row r="2" spans="2:11" ht="21" x14ac:dyDescent="0.35">
      <c r="B2" s="207" t="str">
        <f>_xlfn.CONCAT("CSC Markbook - V",Changelog!$B$3)</f>
        <v>CSC Markbook - V1.12.0</v>
      </c>
      <c r="C2" s="208"/>
      <c r="D2" s="208"/>
      <c r="E2" s="208"/>
      <c r="F2" s="209"/>
      <c r="H2" s="212"/>
      <c r="I2" s="212"/>
      <c r="J2" s="212"/>
      <c r="K2" s="212"/>
    </row>
    <row r="3" spans="2:11" ht="20.25" customHeight="1" thickBot="1" x14ac:dyDescent="0.35">
      <c r="B3" s="9"/>
      <c r="C3" s="222" t="s">
        <v>26</v>
      </c>
      <c r="D3" s="222"/>
      <c r="E3" s="222"/>
      <c r="F3" s="10"/>
      <c r="H3" s="23"/>
      <c r="I3" s="23"/>
      <c r="J3" s="23"/>
      <c r="K3" s="23"/>
    </row>
    <row r="4" spans="2:11" ht="15.75" thickTop="1" x14ac:dyDescent="0.25">
      <c r="B4" s="9"/>
      <c r="C4" s="12" t="s">
        <v>30</v>
      </c>
      <c r="D4" s="167">
        <v>7</v>
      </c>
      <c r="E4" s="166" t="s">
        <v>16</v>
      </c>
      <c r="F4" s="10"/>
      <c r="H4" s="23"/>
      <c r="I4" s="23"/>
      <c r="J4" s="23"/>
      <c r="K4" s="23"/>
    </row>
    <row r="5" spans="2:11" x14ac:dyDescent="0.25">
      <c r="B5" s="9"/>
      <c r="C5" s="13" t="s">
        <v>24</v>
      </c>
      <c r="D5" s="216" t="s">
        <v>125</v>
      </c>
      <c r="E5" s="217"/>
      <c r="F5" s="10"/>
      <c r="H5" s="23"/>
      <c r="I5" s="23"/>
      <c r="J5" s="23"/>
      <c r="K5" s="23"/>
    </row>
    <row r="6" spans="2:11" x14ac:dyDescent="0.25">
      <c r="B6" s="9"/>
      <c r="C6" s="13" t="s">
        <v>29</v>
      </c>
      <c r="D6" s="218">
        <v>2022</v>
      </c>
      <c r="E6" s="219"/>
      <c r="F6" s="10"/>
      <c r="H6" s="23"/>
      <c r="I6" s="23"/>
      <c r="J6" s="23"/>
      <c r="K6" s="23"/>
    </row>
    <row r="7" spans="2:11" x14ac:dyDescent="0.25">
      <c r="B7" s="9"/>
      <c r="C7" s="13" t="s">
        <v>25</v>
      </c>
      <c r="D7" s="220"/>
      <c r="E7" s="221"/>
      <c r="F7" s="10"/>
      <c r="H7" s="23"/>
      <c r="I7" s="23"/>
      <c r="J7" s="23"/>
      <c r="K7" s="23"/>
    </row>
    <row r="8" spans="2:11" x14ac:dyDescent="0.25">
      <c r="B8" s="9"/>
      <c r="C8" s="213" t="s">
        <v>22</v>
      </c>
      <c r="D8" s="214"/>
      <c r="E8" s="215"/>
      <c r="F8" s="10"/>
      <c r="H8" s="23"/>
      <c r="I8" s="23"/>
      <c r="J8" s="23"/>
      <c r="K8" s="23"/>
    </row>
    <row r="9" spans="2:11" x14ac:dyDescent="0.25">
      <c r="B9" s="9"/>
      <c r="C9" s="14" t="s">
        <v>19</v>
      </c>
      <c r="D9" s="14" t="s">
        <v>20</v>
      </c>
      <c r="E9" s="11" t="s">
        <v>23</v>
      </c>
      <c r="F9" s="10"/>
      <c r="H9" s="23"/>
      <c r="I9" s="23"/>
      <c r="J9" s="23"/>
      <c r="K9" s="23"/>
    </row>
    <row r="10" spans="2:11" x14ac:dyDescent="0.25">
      <c r="B10" s="9"/>
      <c r="C10" s="26"/>
      <c r="D10" s="27"/>
      <c r="E10" s="26"/>
      <c r="F10" s="10"/>
      <c r="H10" s="23"/>
      <c r="I10" s="23"/>
      <c r="J10" s="23"/>
      <c r="K10" s="23"/>
    </row>
    <row r="11" spans="2:11" x14ac:dyDescent="0.25">
      <c r="B11" s="9"/>
      <c r="C11" s="26"/>
      <c r="D11" s="27"/>
      <c r="E11" s="26"/>
      <c r="F11" s="10"/>
      <c r="H11" s="23"/>
      <c r="I11" s="23"/>
      <c r="J11" s="23"/>
      <c r="K11" s="23"/>
    </row>
    <row r="12" spans="2:11" x14ac:dyDescent="0.25">
      <c r="B12" s="9"/>
      <c r="C12" s="26"/>
      <c r="D12" s="27"/>
      <c r="E12" s="26"/>
      <c r="F12" s="10"/>
      <c r="H12" s="23"/>
      <c r="I12" s="23"/>
      <c r="J12" s="23"/>
      <c r="K12" s="23"/>
    </row>
    <row r="13" spans="2:11" x14ac:dyDescent="0.25">
      <c r="B13" s="9"/>
      <c r="C13" s="26"/>
      <c r="D13" s="27"/>
      <c r="E13" s="26"/>
      <c r="F13" s="10"/>
      <c r="H13" s="23"/>
      <c r="I13" s="23"/>
      <c r="J13" s="23"/>
      <c r="K13" s="23"/>
    </row>
    <row r="14" spans="2:11" x14ac:dyDescent="0.25">
      <c r="B14" s="9"/>
      <c r="C14" s="26"/>
      <c r="D14" s="27"/>
      <c r="E14" s="26"/>
      <c r="F14" s="10"/>
      <c r="H14" s="23"/>
      <c r="I14" s="23"/>
      <c r="J14" s="23"/>
      <c r="K14" s="23"/>
    </row>
    <row r="15" spans="2:11" x14ac:dyDescent="0.25">
      <c r="B15" s="9"/>
      <c r="C15" s="26"/>
      <c r="D15" s="27"/>
      <c r="E15" s="26"/>
      <c r="F15" s="10"/>
      <c r="H15" s="23"/>
      <c r="I15" s="23"/>
      <c r="J15" s="23"/>
      <c r="K15" s="23"/>
    </row>
    <row r="16" spans="2:11" x14ac:dyDescent="0.25">
      <c r="B16" s="9"/>
      <c r="C16" s="26"/>
      <c r="D16" s="27"/>
      <c r="E16" s="26"/>
      <c r="F16" s="10"/>
      <c r="H16" s="23"/>
      <c r="I16" s="23"/>
      <c r="J16" s="23"/>
      <c r="K16" s="23"/>
    </row>
    <row r="17" spans="2:11" x14ac:dyDescent="0.25">
      <c r="B17" s="9"/>
      <c r="C17" s="26"/>
      <c r="D17" s="27"/>
      <c r="E17" s="26"/>
      <c r="F17" s="10"/>
      <c r="H17" s="23"/>
      <c r="I17" s="23"/>
      <c r="J17" s="23"/>
      <c r="K17" s="23"/>
    </row>
    <row r="18" spans="2:11" x14ac:dyDescent="0.25">
      <c r="B18" s="9"/>
      <c r="C18" s="26"/>
      <c r="D18" s="27"/>
      <c r="E18" s="26"/>
      <c r="F18" s="10"/>
      <c r="H18" s="23"/>
      <c r="I18" s="23"/>
      <c r="J18" s="23"/>
      <c r="K18" s="23"/>
    </row>
    <row r="19" spans="2:11" x14ac:dyDescent="0.25">
      <c r="B19" s="9"/>
      <c r="C19" s="26"/>
      <c r="D19" s="27"/>
      <c r="E19" s="26"/>
      <c r="F19" s="10"/>
      <c r="H19" s="23"/>
      <c r="I19" s="23"/>
      <c r="J19" s="23"/>
      <c r="K19" s="23"/>
    </row>
    <row r="20" spans="2:11" x14ac:dyDescent="0.25">
      <c r="B20" s="9"/>
      <c r="C20" s="26"/>
      <c r="D20" s="27"/>
      <c r="E20" s="26"/>
      <c r="F20" s="10"/>
      <c r="H20" s="23"/>
      <c r="I20" s="23"/>
      <c r="J20" s="23"/>
      <c r="K20" s="23"/>
    </row>
    <row r="21" spans="2:11" x14ac:dyDescent="0.25">
      <c r="B21" s="9"/>
      <c r="C21" s="26"/>
      <c r="D21" s="27"/>
      <c r="E21" s="26"/>
      <c r="F21" s="10"/>
      <c r="H21" s="23"/>
      <c r="I21" s="23"/>
      <c r="J21" s="23"/>
      <c r="K21" s="23"/>
    </row>
    <row r="22" spans="2:11" x14ac:dyDescent="0.25">
      <c r="B22" s="9"/>
      <c r="C22" s="26"/>
      <c r="D22" s="27"/>
      <c r="E22" s="26"/>
      <c r="F22" s="10"/>
      <c r="H22" s="23"/>
      <c r="I22" s="23"/>
      <c r="J22" s="23"/>
      <c r="K22" s="23"/>
    </row>
    <row r="23" spans="2:11" x14ac:dyDescent="0.25">
      <c r="B23" s="9"/>
      <c r="C23" s="26"/>
      <c r="D23" s="27"/>
      <c r="E23" s="26"/>
      <c r="F23" s="10"/>
      <c r="H23" s="23"/>
      <c r="I23" s="23"/>
      <c r="J23" s="23"/>
      <c r="K23" s="23"/>
    </row>
    <row r="24" spans="2:11" x14ac:dyDescent="0.25">
      <c r="B24" s="9"/>
      <c r="C24" s="26"/>
      <c r="D24" s="27"/>
      <c r="E24" s="26"/>
      <c r="F24" s="10"/>
      <c r="H24" s="23"/>
      <c r="I24" s="23"/>
      <c r="J24" s="23"/>
      <c r="K24" s="23"/>
    </row>
    <row r="25" spans="2:11" x14ac:dyDescent="0.25">
      <c r="B25" s="9"/>
      <c r="C25" s="26"/>
      <c r="D25" s="27"/>
      <c r="E25" s="26"/>
      <c r="F25" s="10"/>
      <c r="H25" s="44"/>
      <c r="I25" s="211"/>
      <c r="J25" s="211"/>
      <c r="K25" s="211"/>
    </row>
    <row r="26" spans="2:11" x14ac:dyDescent="0.25">
      <c r="B26" s="9"/>
      <c r="C26" s="26"/>
      <c r="D26" s="27"/>
      <c r="E26" s="26"/>
      <c r="F26" s="10"/>
      <c r="H26" s="45"/>
      <c r="I26" s="212"/>
      <c r="J26" s="212"/>
      <c r="K26" s="212"/>
    </row>
    <row r="27" spans="2:11" ht="15" customHeight="1" x14ac:dyDescent="0.25">
      <c r="B27" s="9"/>
      <c r="C27" s="26"/>
      <c r="D27" s="27"/>
      <c r="E27" s="26"/>
      <c r="F27" s="10"/>
      <c r="H27" s="210"/>
      <c r="I27" s="43"/>
      <c r="J27" s="43"/>
      <c r="K27" s="43"/>
    </row>
    <row r="28" spans="2:11" x14ac:dyDescent="0.25">
      <c r="B28" s="9"/>
      <c r="C28" s="26"/>
      <c r="D28" s="27"/>
      <c r="E28" s="26"/>
      <c r="F28" s="10"/>
      <c r="H28" s="210"/>
      <c r="I28" s="43"/>
      <c r="J28" s="43"/>
      <c r="K28" s="43"/>
    </row>
    <row r="29" spans="2:11" x14ac:dyDescent="0.25">
      <c r="B29" s="9"/>
      <c r="C29" s="26"/>
      <c r="D29" s="27"/>
      <c r="E29" s="26"/>
      <c r="F29" s="10"/>
      <c r="H29" s="210"/>
      <c r="I29" s="43"/>
      <c r="J29" s="43"/>
      <c r="K29" s="43"/>
    </row>
    <row r="30" spans="2:11" x14ac:dyDescent="0.25">
      <c r="B30" s="9"/>
      <c r="C30" s="26"/>
      <c r="D30" s="27"/>
      <c r="E30" s="26"/>
      <c r="F30" s="10"/>
      <c r="H30" s="23"/>
      <c r="I30" s="23"/>
      <c r="J30" s="23"/>
      <c r="K30" s="23"/>
    </row>
    <row r="31" spans="2:11" x14ac:dyDescent="0.25">
      <c r="B31" s="9"/>
      <c r="C31" s="26"/>
      <c r="D31" s="27"/>
      <c r="E31" s="26"/>
      <c r="F31" s="10"/>
      <c r="H31" s="23"/>
      <c r="I31" s="23"/>
      <c r="J31" s="23"/>
      <c r="K31" s="23"/>
    </row>
    <row r="32" spans="2:11" x14ac:dyDescent="0.25">
      <c r="B32" s="9"/>
      <c r="C32" s="26"/>
      <c r="D32" s="27"/>
      <c r="E32" s="26"/>
      <c r="F32" s="10"/>
    </row>
    <row r="33" spans="2:11" x14ac:dyDescent="0.25">
      <c r="B33" s="9"/>
      <c r="C33" s="26"/>
      <c r="D33" s="27"/>
      <c r="E33" s="26"/>
      <c r="F33" s="10"/>
      <c r="H33" s="46" t="s">
        <v>27</v>
      </c>
      <c r="I33" s="223" t="s">
        <v>35</v>
      </c>
      <c r="J33" s="224"/>
      <c r="K33" s="225"/>
    </row>
    <row r="34" spans="2:11" ht="15.75" customHeight="1" x14ac:dyDescent="0.25">
      <c r="B34" s="9"/>
      <c r="C34" s="26"/>
      <c r="D34" s="27"/>
      <c r="E34" s="26"/>
      <c r="F34" s="10"/>
      <c r="H34" s="18" t="s">
        <v>28</v>
      </c>
      <c r="I34" s="226" t="s">
        <v>37</v>
      </c>
      <c r="J34" s="227"/>
      <c r="K34" s="228"/>
    </row>
    <row r="35" spans="2:11" x14ac:dyDescent="0.25">
      <c r="B35" s="9"/>
      <c r="C35" s="26"/>
      <c r="D35" s="27"/>
      <c r="E35" s="26"/>
      <c r="F35" s="10"/>
      <c r="H35" s="195" t="s">
        <v>36</v>
      </c>
      <c r="I35" s="198" t="s">
        <v>38</v>
      </c>
      <c r="J35" s="199"/>
      <c r="K35" s="200"/>
    </row>
    <row r="36" spans="2:11" x14ac:dyDescent="0.25">
      <c r="B36" s="9"/>
      <c r="C36" s="26"/>
      <c r="D36" s="27"/>
      <c r="E36" s="26"/>
      <c r="F36" s="10"/>
      <c r="H36" s="196"/>
      <c r="I36" s="201"/>
      <c r="J36" s="202"/>
      <c r="K36" s="203"/>
    </row>
    <row r="37" spans="2:11" x14ac:dyDescent="0.25">
      <c r="B37" s="9"/>
      <c r="C37" s="26"/>
      <c r="D37" s="27"/>
      <c r="E37" s="26"/>
      <c r="F37" s="10"/>
      <c r="H37" s="197"/>
      <c r="I37" s="204"/>
      <c r="J37" s="205"/>
      <c r="K37" s="206"/>
    </row>
    <row r="38" spans="2:11" x14ac:dyDescent="0.25">
      <c r="B38" s="9"/>
      <c r="C38" s="26"/>
      <c r="D38" s="27"/>
      <c r="E38" s="26"/>
      <c r="F38" s="10"/>
      <c r="H38" s="23"/>
      <c r="I38" s="23"/>
      <c r="J38" s="23"/>
      <c r="K38" s="23"/>
    </row>
    <row r="39" spans="2:11" x14ac:dyDescent="0.25">
      <c r="B39" s="9"/>
      <c r="C39" s="26"/>
      <c r="D39" s="27"/>
      <c r="E39" s="26"/>
      <c r="F39" s="10"/>
      <c r="H39" s="23"/>
      <c r="I39" s="23"/>
      <c r="J39" s="23"/>
      <c r="K39" s="23"/>
    </row>
    <row r="40" spans="2:11" x14ac:dyDescent="0.25">
      <c r="B40" s="9"/>
      <c r="C40" s="26"/>
      <c r="D40" s="27"/>
      <c r="E40" s="26"/>
      <c r="F40" s="10"/>
      <c r="H40" s="23"/>
      <c r="I40" s="23"/>
      <c r="J40" s="23"/>
      <c r="K40" s="23"/>
    </row>
    <row r="41" spans="2:11" x14ac:dyDescent="0.25">
      <c r="B41" s="9"/>
      <c r="C41" s="26"/>
      <c r="D41" s="27"/>
      <c r="E41" s="26"/>
      <c r="F41" s="10"/>
      <c r="H41" s="23"/>
      <c r="I41" s="23"/>
      <c r="J41" s="23"/>
      <c r="K41" s="23"/>
    </row>
    <row r="42" spans="2:11" x14ac:dyDescent="0.25">
      <c r="B42" s="9"/>
      <c r="C42" s="26"/>
      <c r="D42" s="27"/>
      <c r="E42" s="26"/>
      <c r="F42" s="10"/>
    </row>
    <row r="43" spans="2:11" x14ac:dyDescent="0.25">
      <c r="B43" s="9"/>
      <c r="C43" s="26"/>
      <c r="D43" s="27"/>
      <c r="E43" s="26"/>
      <c r="F43" s="10"/>
    </row>
    <row r="44" spans="2:11" x14ac:dyDescent="0.25">
      <c r="B44" s="9"/>
      <c r="C44" s="26"/>
      <c r="D44" s="27"/>
      <c r="E44" s="26"/>
      <c r="F44" s="10"/>
    </row>
    <row r="45" spans="2:11" x14ac:dyDescent="0.25">
      <c r="B45" s="9"/>
      <c r="C45" s="26"/>
      <c r="D45" s="27"/>
      <c r="E45" s="26"/>
      <c r="F45" s="10"/>
    </row>
    <row r="46" spans="2:11" ht="15.75" thickBot="1" x14ac:dyDescent="0.3">
      <c r="B46" s="47"/>
      <c r="C46" s="48"/>
      <c r="D46" s="48"/>
      <c r="E46" s="48"/>
      <c r="F46" s="49"/>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E4862512-7990-4C4E-9FE3-F38C994933B1}">
      <formula1>2010</formula1>
      <formula2>2099</formula2>
    </dataValidation>
    <dataValidation type="list" allowBlank="1" showInputMessage="1" showErrorMessage="1" sqref="D4" xr:uid="{B89A43DA-7758-4BA5-99C4-0B4445472AAC}">
      <formula1>"7,8,9,10,11,12,13"</formula1>
    </dataValidation>
    <dataValidation type="list" allowBlank="1" showInputMessage="1" showErrorMessage="1" sqref="E4" xr:uid="{2A544FEB-6131-4B2E-9172-1BD0FCBD6272}">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ImportData">
                <anchor moveWithCells="1" sizeWithCells="1">
                  <from>
                    <xdr:col>7</xdr:col>
                    <xdr:colOff>504825</xdr:colOff>
                    <xdr:row>27</xdr:row>
                    <xdr:rowOff>76200</xdr:rowOff>
                  </from>
                  <to>
                    <xdr:col>10</xdr:col>
                    <xdr:colOff>28575</xdr:colOff>
                    <xdr:row>30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TLM81"/>
  <sheetViews>
    <sheetView showGridLines="0" zoomScaleNormal="100" workbookViewId="0">
      <pane xSplit="2" ySplit="4" topLeftCell="C5" activePane="bottomRight" state="frozenSplit"/>
      <selection pane="topRight" activeCell="AE1" sqref="AE1"/>
      <selection pane="bottomLeft" activeCell="A23" sqref="A23"/>
      <selection pane="bottomRight" activeCell="BQ2" sqref="BQ2"/>
    </sheetView>
  </sheetViews>
  <sheetFormatPr defaultColWidth="0" defaultRowHeight="15" x14ac:dyDescent="0.25"/>
  <cols>
    <col min="1" max="2" width="15.7109375" style="52" customWidth="1"/>
    <col min="3" max="13801" width="0" style="51" hidden="1"/>
    <col min="13802" max="16384" width="9.140625" style="51" hidden="1"/>
  </cols>
  <sheetData>
    <row r="1" spans="1:2 13845:13845" x14ac:dyDescent="0.25">
      <c r="A1" s="229" t="str">
        <f>_xlfn.CONCAT("Year ",ClassInformation!D4,ClassInformation!E4," ",ClassInformation!D5," - ","Semester 1 ",ClassInformation!D6)</f>
        <v>Year 7A Science - Semester 1 2022</v>
      </c>
      <c r="B1" s="230"/>
    </row>
    <row r="2" spans="1:2 13845:13845" x14ac:dyDescent="0.25">
      <c r="A2" s="229"/>
      <c r="B2" s="230"/>
    </row>
    <row r="3" spans="1:2 13845:13845" x14ac:dyDescent="0.25">
      <c r="A3" s="231" t="s">
        <v>21</v>
      </c>
      <c r="B3" s="232"/>
    </row>
    <row r="4" spans="1:2 13845:13845" ht="15.75" thickBot="1" x14ac:dyDescent="0.3">
      <c r="A4" s="172" t="s">
        <v>133</v>
      </c>
      <c r="B4" s="173" t="s">
        <v>134</v>
      </c>
    </row>
    <row r="5" spans="1:2 13845:13845" s="25" customFormat="1" x14ac:dyDescent="0.25">
      <c r="A5" s="177" t="str">
        <f>IF(ISBLANK(ClassInformation!C10),"ZZZZZ",_xlfn.CONCAT(ClassInformation!C10,", ",ClassInformation!D10))</f>
        <v>ZZZZZ</v>
      </c>
      <c r="B5" s="178"/>
      <c r="TLM5" s="25">
        <f>ClassInformation!E36</f>
        <v>0</v>
      </c>
    </row>
    <row r="6" spans="1:2 13845:13845" s="25" customFormat="1" x14ac:dyDescent="0.25">
      <c r="A6" s="179" t="str">
        <f>IF(ISBLANK(ClassInformation!C11),"ZZZZZ",_xlfn.CONCAT(ClassInformation!C11,", ",ClassInformation!D11))</f>
        <v>ZZZZZ</v>
      </c>
      <c r="B6" s="180"/>
      <c r="TLM6" s="25">
        <f>ClassInformation!E10</f>
        <v>0</v>
      </c>
    </row>
    <row r="7" spans="1:2 13845:13845" s="25" customFormat="1" x14ac:dyDescent="0.25">
      <c r="A7" s="179" t="str">
        <f>IF(ISBLANK(ClassInformation!C12),"ZZZZZ",_xlfn.CONCAT(ClassInformation!C12,", ",ClassInformation!D12))</f>
        <v>ZZZZZ</v>
      </c>
      <c r="B7" s="180"/>
      <c r="TLM7" s="25">
        <f>ClassInformation!E11</f>
        <v>0</v>
      </c>
    </row>
    <row r="8" spans="1:2 13845:13845" s="25" customFormat="1" x14ac:dyDescent="0.25">
      <c r="A8" s="179" t="str">
        <f>IF(ISBLANK(ClassInformation!C13),"ZZZZZ",_xlfn.CONCAT(ClassInformation!C13,", ",ClassInformation!D13))</f>
        <v>ZZZZZ</v>
      </c>
      <c r="B8" s="180"/>
      <c r="TLM8" s="25">
        <f>ClassInformation!E12</f>
        <v>0</v>
      </c>
    </row>
    <row r="9" spans="1:2 13845:13845" s="25" customFormat="1" x14ac:dyDescent="0.25">
      <c r="A9" s="179" t="str">
        <f>IF(ISBLANK(ClassInformation!C14),"ZZZZZ",_xlfn.CONCAT(ClassInformation!C14,", ",ClassInformation!D14))</f>
        <v>ZZZZZ</v>
      </c>
      <c r="B9" s="180"/>
      <c r="TLM9" s="25">
        <f>ClassInformation!E13</f>
        <v>0</v>
      </c>
    </row>
    <row r="10" spans="1:2 13845:13845" s="25" customFormat="1" x14ac:dyDescent="0.25">
      <c r="A10" s="179" t="str">
        <f>IF(ISBLANK(ClassInformation!C15),"ZZZZZ",_xlfn.CONCAT(ClassInformation!C15,", ",ClassInformation!D15))</f>
        <v>ZZZZZ</v>
      </c>
      <c r="B10" s="180"/>
      <c r="TLM10" s="25">
        <f>ClassInformation!E14</f>
        <v>0</v>
      </c>
    </row>
    <row r="11" spans="1:2 13845:13845" s="25" customFormat="1" x14ac:dyDescent="0.25">
      <c r="A11" s="179" t="str">
        <f>IF(ISBLANK(ClassInformation!C16),"ZZZZZ",_xlfn.CONCAT(ClassInformation!C16,", ",ClassInformation!D16))</f>
        <v>ZZZZZ</v>
      </c>
      <c r="B11" s="180"/>
      <c r="TLM11" s="25">
        <f>ClassInformation!E39</f>
        <v>0</v>
      </c>
    </row>
    <row r="12" spans="1:2 13845:13845" s="25" customFormat="1" x14ac:dyDescent="0.25">
      <c r="A12" s="179" t="str">
        <f>IF(ISBLANK(ClassInformation!C17),"ZZZZZ",_xlfn.CONCAT(ClassInformation!C17,", ",ClassInformation!D17))</f>
        <v>ZZZZZ</v>
      </c>
      <c r="B12" s="180"/>
      <c r="TLM12" s="25">
        <f>ClassInformation!E15</f>
        <v>0</v>
      </c>
    </row>
    <row r="13" spans="1:2 13845:13845" s="25" customFormat="1" x14ac:dyDescent="0.25">
      <c r="A13" s="179" t="str">
        <f>IF(ISBLANK(ClassInformation!C18),"ZZZZZ",_xlfn.CONCAT(ClassInformation!C18,", ",ClassInformation!D18))</f>
        <v>ZZZZZ</v>
      </c>
      <c r="B13" s="180"/>
      <c r="TLM13" s="25">
        <f>ClassInformation!E16</f>
        <v>0</v>
      </c>
    </row>
    <row r="14" spans="1:2 13845:13845" s="25" customFormat="1" x14ac:dyDescent="0.25">
      <c r="A14" s="179" t="str">
        <f>IF(ISBLANK(ClassInformation!C19),"ZZZZZ",_xlfn.CONCAT(ClassInformation!C19,", ",ClassInformation!D19))</f>
        <v>ZZZZZ</v>
      </c>
      <c r="B14" s="180"/>
      <c r="TLM14" s="25">
        <f>ClassInformation!E17</f>
        <v>0</v>
      </c>
    </row>
    <row r="15" spans="1:2 13845:13845" s="25" customFormat="1" x14ac:dyDescent="0.25">
      <c r="A15" s="179" t="str">
        <f>IF(ISBLANK(ClassInformation!C20),"ZZZZZ",_xlfn.CONCAT(ClassInformation!C20,", ",ClassInformation!D20))</f>
        <v>ZZZZZ</v>
      </c>
      <c r="B15" s="180"/>
      <c r="TLM15" s="25">
        <f>ClassInformation!E35</f>
        <v>0</v>
      </c>
    </row>
    <row r="16" spans="1:2 13845:13845" s="25" customFormat="1" x14ac:dyDescent="0.25">
      <c r="A16" s="179" t="str">
        <f>IF(ISBLANK(ClassInformation!C21),"ZZZZZ",_xlfn.CONCAT(ClassInformation!C21,", ",ClassInformation!D21))</f>
        <v>ZZZZZ</v>
      </c>
      <c r="B16" s="180"/>
      <c r="TLM16" s="25">
        <f>ClassInformation!E18</f>
        <v>0</v>
      </c>
    </row>
    <row r="17" spans="1:2 13845:13845" s="25" customFormat="1" x14ac:dyDescent="0.25">
      <c r="A17" s="179" t="str">
        <f>IF(ISBLANK(ClassInformation!C22),"ZZZZZ",_xlfn.CONCAT(ClassInformation!C22,", ",ClassInformation!D22))</f>
        <v>ZZZZZ</v>
      </c>
      <c r="B17" s="180"/>
      <c r="TLM17" s="25">
        <f>ClassInformation!E19</f>
        <v>0</v>
      </c>
    </row>
    <row r="18" spans="1:2 13845:13845" s="25" customFormat="1" x14ac:dyDescent="0.25">
      <c r="A18" s="179" t="str">
        <f>IF(ISBLANK(ClassInformation!C23),"ZZZZZ",_xlfn.CONCAT(ClassInformation!C23,", ",ClassInformation!D23))</f>
        <v>ZZZZZ</v>
      </c>
      <c r="B18" s="180"/>
      <c r="TLM18" s="25">
        <f>ClassInformation!E20</f>
        <v>0</v>
      </c>
    </row>
    <row r="19" spans="1:2 13845:13845" s="25" customFormat="1" x14ac:dyDescent="0.25">
      <c r="A19" s="179" t="str">
        <f>IF(ISBLANK(ClassInformation!C24),"ZZZZZ",_xlfn.CONCAT(ClassInformation!C24,", ",ClassInformation!D24))</f>
        <v>ZZZZZ</v>
      </c>
      <c r="B19" s="180"/>
      <c r="TLM19" s="25">
        <f>ClassInformation!E21</f>
        <v>0</v>
      </c>
    </row>
    <row r="20" spans="1:2 13845:13845" s="25" customFormat="1" x14ac:dyDescent="0.25">
      <c r="A20" s="179" t="str">
        <f>IF(ISBLANK(ClassInformation!C25),"ZZZZZ",_xlfn.CONCAT(ClassInformation!C25,", ",ClassInformation!D25))</f>
        <v>ZZZZZ</v>
      </c>
      <c r="B20" s="180"/>
      <c r="TLM20" s="25">
        <f>ClassInformation!E22</f>
        <v>0</v>
      </c>
    </row>
    <row r="21" spans="1:2 13845:13845" s="25" customFormat="1" x14ac:dyDescent="0.25">
      <c r="A21" s="179" t="str">
        <f>IF(ISBLANK(ClassInformation!C26),"ZZZZZ",_xlfn.CONCAT(ClassInformation!C26,", ",ClassInformation!D26))</f>
        <v>ZZZZZ</v>
      </c>
      <c r="B21" s="180"/>
      <c r="TLM21" s="25">
        <f>ClassInformation!E23</f>
        <v>0</v>
      </c>
    </row>
    <row r="22" spans="1:2 13845:13845" s="25" customFormat="1" x14ac:dyDescent="0.25">
      <c r="A22" s="179" t="str">
        <f>IF(ISBLANK(ClassInformation!C27),"ZZZZZ",_xlfn.CONCAT(ClassInformation!C27,", ",ClassInformation!D27))</f>
        <v>ZZZZZ</v>
      </c>
      <c r="B22" s="180"/>
      <c r="TLM22" s="25">
        <f>ClassInformation!E24</f>
        <v>0</v>
      </c>
    </row>
    <row r="23" spans="1:2 13845:13845" s="25" customFormat="1" x14ac:dyDescent="0.25">
      <c r="A23" s="179" t="str">
        <f>IF(ISBLANK(ClassInformation!C28),"ZZZZZ",_xlfn.CONCAT(ClassInformation!C28,", ",ClassInformation!D28))</f>
        <v>ZZZZZ</v>
      </c>
      <c r="B23" s="180"/>
      <c r="TLM23" s="25">
        <f>ClassInformation!E25</f>
        <v>0</v>
      </c>
    </row>
    <row r="24" spans="1:2 13845:13845" s="25" customFormat="1" x14ac:dyDescent="0.25">
      <c r="A24" s="179" t="str">
        <f>IF(ISBLANK(ClassInformation!C29),"ZZZZZ",_xlfn.CONCAT(ClassInformation!C29,", ",ClassInformation!D29))</f>
        <v>ZZZZZ</v>
      </c>
      <c r="B24" s="180"/>
      <c r="TLM24" s="25">
        <f>ClassInformation!E26</f>
        <v>0</v>
      </c>
    </row>
    <row r="25" spans="1:2 13845:13845" s="25" customFormat="1" x14ac:dyDescent="0.25">
      <c r="A25" s="179" t="str">
        <f>IF(ISBLANK(ClassInformation!C30),"ZZZZZ",_xlfn.CONCAT(ClassInformation!C30,", ",ClassInformation!D30))</f>
        <v>ZZZZZ</v>
      </c>
      <c r="B25" s="180"/>
      <c r="TLM25" s="25">
        <f>ClassInformation!E27</f>
        <v>0</v>
      </c>
    </row>
    <row r="26" spans="1:2 13845:13845" s="25" customFormat="1" x14ac:dyDescent="0.25">
      <c r="A26" s="179" t="str">
        <f>IF(ISBLANK(ClassInformation!C31),"ZZZZZ",_xlfn.CONCAT(ClassInformation!C31,", ",ClassInformation!D31))</f>
        <v>ZZZZZ</v>
      </c>
      <c r="B26" s="180"/>
      <c r="TLM26" s="25">
        <f>ClassInformation!E28</f>
        <v>0</v>
      </c>
    </row>
    <row r="27" spans="1:2 13845:13845" s="25" customFormat="1" x14ac:dyDescent="0.25">
      <c r="A27" s="179" t="str">
        <f>IF(ISBLANK(ClassInformation!C32),"ZZZZZ",_xlfn.CONCAT(ClassInformation!C32,", ",ClassInformation!D32))</f>
        <v>ZZZZZ</v>
      </c>
      <c r="B27" s="180"/>
      <c r="TLM27" s="25">
        <f>ClassInformation!E29</f>
        <v>0</v>
      </c>
    </row>
    <row r="28" spans="1:2 13845:13845" s="25" customFormat="1" x14ac:dyDescent="0.25">
      <c r="A28" s="179" t="str">
        <f>IF(ISBLANK(ClassInformation!C33),"ZZZZZ",_xlfn.CONCAT(ClassInformation!C33,", ",ClassInformation!D33))</f>
        <v>ZZZZZ</v>
      </c>
      <c r="B28" s="180"/>
      <c r="TLM28" s="25">
        <f>ClassInformation!E38</f>
        <v>0</v>
      </c>
    </row>
    <row r="29" spans="1:2 13845:13845" s="25" customFormat="1" x14ac:dyDescent="0.25">
      <c r="A29" s="179" t="str">
        <f>IF(ISBLANK(ClassInformation!C34),"ZZZZZ",_xlfn.CONCAT(ClassInformation!C34,", ",ClassInformation!D34))</f>
        <v>ZZZZZ</v>
      </c>
      <c r="B29" s="180"/>
      <c r="TLM29" s="25">
        <f>ClassInformation!E37</f>
        <v>0</v>
      </c>
    </row>
    <row r="30" spans="1:2 13845:13845" s="25" customFormat="1" x14ac:dyDescent="0.25">
      <c r="A30" s="179" t="str">
        <f>IF(ISBLANK(ClassInformation!C35),"ZZZZZ",_xlfn.CONCAT(ClassInformation!C35,", ",ClassInformation!D35))</f>
        <v>ZZZZZ</v>
      </c>
      <c r="B30" s="180"/>
      <c r="TLM30" s="25">
        <f>ClassInformation!E30</f>
        <v>0</v>
      </c>
    </row>
    <row r="31" spans="1:2 13845:13845" s="25" customFormat="1" x14ac:dyDescent="0.25">
      <c r="A31" s="179" t="str">
        <f>IF(ISBLANK(ClassInformation!C36),"ZZZZZ",_xlfn.CONCAT(ClassInformation!C36,", ",ClassInformation!D36))</f>
        <v>ZZZZZ</v>
      </c>
      <c r="B31" s="180"/>
      <c r="TLM31" s="25">
        <f>ClassInformation!E31</f>
        <v>0</v>
      </c>
    </row>
    <row r="32" spans="1:2 13845:13845" s="25" customFormat="1" x14ac:dyDescent="0.25">
      <c r="A32" s="179" t="str">
        <f>IF(ISBLANK(ClassInformation!C40),"ZZZZZ",_xlfn.CONCAT(ClassInformation!C40,", ",ClassInformation!D40))</f>
        <v>ZZZZZ</v>
      </c>
      <c r="B32" s="180"/>
      <c r="TLM32" s="25">
        <f>ClassInformation!E40</f>
        <v>0</v>
      </c>
    </row>
    <row r="33" spans="1:2 13647:13845" s="25" customFormat="1" x14ac:dyDescent="0.25">
      <c r="A33" s="179" t="str">
        <f>IF(ISBLANK(ClassInformation!C39),"ZZZZZ",_xlfn.CONCAT(ClassInformation!C39,", ",ClassInformation!D39))</f>
        <v>ZZZZZ</v>
      </c>
      <c r="B33" s="180"/>
      <c r="TLM33" s="25">
        <f>ClassInformation!E34</f>
        <v>0</v>
      </c>
    </row>
    <row r="34" spans="1:2 13647:13845" s="25" customFormat="1" x14ac:dyDescent="0.25">
      <c r="A34" s="179" t="str">
        <f>IF(ISBLANK(ClassInformation!C38),"ZZZZZ",_xlfn.CONCAT(ClassInformation!C38,", ",ClassInformation!D38))</f>
        <v>ZZZZZ</v>
      </c>
      <c r="B34" s="180"/>
      <c r="TLM34" s="25">
        <f>ClassInformation!E33</f>
        <v>0</v>
      </c>
    </row>
    <row r="35" spans="1:2 13647:13845" s="25" customFormat="1" x14ac:dyDescent="0.25">
      <c r="A35" s="179" t="str">
        <f>IF(ISBLANK(ClassInformation!C37),"ZZZZZ",_xlfn.CONCAT(ClassInformation!C37,", ",ClassInformation!D37))</f>
        <v>ZZZZZ</v>
      </c>
      <c r="B35" s="180"/>
      <c r="TLM35" s="25">
        <f>ClassInformation!E32</f>
        <v>0</v>
      </c>
    </row>
    <row r="36" spans="1:2 13647:13845" s="25" customFormat="1" x14ac:dyDescent="0.25">
      <c r="A36" s="179" t="str">
        <f>IF(ISBLANK(ClassInformation!C41),"ZZZZZ",_xlfn.CONCAT(ClassInformation!C41,", ",ClassInformation!D41))</f>
        <v>ZZZZZ</v>
      </c>
      <c r="B36" s="180"/>
      <c r="TLM36" s="25">
        <f>ClassInformation!E41</f>
        <v>0</v>
      </c>
    </row>
    <row r="37" spans="1:2 13647:13845" s="25" customFormat="1" x14ac:dyDescent="0.25">
      <c r="A37" s="179" t="str">
        <f>IF(ISBLANK(ClassInformation!C42),"ZZZZZ",_xlfn.CONCAT(ClassInformation!C42,", ",ClassInformation!D42))</f>
        <v>ZZZZZ</v>
      </c>
      <c r="B37" s="180"/>
      <c r="TLM37" s="25">
        <f>ClassInformation!E42</f>
        <v>0</v>
      </c>
    </row>
    <row r="38" spans="1:2 13647:13845" s="25" customFormat="1" x14ac:dyDescent="0.25">
      <c r="A38" s="179" t="str">
        <f>IF(ISBLANK(ClassInformation!C43),"ZZZZZ",_xlfn.CONCAT(ClassInformation!C43,", ",ClassInformation!D43))</f>
        <v>ZZZZZ</v>
      </c>
      <c r="B38" s="180"/>
      <c r="TLM38" s="25">
        <f>ClassInformation!E43</f>
        <v>0</v>
      </c>
    </row>
    <row r="39" spans="1:2 13647:13845" s="25" customFormat="1" x14ac:dyDescent="0.25">
      <c r="A39" s="179" t="str">
        <f>IF(ISBLANK(ClassInformation!C44),"ZZZZZ",_xlfn.CONCAT(ClassInformation!C44,", ",ClassInformation!D44))</f>
        <v>ZZZZZ</v>
      </c>
      <c r="B39" s="180"/>
      <c r="TLM39" s="25">
        <f>ClassInformation!E44</f>
        <v>0</v>
      </c>
    </row>
    <row r="40" spans="1:2 13647:13845" s="25" customFormat="1" ht="15.75" thickBot="1" x14ac:dyDescent="0.3">
      <c r="A40" s="181" t="str">
        <f>IF(ISBLANK(ClassInformation!C45),"ZZZZZ",_xlfn.CONCAT(ClassInformation!C45,", ",ClassInformation!D45))</f>
        <v>ZZZZZ</v>
      </c>
      <c r="B40" s="182"/>
      <c r="TLM40" s="25">
        <f>ClassInformation!E45</f>
        <v>0</v>
      </c>
    </row>
    <row r="41" spans="1:2 13647:13845" x14ac:dyDescent="0.25">
      <c r="TDW41" s="25"/>
    </row>
    <row r="46" spans="1:2 13647:13845" x14ac:dyDescent="0.25">
      <c r="A46" s="25"/>
    </row>
    <row r="47" spans="1:2 13647:13845" x14ac:dyDescent="0.25">
      <c r="A47" s="25"/>
    </row>
    <row r="48" spans="1:2 13647:13845" x14ac:dyDescent="0.25">
      <c r="A48" s="25"/>
    </row>
    <row r="49" spans="1:1" x14ac:dyDescent="0.25">
      <c r="A49" s="25"/>
    </row>
    <row r="50" spans="1:1" x14ac:dyDescent="0.25">
      <c r="A50" s="25"/>
    </row>
    <row r="51" spans="1:1" x14ac:dyDescent="0.25">
      <c r="A51" s="25"/>
    </row>
    <row r="52" spans="1:1" x14ac:dyDescent="0.25">
      <c r="A52" s="25"/>
    </row>
    <row r="53" spans="1:1" x14ac:dyDescent="0.25">
      <c r="A53" s="25"/>
    </row>
    <row r="54" spans="1:1" x14ac:dyDescent="0.25">
      <c r="A54" s="25"/>
    </row>
    <row r="55" spans="1:1" x14ac:dyDescent="0.25">
      <c r="A55" s="25"/>
    </row>
    <row r="56" spans="1:1" x14ac:dyDescent="0.25">
      <c r="A56" s="25"/>
    </row>
    <row r="57" spans="1:1" x14ac:dyDescent="0.25">
      <c r="A57" s="25"/>
    </row>
    <row r="58" spans="1:1" x14ac:dyDescent="0.25">
      <c r="A58" s="25"/>
    </row>
    <row r="59" spans="1:1" x14ac:dyDescent="0.25">
      <c r="A59" s="25"/>
    </row>
    <row r="60" spans="1:1" x14ac:dyDescent="0.25">
      <c r="A60" s="25"/>
    </row>
    <row r="61" spans="1:1" x14ac:dyDescent="0.25">
      <c r="A61" s="25"/>
    </row>
    <row r="62" spans="1:1" x14ac:dyDescent="0.25">
      <c r="A62" s="25"/>
    </row>
    <row r="63" spans="1:1" x14ac:dyDescent="0.25">
      <c r="A63" s="25"/>
    </row>
    <row r="64" spans="1:1" x14ac:dyDescent="0.25">
      <c r="A64" s="25"/>
    </row>
    <row r="65" spans="1:1" x14ac:dyDescent="0.25">
      <c r="A65" s="25"/>
    </row>
    <row r="66" spans="1:1" x14ac:dyDescent="0.25">
      <c r="A66" s="25"/>
    </row>
    <row r="67" spans="1:1" x14ac:dyDescent="0.25">
      <c r="A67" s="25"/>
    </row>
    <row r="68" spans="1:1" x14ac:dyDescent="0.25">
      <c r="A68" s="25"/>
    </row>
    <row r="69" spans="1:1" x14ac:dyDescent="0.25">
      <c r="A69" s="25"/>
    </row>
    <row r="70" spans="1:1" x14ac:dyDescent="0.25">
      <c r="A70" s="25"/>
    </row>
    <row r="71" spans="1:1" x14ac:dyDescent="0.25">
      <c r="A71" s="25"/>
    </row>
    <row r="72" spans="1:1" x14ac:dyDescent="0.25">
      <c r="A72" s="25"/>
    </row>
    <row r="73" spans="1:1" x14ac:dyDescent="0.25">
      <c r="A73" s="25"/>
    </row>
    <row r="74" spans="1:1" x14ac:dyDescent="0.25">
      <c r="A74" s="25"/>
    </row>
    <row r="75" spans="1:1" x14ac:dyDescent="0.25">
      <c r="A75" s="25"/>
    </row>
    <row r="76" spans="1:1" x14ac:dyDescent="0.25">
      <c r="A76" s="25"/>
    </row>
    <row r="77" spans="1:1" x14ac:dyDescent="0.25">
      <c r="A77" s="25"/>
    </row>
    <row r="78" spans="1:1" x14ac:dyDescent="0.25">
      <c r="A78" s="25"/>
    </row>
    <row r="79" spans="1:1" x14ac:dyDescent="0.25">
      <c r="A79" s="25"/>
    </row>
    <row r="80" spans="1:1" x14ac:dyDescent="0.25">
      <c r="A80" s="25"/>
    </row>
    <row r="81" spans="1:1" x14ac:dyDescent="0.25">
      <c r="A81" s="25"/>
    </row>
  </sheetData>
  <sheetProtection sheet="1" formatCells="0" formatColumns="0" formatRows="0" insertColumns="0" deleteColumns="0"/>
  <sortState xmlns:xlrd2="http://schemas.microsoft.com/office/spreadsheetml/2017/richdata2" ref="A5:WTM40">
    <sortCondition ref="A5"/>
  </sortState>
  <dataConsolidate/>
  <mergeCells count="2">
    <mergeCell ref="A1:B2"/>
    <mergeCell ref="A3:B3"/>
  </mergeCells>
  <conditionalFormatting sqref="A5:B40">
    <cfRule type="expression" dxfId="15" priority="1290">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89" id="{00000000-000E-0000-0100-0000C3040000}">
            <xm:f>ClassInformation!$E10="N"</xm:f>
            <x14:dxf>
              <font>
                <strike/>
                <color theme="0" tint="-0.34998626667073579"/>
              </font>
              <fill>
                <patternFill>
                  <bgColor theme="0" tint="-0.14996795556505021"/>
                </patternFill>
              </fill>
            </x14:dxf>
          </x14:cfRule>
          <xm:sqref>A5:B40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WSH81"/>
  <sheetViews>
    <sheetView showGridLines="0" zoomScaleNormal="100" workbookViewId="0">
      <pane xSplit="2" ySplit="4" topLeftCell="C5" activePane="bottomRight" state="frozenSplit"/>
      <selection pane="topRight" activeCell="AE1" sqref="AE1"/>
      <selection pane="bottomLeft" activeCell="A23" sqref="A23"/>
      <selection pane="bottomRight" activeCell="C1" sqref="C1:AI40"/>
    </sheetView>
  </sheetViews>
  <sheetFormatPr defaultColWidth="0" defaultRowHeight="15" customHeight="1" x14ac:dyDescent="0.25"/>
  <cols>
    <col min="1" max="2" width="15.7109375" style="52" customWidth="1"/>
    <col min="3" max="16050" width="0" style="51" hidden="1"/>
    <col min="16051" max="16384" width="9.140625" style="51" hidden="1"/>
  </cols>
  <sheetData>
    <row r="1" spans="1:2" x14ac:dyDescent="0.25">
      <c r="A1" s="229" t="str">
        <f>_xlfn.CONCAT("Year ",ClassInformation!D4,ClassInformation!E4," ",ClassInformation!D5," - ","Semester 2 ",ClassInformation!D6)</f>
        <v>Year 7A Science - Semester 2 2022</v>
      </c>
      <c r="B1" s="230"/>
    </row>
    <row r="2" spans="1:2" x14ac:dyDescent="0.25">
      <c r="A2" s="229"/>
      <c r="B2" s="230"/>
    </row>
    <row r="3" spans="1:2" x14ac:dyDescent="0.25">
      <c r="A3" s="231" t="s">
        <v>21</v>
      </c>
      <c r="B3" s="232"/>
    </row>
    <row r="4" spans="1:2" ht="15.75" thickBot="1" x14ac:dyDescent="0.3">
      <c r="A4" s="89" t="s">
        <v>19</v>
      </c>
      <c r="B4" s="50" t="s">
        <v>20</v>
      </c>
    </row>
    <row r="5" spans="1:2" s="25" customFormat="1" x14ac:dyDescent="0.25">
      <c r="A5" s="177" t="str">
        <f>IF(ISBLANK(ClassInformation!C10),"ZZZZZ",_xlfn.CONCAT(ClassInformation!C10,", ",ClassInformation!D10))</f>
        <v>ZZZZZ</v>
      </c>
      <c r="B5" s="178"/>
    </row>
    <row r="6" spans="1:2" s="25" customFormat="1" x14ac:dyDescent="0.25">
      <c r="A6" s="179" t="str">
        <f>IF(ISBLANK(ClassInformation!C11),"ZZZZZ",_xlfn.CONCAT(ClassInformation!C11,", ",ClassInformation!D11))</f>
        <v>ZZZZZ</v>
      </c>
      <c r="B6" s="180"/>
    </row>
    <row r="7" spans="1:2" s="25" customFormat="1" x14ac:dyDescent="0.25">
      <c r="A7" s="179" t="str">
        <f>IF(ISBLANK(ClassInformation!C12),"ZZZZZ",_xlfn.CONCAT(ClassInformation!C12,", ",ClassInformation!D12))</f>
        <v>ZZZZZ</v>
      </c>
      <c r="B7" s="180"/>
    </row>
    <row r="8" spans="1:2" s="25" customFormat="1" x14ac:dyDescent="0.25">
      <c r="A8" s="179" t="str">
        <f>IF(ISBLANK(ClassInformation!C13),"ZZZZZ",_xlfn.CONCAT(ClassInformation!C13,", ",ClassInformation!D13))</f>
        <v>ZZZZZ</v>
      </c>
      <c r="B8" s="180"/>
    </row>
    <row r="9" spans="1:2" s="25" customFormat="1" x14ac:dyDescent="0.25">
      <c r="A9" s="179" t="str">
        <f>IF(ISBLANK(ClassInformation!C14),"ZZZZZ",_xlfn.CONCAT(ClassInformation!C14,", ",ClassInformation!D14))</f>
        <v>ZZZZZ</v>
      </c>
      <c r="B9" s="180"/>
    </row>
    <row r="10" spans="1:2" s="25" customFormat="1" x14ac:dyDescent="0.25">
      <c r="A10" s="179" t="str">
        <f>IF(ISBLANK(ClassInformation!C15),"ZZZZZ",_xlfn.CONCAT(ClassInformation!C15,", ",ClassInformation!D15))</f>
        <v>ZZZZZ</v>
      </c>
      <c r="B10" s="180"/>
    </row>
    <row r="11" spans="1:2" s="25" customFormat="1" x14ac:dyDescent="0.25">
      <c r="A11" s="179" t="str">
        <f>IF(ISBLANK(ClassInformation!C16),"ZZZZZ",_xlfn.CONCAT(ClassInformation!C16,", ",ClassInformation!D16))</f>
        <v>ZZZZZ</v>
      </c>
      <c r="B11" s="180"/>
    </row>
    <row r="12" spans="1:2" s="25" customFormat="1" x14ac:dyDescent="0.25">
      <c r="A12" s="179" t="str">
        <f>IF(ISBLANK(ClassInformation!C17),"ZZZZZ",_xlfn.CONCAT(ClassInformation!C17,", ",ClassInformation!D17))</f>
        <v>ZZZZZ</v>
      </c>
      <c r="B12" s="180"/>
    </row>
    <row r="13" spans="1:2" s="25" customFormat="1" x14ac:dyDescent="0.25">
      <c r="A13" s="179" t="str">
        <f>IF(ISBLANK(ClassInformation!C18),"ZZZZZ",_xlfn.CONCAT(ClassInformation!C18,", ",ClassInformation!D18))</f>
        <v>ZZZZZ</v>
      </c>
      <c r="B13" s="180"/>
    </row>
    <row r="14" spans="1:2" s="25" customFormat="1" x14ac:dyDescent="0.25">
      <c r="A14" s="179" t="str">
        <f>IF(ISBLANK(ClassInformation!C19),"ZZZZZ",_xlfn.CONCAT(ClassInformation!C19,", ",ClassInformation!D19))</f>
        <v>ZZZZZ</v>
      </c>
      <c r="B14" s="180"/>
    </row>
    <row r="15" spans="1:2" s="25" customFormat="1" x14ac:dyDescent="0.25">
      <c r="A15" s="179" t="str">
        <f>IF(ISBLANK(ClassInformation!C20),"ZZZZZ",_xlfn.CONCAT(ClassInformation!C20,", ",ClassInformation!D20))</f>
        <v>ZZZZZ</v>
      </c>
      <c r="B15" s="180"/>
    </row>
    <row r="16" spans="1:2" s="25" customFormat="1" x14ac:dyDescent="0.25">
      <c r="A16" s="179" t="str">
        <f>IF(ISBLANK(ClassInformation!C21),"ZZZZZ",_xlfn.CONCAT(ClassInformation!C21,", ",ClassInformation!D21))</f>
        <v>ZZZZZ</v>
      </c>
      <c r="B16" s="180"/>
    </row>
    <row r="17" spans="1:2" s="25" customFormat="1" x14ac:dyDescent="0.25">
      <c r="A17" s="179" t="str">
        <f>IF(ISBLANK(ClassInformation!C22),"ZZZZZ",_xlfn.CONCAT(ClassInformation!C22,", ",ClassInformation!D22))</f>
        <v>ZZZZZ</v>
      </c>
      <c r="B17" s="180"/>
    </row>
    <row r="18" spans="1:2" s="25" customFormat="1" x14ac:dyDescent="0.25">
      <c r="A18" s="179" t="str">
        <f>IF(ISBLANK(ClassInformation!C23),"ZZZZZ",_xlfn.CONCAT(ClassInformation!C23,", ",ClassInformation!D23))</f>
        <v>ZZZZZ</v>
      </c>
      <c r="B18" s="180"/>
    </row>
    <row r="19" spans="1:2" s="25" customFormat="1" x14ac:dyDescent="0.25">
      <c r="A19" s="179" t="str">
        <f>IF(ISBLANK(ClassInformation!C24),"ZZZZZ",_xlfn.CONCAT(ClassInformation!C24,", ",ClassInformation!D24))</f>
        <v>ZZZZZ</v>
      </c>
      <c r="B19" s="180"/>
    </row>
    <row r="20" spans="1:2" s="25" customFormat="1" x14ac:dyDescent="0.25">
      <c r="A20" s="179" t="str">
        <f>IF(ISBLANK(ClassInformation!C25),"ZZZZZ",_xlfn.CONCAT(ClassInformation!C25,", ",ClassInformation!D25))</f>
        <v>ZZZZZ</v>
      </c>
      <c r="B20" s="180"/>
    </row>
    <row r="21" spans="1:2" s="25" customFormat="1" x14ac:dyDescent="0.25">
      <c r="A21" s="179" t="str">
        <f>IF(ISBLANK(ClassInformation!C26),"ZZZZZ",_xlfn.CONCAT(ClassInformation!C26,", ",ClassInformation!D26))</f>
        <v>ZZZZZ</v>
      </c>
      <c r="B21" s="180"/>
    </row>
    <row r="22" spans="1:2" s="25" customFormat="1" x14ac:dyDescent="0.25">
      <c r="A22" s="179" t="str">
        <f>IF(ISBLANK(ClassInformation!C27),"ZZZZZ",_xlfn.CONCAT(ClassInformation!C27,", ",ClassInformation!D27))</f>
        <v>ZZZZZ</v>
      </c>
      <c r="B22" s="180"/>
    </row>
    <row r="23" spans="1:2" s="25" customFormat="1" x14ac:dyDescent="0.25">
      <c r="A23" s="179" t="str">
        <f>IF(ISBLANK(ClassInformation!C28),"ZZZZZ",_xlfn.CONCAT(ClassInformation!C28,", ",ClassInformation!D28))</f>
        <v>ZZZZZ</v>
      </c>
      <c r="B23" s="180"/>
    </row>
    <row r="24" spans="1:2" s="25" customFormat="1" x14ac:dyDescent="0.25">
      <c r="A24" s="179" t="str">
        <f>IF(ISBLANK(ClassInformation!C29),"ZZZZZ",_xlfn.CONCAT(ClassInformation!C29,", ",ClassInformation!D29))</f>
        <v>ZZZZZ</v>
      </c>
      <c r="B24" s="180"/>
    </row>
    <row r="25" spans="1:2" s="25" customFormat="1" x14ac:dyDescent="0.25">
      <c r="A25" s="179" t="str">
        <f>IF(ISBLANK(ClassInformation!C30),"ZZZZZ",_xlfn.CONCAT(ClassInformation!C30,", ",ClassInformation!D30))</f>
        <v>ZZZZZ</v>
      </c>
      <c r="B25" s="180"/>
    </row>
    <row r="26" spans="1:2" s="25" customFormat="1" x14ac:dyDescent="0.25">
      <c r="A26" s="179" t="str">
        <f>IF(ISBLANK(ClassInformation!C31),"ZZZZZ",_xlfn.CONCAT(ClassInformation!C31,", ",ClassInformation!D31))</f>
        <v>ZZZZZ</v>
      </c>
      <c r="B26" s="180"/>
    </row>
    <row r="27" spans="1:2" s="25" customFormat="1" x14ac:dyDescent="0.25">
      <c r="A27" s="179" t="str">
        <f>IF(ISBLANK(ClassInformation!C32),"ZZZZZ",_xlfn.CONCAT(ClassInformation!C32,", ",ClassInformation!D32))</f>
        <v>ZZZZZ</v>
      </c>
      <c r="B27" s="180"/>
    </row>
    <row r="28" spans="1:2" s="25" customFormat="1" x14ac:dyDescent="0.25">
      <c r="A28" s="179" t="str">
        <f>IF(ISBLANK(ClassInformation!C33),"ZZZZZ",_xlfn.CONCAT(ClassInformation!C33,", ",ClassInformation!D33))</f>
        <v>ZZZZZ</v>
      </c>
      <c r="B28" s="180"/>
    </row>
    <row r="29" spans="1:2" s="25" customFormat="1" x14ac:dyDescent="0.25">
      <c r="A29" s="179" t="str">
        <f>IF(ISBLANK(ClassInformation!C34),"ZZZZZ",_xlfn.CONCAT(ClassInformation!C34,", ",ClassInformation!D34))</f>
        <v>ZZZZZ</v>
      </c>
      <c r="B29" s="180"/>
    </row>
    <row r="30" spans="1:2" s="25" customFormat="1" x14ac:dyDescent="0.25">
      <c r="A30" s="179" t="str">
        <f>IF(ISBLANK(ClassInformation!C35),"ZZZZZ",_xlfn.CONCAT(ClassInformation!C35,", ",ClassInformation!D35))</f>
        <v>ZZZZZ</v>
      </c>
      <c r="B30" s="180"/>
    </row>
    <row r="31" spans="1:2" s="25" customFormat="1" x14ac:dyDescent="0.25">
      <c r="A31" s="179" t="str">
        <f>IF(ISBLANK(ClassInformation!C36),"ZZZZZ",_xlfn.CONCAT(ClassInformation!C36,", ",ClassInformation!D36))</f>
        <v>ZZZZZ</v>
      </c>
      <c r="B31" s="180"/>
    </row>
    <row r="32" spans="1:2" s="25" customFormat="1" x14ac:dyDescent="0.25">
      <c r="A32" s="179" t="str">
        <f>IF(ISBLANK(ClassInformation!C40),"ZZZZZ",_xlfn.CONCAT(ClassInformation!C40,", ",ClassInformation!D40))</f>
        <v>ZZZZZ</v>
      </c>
      <c r="B32" s="180"/>
    </row>
    <row r="33" spans="1:2" s="25" customFormat="1" x14ac:dyDescent="0.25">
      <c r="A33" s="179" t="str">
        <f>IF(ISBLANK(ClassInformation!C39),"ZZZZZ",_xlfn.CONCAT(ClassInformation!C39,", ",ClassInformation!D39))</f>
        <v>ZZZZZ</v>
      </c>
      <c r="B33" s="180"/>
    </row>
    <row r="34" spans="1:2" s="25" customFormat="1" x14ac:dyDescent="0.25">
      <c r="A34" s="179" t="str">
        <f>IF(ISBLANK(ClassInformation!C38),"ZZZZZ",_xlfn.CONCAT(ClassInformation!C38,", ",ClassInformation!D38))</f>
        <v>ZZZZZ</v>
      </c>
      <c r="B34" s="180"/>
    </row>
    <row r="35" spans="1:2" s="25" customFormat="1" x14ac:dyDescent="0.25">
      <c r="A35" s="179" t="str">
        <f>IF(ISBLANK(ClassInformation!C37),"ZZZZZ",_xlfn.CONCAT(ClassInformation!C37,", ",ClassInformation!D37))</f>
        <v>ZZZZZ</v>
      </c>
      <c r="B35" s="180"/>
    </row>
    <row r="36" spans="1:2" s="25" customFormat="1" x14ac:dyDescent="0.25">
      <c r="A36" s="179" t="str">
        <f>IF(ISBLANK(ClassInformation!C41),"ZZZZZ",_xlfn.CONCAT(ClassInformation!C41,", ",ClassInformation!D41))</f>
        <v>ZZZZZ</v>
      </c>
      <c r="B36" s="180"/>
    </row>
    <row r="37" spans="1:2" s="25" customFormat="1" x14ac:dyDescent="0.25">
      <c r="A37" s="179" t="str">
        <f>IF(ISBLANK(ClassInformation!C42),"ZZZZZ",_xlfn.CONCAT(ClassInformation!C42,", ",ClassInformation!D42))</f>
        <v>ZZZZZ</v>
      </c>
      <c r="B37" s="180"/>
    </row>
    <row r="38" spans="1:2" s="25" customFormat="1" x14ac:dyDescent="0.25">
      <c r="A38" s="179" t="str">
        <f>IF(ISBLANK(ClassInformation!C43),"ZZZZZ",_xlfn.CONCAT(ClassInformation!C43,", ",ClassInformation!D43))</f>
        <v>ZZZZZ</v>
      </c>
      <c r="B38" s="180"/>
    </row>
    <row r="39" spans="1:2" s="25" customFormat="1" x14ac:dyDescent="0.25">
      <c r="A39" s="179" t="str">
        <f>IF(ISBLANK(ClassInformation!C44),"ZZZZZ",_xlfn.CONCAT(ClassInformation!C44,", ",ClassInformation!D44))</f>
        <v>ZZZZZ</v>
      </c>
      <c r="B39" s="180"/>
    </row>
    <row r="40" spans="1:2" s="25" customFormat="1" ht="15.75" thickBot="1" x14ac:dyDescent="0.3">
      <c r="A40" s="181" t="str">
        <f>IF(ISBLANK(ClassInformation!C45),"ZZZZZ",_xlfn.CONCAT(ClassInformation!C45,", ",ClassInformation!D45))</f>
        <v>ZZZZZ</v>
      </c>
      <c r="B40" s="182"/>
    </row>
    <row r="41" spans="1:2" x14ac:dyDescent="0.25"/>
    <row r="46" spans="1:2" x14ac:dyDescent="0.25">
      <c r="A46" s="25"/>
    </row>
    <row r="47" spans="1:2" x14ac:dyDescent="0.25">
      <c r="A47" s="25"/>
    </row>
    <row r="48" spans="1:2" x14ac:dyDescent="0.25">
      <c r="A48" s="25"/>
    </row>
    <row r="49" spans="1:1" x14ac:dyDescent="0.25">
      <c r="A49" s="25"/>
    </row>
    <row r="50" spans="1:1" x14ac:dyDescent="0.25">
      <c r="A50" s="25"/>
    </row>
    <row r="51" spans="1:1" x14ac:dyDescent="0.25">
      <c r="A51" s="25"/>
    </row>
    <row r="52" spans="1:1" x14ac:dyDescent="0.25">
      <c r="A52" s="25"/>
    </row>
    <row r="53" spans="1:1" x14ac:dyDescent="0.25">
      <c r="A53" s="25"/>
    </row>
    <row r="54" spans="1:1" x14ac:dyDescent="0.25">
      <c r="A54" s="25"/>
    </row>
    <row r="55" spans="1:1" x14ac:dyDescent="0.25">
      <c r="A55" s="25"/>
    </row>
    <row r="56" spans="1:1" x14ac:dyDescent="0.25">
      <c r="A56" s="25"/>
    </row>
    <row r="57" spans="1:1" x14ac:dyDescent="0.25">
      <c r="A57" s="25"/>
    </row>
    <row r="58" spans="1:1" x14ac:dyDescent="0.25">
      <c r="A58" s="25"/>
    </row>
    <row r="59" spans="1:1" x14ac:dyDescent="0.25">
      <c r="A59" s="25"/>
    </row>
    <row r="60" spans="1:1" x14ac:dyDescent="0.25">
      <c r="A60" s="25"/>
    </row>
    <row r="61" spans="1:1" x14ac:dyDescent="0.25">
      <c r="A61" s="25"/>
    </row>
    <row r="62" spans="1:1" x14ac:dyDescent="0.25">
      <c r="A62" s="25"/>
    </row>
    <row r="63" spans="1:1" x14ac:dyDescent="0.25">
      <c r="A63" s="25"/>
    </row>
    <row r="64" spans="1:1" x14ac:dyDescent="0.25">
      <c r="A64" s="25"/>
    </row>
    <row r="65" spans="1:1" x14ac:dyDescent="0.25">
      <c r="A65" s="25"/>
    </row>
    <row r="66" spans="1:1" x14ac:dyDescent="0.25">
      <c r="A66" s="25"/>
    </row>
    <row r="67" spans="1:1" x14ac:dyDescent="0.25">
      <c r="A67" s="25"/>
    </row>
    <row r="68" spans="1:1" x14ac:dyDescent="0.25">
      <c r="A68" s="25"/>
    </row>
    <row r="69" spans="1:1" x14ac:dyDescent="0.25">
      <c r="A69" s="25"/>
    </row>
    <row r="70" spans="1:1" x14ac:dyDescent="0.25">
      <c r="A70" s="25"/>
    </row>
    <row r="71" spans="1:1" x14ac:dyDescent="0.25">
      <c r="A71" s="25"/>
    </row>
    <row r="72" spans="1:1" x14ac:dyDescent="0.25">
      <c r="A72" s="25"/>
    </row>
    <row r="73" spans="1:1" x14ac:dyDescent="0.25">
      <c r="A73" s="25"/>
    </row>
    <row r="74" spans="1:1" x14ac:dyDescent="0.25">
      <c r="A74" s="25"/>
    </row>
    <row r="75" spans="1:1" x14ac:dyDescent="0.25">
      <c r="A75" s="25"/>
    </row>
    <row r="76" spans="1:1" x14ac:dyDescent="0.25">
      <c r="A76" s="25"/>
    </row>
    <row r="77" spans="1:1" x14ac:dyDescent="0.25">
      <c r="A77" s="25"/>
    </row>
    <row r="78" spans="1:1" x14ac:dyDescent="0.25">
      <c r="A78" s="25"/>
    </row>
    <row r="79" spans="1:1" x14ac:dyDescent="0.25">
      <c r="A79" s="25"/>
    </row>
    <row r="80" spans="1:1" x14ac:dyDescent="0.25">
      <c r="A80" s="25"/>
    </row>
    <row r="81" spans="1:1" x14ac:dyDescent="0.25">
      <c r="A81" s="25"/>
    </row>
  </sheetData>
  <sheetProtection sheet="1" formatCells="0" formatColumns="0" formatRows="0" insertColumns="0" deleteColumns="0"/>
  <sortState xmlns:xlrd2="http://schemas.microsoft.com/office/spreadsheetml/2017/richdata2" ref="A5:XBD40">
    <sortCondition ref="A5"/>
  </sortState>
  <mergeCells count="2">
    <mergeCell ref="A1:B2"/>
    <mergeCell ref="A3:B3"/>
  </mergeCells>
  <conditionalFormatting sqref="A5:A40">
    <cfRule type="expression" dxfId="13" priority="1243">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42" id="{00000000-000E-0000-0200-0000C5040000}">
            <xm:f>ClassInformation!$E10="N"</xm:f>
            <x14:dxf>
              <font>
                <strike/>
                <color theme="0" tint="-0.34998626667073579"/>
              </font>
              <fill>
                <patternFill>
                  <bgColor theme="0" tint="-0.14996795556505021"/>
                </patternFill>
              </fill>
            </x14:dxf>
          </x14:cfRule>
          <xm:sqref>A5:B40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DC9A-2F56-41F8-B3FC-E720B8C06AF4}">
  <sheetPr codeName="Sheet9">
    <tabColor rgb="FFBAC2FE"/>
  </sheetPr>
  <dimension ref="A1:N5"/>
  <sheetViews>
    <sheetView showGridLines="0" tabSelected="1" view="pageLayout" zoomScaleNormal="100" workbookViewId="0">
      <selection activeCell="I13" sqref="I13"/>
    </sheetView>
  </sheetViews>
  <sheetFormatPr defaultColWidth="9.140625" defaultRowHeight="15" x14ac:dyDescent="0.25"/>
  <cols>
    <col min="1" max="1" width="7.28515625" customWidth="1"/>
    <col min="2" max="2" width="26.28515625" customWidth="1"/>
    <col min="3" max="12" width="6" customWidth="1"/>
    <col min="13" max="13" width="6" hidden="1" customWidth="1"/>
    <col min="14" max="15" width="6" customWidth="1"/>
  </cols>
  <sheetData>
    <row r="1" spans="1:14" ht="27" customHeight="1" x14ac:dyDescent="0.25">
      <c r="C1" s="170" t="str">
        <f>_xlfn.CONCAT(ClassInformation!D6," ",ClassInformation!D4:E4," ",ClassInformation!D5)</f>
        <v>2022 7A Science</v>
      </c>
    </row>
    <row r="2" spans="1:14" ht="22.5" customHeight="1" thickBot="1" x14ac:dyDescent="0.3">
      <c r="A2" s="171" t="s">
        <v>25</v>
      </c>
      <c r="B2">
        <f>ClassInformation!D7</f>
        <v>0</v>
      </c>
    </row>
    <row r="3" spans="1:14" ht="35.25" customHeight="1" thickBot="1" x14ac:dyDescent="0.3">
      <c r="A3" s="175" t="s">
        <v>132</v>
      </c>
      <c r="B3" s="174" t="s">
        <v>138</v>
      </c>
      <c r="C3" s="233" t="s">
        <v>128</v>
      </c>
      <c r="D3" s="234"/>
      <c r="E3" s="235"/>
      <c r="F3" s="233" t="s">
        <v>129</v>
      </c>
      <c r="G3" s="234"/>
      <c r="H3" s="235"/>
      <c r="I3" s="233" t="s">
        <v>130</v>
      </c>
      <c r="J3" s="234"/>
      <c r="K3" s="235"/>
      <c r="L3" s="233" t="s">
        <v>34</v>
      </c>
      <c r="M3" s="234"/>
      <c r="N3" s="235"/>
    </row>
    <row r="4" spans="1:14" ht="15.75" thickBot="1" x14ac:dyDescent="0.3">
      <c r="A4" s="184" t="s">
        <v>135</v>
      </c>
      <c r="B4" s="266" t="s">
        <v>127</v>
      </c>
      <c r="C4" s="176" t="s">
        <v>131</v>
      </c>
      <c r="D4" s="185" t="s">
        <v>32</v>
      </c>
      <c r="E4" s="183" t="s">
        <v>1</v>
      </c>
      <c r="F4" s="176" t="s">
        <v>131</v>
      </c>
      <c r="G4" s="185" t="s">
        <v>32</v>
      </c>
      <c r="H4" s="183" t="s">
        <v>1</v>
      </c>
      <c r="I4" s="176" t="s">
        <v>131</v>
      </c>
      <c r="J4" s="185" t="s">
        <v>32</v>
      </c>
      <c r="K4" s="183" t="s">
        <v>1</v>
      </c>
      <c r="L4" s="185" t="s">
        <v>32</v>
      </c>
      <c r="M4" s="186"/>
      <c r="N4" s="183" t="s">
        <v>1</v>
      </c>
    </row>
    <row r="5" spans="1:14" ht="3" customHeight="1" thickBot="1" x14ac:dyDescent="0.3">
      <c r="A5" s="192">
        <v>100</v>
      </c>
      <c r="B5" s="193" t="s">
        <v>136</v>
      </c>
      <c r="C5" s="188" t="s">
        <v>136</v>
      </c>
      <c r="D5" s="189" t="s">
        <v>136</v>
      </c>
      <c r="E5" s="187" t="s">
        <v>136</v>
      </c>
      <c r="F5" s="190" t="s">
        <v>136</v>
      </c>
      <c r="G5" s="189" t="s">
        <v>136</v>
      </c>
      <c r="H5" s="187" t="s">
        <v>136</v>
      </c>
      <c r="I5" s="190" t="s">
        <v>136</v>
      </c>
      <c r="J5" s="189" t="s">
        <v>136</v>
      </c>
      <c r="K5" s="187" t="s">
        <v>136</v>
      </c>
      <c r="L5" s="189" t="s">
        <v>136</v>
      </c>
      <c r="M5" s="191"/>
      <c r="N5" s="194" t="s">
        <v>136</v>
      </c>
    </row>
  </sheetData>
  <mergeCells count="4">
    <mergeCell ref="F3:H3"/>
    <mergeCell ref="I3:K3"/>
    <mergeCell ref="C3:E3"/>
    <mergeCell ref="L3:N3"/>
  </mergeCells>
  <pageMargins left="0.19685039370078741" right="0.19685039370078741" top="0.78740157480314965" bottom="0.78740157480314965" header="0.31496062992125984" footer="0.19685039370078741"/>
  <pageSetup paperSize="9" orientation="portrait" r:id="rId1"/>
  <headerFooter>
    <oddHeader>&amp;L              &amp;G&amp;C&amp;"-,Bold"&amp;14Coorparoo Secondary College
Student Profile</oddHeader>
    <oddFooter>&amp;R
 Date Created: &amp;D</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AF2A8588-407A-4CEC-AF00-DA508A9F2EAB}">
          <x14:formula1>
            <xm:f>Semester1!$A$5:$A$40</xm:f>
          </x14:formula1>
          <xm:sqref>B3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zoomScale="70" zoomScaleNormal="70" workbookViewId="0">
      <selection activeCell="J19" sqref="J19"/>
    </sheetView>
  </sheetViews>
  <sheetFormatPr defaultColWidth="9.140625" defaultRowHeight="15" x14ac:dyDescent="0.25"/>
  <cols>
    <col min="1" max="1" width="17" style="54" bestFit="1" customWidth="1"/>
    <col min="2" max="5" width="17" style="52" bestFit="1" customWidth="1"/>
    <col min="6" max="9" width="17" style="53" bestFit="1" customWidth="1"/>
    <col min="10" max="10" width="17" style="52" bestFit="1" customWidth="1"/>
    <col min="11" max="20" width="17" style="52" customWidth="1"/>
    <col min="21" max="21" width="13.28515625" style="52" bestFit="1" customWidth="1"/>
    <col min="22" max="22" width="8.28515625" style="53" bestFit="1" customWidth="1"/>
    <col min="23" max="23" width="6.7109375" style="52" customWidth="1"/>
    <col min="24" max="24" width="12.85546875" style="52" bestFit="1" customWidth="1"/>
    <col min="25" max="25" width="6.7109375" style="53" customWidth="1"/>
    <col min="26" max="26" width="6.5703125" style="52" customWidth="1"/>
    <col min="27" max="27" width="12.85546875" style="52" bestFit="1" customWidth="1"/>
    <col min="28" max="28" width="8.28515625" style="53" bestFit="1" customWidth="1"/>
    <col min="29" max="29" width="8.7109375" style="52" bestFit="1" customWidth="1"/>
    <col min="30" max="30" width="12.5703125" style="52" bestFit="1" customWidth="1"/>
    <col min="31" max="31" width="10.42578125" style="52" bestFit="1" customWidth="1"/>
    <col min="32" max="32" width="13.42578125" style="52" bestFit="1" customWidth="1"/>
    <col min="33" max="33" width="2.85546875" style="52" customWidth="1"/>
    <col min="34" max="16384" width="9.140625" style="52"/>
  </cols>
  <sheetData>
    <row r="1" spans="1:38" s="51" customFormat="1" x14ac:dyDescent="0.25">
      <c r="A1" s="241" t="s">
        <v>139</v>
      </c>
      <c r="B1" s="241"/>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2"/>
      <c r="AH1" s="119"/>
      <c r="AI1" s="119"/>
      <c r="AJ1" s="119"/>
      <c r="AK1" s="119"/>
      <c r="AL1" s="119"/>
    </row>
    <row r="2" spans="1:38" s="51" customFormat="1" x14ac:dyDescent="0.25">
      <c r="A2" s="248" t="s">
        <v>109</v>
      </c>
      <c r="B2" s="249"/>
      <c r="C2" s="249"/>
      <c r="D2" s="249"/>
      <c r="E2" s="249"/>
      <c r="F2" s="250" t="s">
        <v>103</v>
      </c>
      <c r="G2" s="251"/>
      <c r="H2" s="251"/>
      <c r="I2" s="251"/>
      <c r="J2" s="251"/>
      <c r="K2" s="252" t="s">
        <v>110</v>
      </c>
      <c r="L2" s="253"/>
      <c r="M2" s="253"/>
      <c r="N2" s="253"/>
      <c r="O2" s="254"/>
      <c r="P2" s="238" t="s">
        <v>75</v>
      </c>
      <c r="Q2" s="239"/>
      <c r="R2" s="239"/>
      <c r="S2" s="239"/>
      <c r="T2" s="247"/>
      <c r="U2" s="238" t="s">
        <v>94</v>
      </c>
      <c r="V2" s="239"/>
      <c r="W2" s="239"/>
      <c r="X2" s="239"/>
      <c r="Y2" s="239"/>
      <c r="Z2" s="239"/>
      <c r="AA2" s="239"/>
      <c r="AB2" s="239"/>
      <c r="AC2" s="239"/>
      <c r="AD2" s="239"/>
      <c r="AE2" s="239"/>
      <c r="AF2" s="240"/>
      <c r="AG2" s="95" t="s">
        <v>18</v>
      </c>
      <c r="AI2" s="120"/>
      <c r="AJ2" s="120"/>
      <c r="AK2" s="120"/>
      <c r="AL2" s="120"/>
    </row>
    <row r="3" spans="1:38" s="51" customFormat="1" x14ac:dyDescent="0.25">
      <c r="A3" s="96" t="s">
        <v>72</v>
      </c>
      <c r="B3" s="96" t="s">
        <v>71</v>
      </c>
      <c r="C3" s="96" t="s">
        <v>71</v>
      </c>
      <c r="D3" s="96" t="s">
        <v>71</v>
      </c>
      <c r="E3" s="96" t="s">
        <v>71</v>
      </c>
      <c r="F3" s="96" t="s">
        <v>71</v>
      </c>
      <c r="G3" s="96" t="s">
        <v>71</v>
      </c>
      <c r="H3" s="96" t="s">
        <v>71</v>
      </c>
      <c r="I3" s="96" t="s">
        <v>71</v>
      </c>
      <c r="J3" s="131" t="s">
        <v>71</v>
      </c>
      <c r="K3" s="96" t="s">
        <v>71</v>
      </c>
      <c r="L3" s="96" t="s">
        <v>71</v>
      </c>
      <c r="M3" s="96" t="s">
        <v>71</v>
      </c>
      <c r="N3" s="96" t="s">
        <v>71</v>
      </c>
      <c r="O3" s="96" t="s">
        <v>71</v>
      </c>
      <c r="P3" s="96" t="s">
        <v>71</v>
      </c>
      <c r="Q3" s="96" t="s">
        <v>71</v>
      </c>
      <c r="R3" s="96" t="s">
        <v>71</v>
      </c>
      <c r="S3" s="96" t="s">
        <v>71</v>
      </c>
      <c r="T3" s="96" t="s">
        <v>71</v>
      </c>
      <c r="U3" s="155" t="str">
        <f>_xlfn.TEXTJOIN(" ",TRUE,"Max",A2,":")</f>
        <v>Max SU :</v>
      </c>
      <c r="V3" s="243">
        <f>IF(COUNTIF(A4:E4,"*-*")&gt;0,"-",SUM(A4:E4))</f>
        <v>0</v>
      </c>
      <c r="W3" s="244"/>
      <c r="X3" s="156" t="str">
        <f>_xlfn.TEXTJOIN(" ",TRUE,"Max",F2,":")</f>
        <v>Max SHE :</v>
      </c>
      <c r="Y3" s="245">
        <f>IF(COUNTIF(F4:J4,"*-*")&gt;0,"-",SUM(F4:J4))</f>
        <v>0</v>
      </c>
      <c r="Z3" s="246"/>
      <c r="AA3" s="157" t="str">
        <f>_xlfn.TEXTJOIN(" ",TRUE,"Max",K2,":")</f>
        <v>Max SIS :</v>
      </c>
      <c r="AB3" s="236">
        <f>IF(COUNTIF(K4:O4,"*-*")&gt;0,"-",SUM(K4:O4))</f>
        <v>0</v>
      </c>
      <c r="AC3" s="237"/>
      <c r="AD3" s="168" t="s">
        <v>18</v>
      </c>
      <c r="AE3" s="168" t="s">
        <v>18</v>
      </c>
      <c r="AF3" s="168" t="s">
        <v>18</v>
      </c>
      <c r="AG3" s="95" t="s">
        <v>18</v>
      </c>
    </row>
    <row r="4" spans="1:38" s="51" customFormat="1" x14ac:dyDescent="0.25">
      <c r="A4" s="97"/>
      <c r="B4" s="98"/>
      <c r="C4" s="98"/>
      <c r="D4" s="98"/>
      <c r="E4" s="98"/>
      <c r="F4" s="98"/>
      <c r="G4" s="98"/>
      <c r="H4" s="98"/>
      <c r="I4" s="98"/>
      <c r="J4" s="98"/>
      <c r="K4" s="98"/>
      <c r="L4" s="98"/>
      <c r="M4" s="98"/>
      <c r="N4" s="98"/>
      <c r="O4" s="98"/>
      <c r="P4" s="98"/>
      <c r="Q4" s="98"/>
      <c r="R4" s="98"/>
      <c r="S4" s="98"/>
      <c r="T4" s="98"/>
      <c r="U4" s="146" t="str">
        <f>_xlfn.TEXTJOIN(" ",TRUE,"Overall",A2)</f>
        <v>Overall SU</v>
      </c>
      <c r="V4" s="147" t="s">
        <v>85</v>
      </c>
      <c r="W4" s="148" t="s">
        <v>1</v>
      </c>
      <c r="X4" s="99" t="str">
        <f>_xlfn.TEXTJOIN(" ",TRUE,"Overall",F2)</f>
        <v>Overall SHE</v>
      </c>
      <c r="Y4" s="100" t="s">
        <v>85</v>
      </c>
      <c r="Z4" s="101" t="s">
        <v>1</v>
      </c>
      <c r="AA4" s="134" t="str">
        <f>_xlfn.TEXTJOIN(" ",TRUE,"Overall",K2)</f>
        <v>Overall SIS</v>
      </c>
      <c r="AB4" s="135" t="s">
        <v>85</v>
      </c>
      <c r="AC4" s="136" t="s">
        <v>1</v>
      </c>
      <c r="AD4" s="102" t="s">
        <v>104</v>
      </c>
      <c r="AE4" s="102" t="s">
        <v>50</v>
      </c>
      <c r="AF4" s="102" t="s">
        <v>70</v>
      </c>
      <c r="AG4" s="95" t="s">
        <v>18</v>
      </c>
    </row>
    <row r="5" spans="1:38" s="51" customFormat="1" x14ac:dyDescent="0.25">
      <c r="A5" s="103"/>
      <c r="B5" s="103"/>
      <c r="C5" s="103"/>
      <c r="D5" s="103"/>
      <c r="E5" s="103"/>
      <c r="F5" s="104"/>
      <c r="G5" s="103"/>
      <c r="H5" s="103"/>
      <c r="I5" s="103"/>
      <c r="J5" s="103"/>
      <c r="K5" s="132"/>
      <c r="L5" s="143"/>
      <c r="M5" s="143"/>
      <c r="N5" s="143"/>
      <c r="O5" s="103"/>
      <c r="P5" s="104"/>
      <c r="Q5" s="143"/>
      <c r="R5" s="143"/>
      <c r="S5" s="143"/>
      <c r="T5" s="103"/>
      <c r="U5" s="149" t="str" cm="1">
        <f t="array" ref="U5">SumMarksAss(A5:E5)</f>
        <v/>
      </c>
      <c r="V5" s="150" t="str">
        <f>IF(U5="","",IF(U5="-","-",U5/V$3))</f>
        <v/>
      </c>
      <c r="W5" s="151" t="str" cm="1">
        <f t="array" ref="W5">IF(V5="","",GradeConverter(V5))</f>
        <v/>
      </c>
      <c r="X5" s="105" t="str" cm="1">
        <f t="array" ref="X5">SumMarksAss(F5:J5)</f>
        <v/>
      </c>
      <c r="Y5" s="106" t="str">
        <f>IF(X5="","",IF(X5="-","-",X5/Y$3))</f>
        <v/>
      </c>
      <c r="Z5" s="107" t="str" cm="1">
        <f t="array" ref="Z5">IF(Y5="","",GradeConverter(Y5))</f>
        <v/>
      </c>
      <c r="AA5" s="137" t="str" cm="1">
        <f t="array" ref="AA5">SumMarksAss(K5:O5)</f>
        <v/>
      </c>
      <c r="AB5" s="138" t="str">
        <f>IF(AA5="","",IF(AA5="-","-",AA5/AB$3))</f>
        <v/>
      </c>
      <c r="AC5" s="139" t="str" cm="1">
        <f t="array" ref="AC5">IF(AB5="","",GradeConverter(AB5))</f>
        <v/>
      </c>
      <c r="AD5" s="159" t="str" cm="1">
        <f t="array" ref="AD5">CalcGrade(V5,Y5,AB5)</f>
        <v/>
      </c>
      <c r="AE5" s="108"/>
      <c r="AF5" s="108" t="str" cm="1">
        <f t="array" ref="AF5">IF(AD5="","",IF(AD5="-","-",IF(ISBLANK(AE5),GradeConverter(AD5),AE5)))</f>
        <v/>
      </c>
      <c r="AG5" s="95" t="s">
        <v>18</v>
      </c>
      <c r="AI5" s="158"/>
    </row>
    <row r="6" spans="1:38" s="51" customFormat="1" x14ac:dyDescent="0.25">
      <c r="A6" s="103"/>
      <c r="B6" s="103"/>
      <c r="C6" s="103"/>
      <c r="D6" s="103"/>
      <c r="E6" s="103"/>
      <c r="F6" s="104"/>
      <c r="G6" s="103"/>
      <c r="H6" s="103"/>
      <c r="I6" s="103"/>
      <c r="J6" s="103"/>
      <c r="K6" s="132"/>
      <c r="L6" s="144"/>
      <c r="M6" s="144"/>
      <c r="N6" s="144"/>
      <c r="O6" s="103"/>
      <c r="P6" s="104"/>
      <c r="Q6" s="144"/>
      <c r="R6" s="144"/>
      <c r="S6" s="144"/>
      <c r="T6" s="103"/>
      <c r="U6" s="149" t="str" cm="1">
        <f t="array" ref="U6">SumMarksAss(A6:E6)</f>
        <v/>
      </c>
      <c r="V6" s="150" t="str">
        <f t="shared" ref="V6:V40" si="0">IF(U6="","",IF(U6="-","-",U6/V$3))</f>
        <v/>
      </c>
      <c r="W6" s="151" t="str" cm="1">
        <f t="array" ref="W6">IF(V6="","",GradeConverter(V6))</f>
        <v/>
      </c>
      <c r="X6" s="109" t="str" cm="1">
        <f t="array" ref="X6">SumMarksAss(F6:J6)</f>
        <v/>
      </c>
      <c r="Y6" s="106" t="str">
        <f t="shared" ref="Y6:Y40" si="1">IF(X6="","",IF(X6="-","-",X6/Y$3))</f>
        <v/>
      </c>
      <c r="Z6" s="107" t="str" cm="1">
        <f t="array" ref="Z6">IF(Y6="","",GradeConverter(Y6))</f>
        <v/>
      </c>
      <c r="AA6" s="140" t="str" cm="1">
        <f t="array" ref="AA6">SumMarksAss(K6:O6)</f>
        <v/>
      </c>
      <c r="AB6" s="138" t="str">
        <f t="shared" ref="AB6:AB40" si="2">IF(AA6="","",IF(AA6="-","-",AA6/AB$3))</f>
        <v/>
      </c>
      <c r="AC6" s="139" t="str" cm="1">
        <f t="array" ref="AC6">IF(AB6="","",GradeConverter(AB6))</f>
        <v/>
      </c>
      <c r="AD6" s="159" t="str" cm="1">
        <f t="array" ref="AD6">CalcGrade(V6,Y6,AB6)</f>
        <v/>
      </c>
      <c r="AE6" s="108"/>
      <c r="AF6" s="108" t="str" cm="1">
        <f t="array" ref="AF6">IF(AD6="","",IF(AD6="-","-",IF(ISBLANK(AE6),GradeConverter(AD6),AE6)))</f>
        <v/>
      </c>
      <c r="AG6" s="95" t="s">
        <v>18</v>
      </c>
    </row>
    <row r="7" spans="1:38" s="51" customFormat="1" x14ac:dyDescent="0.25">
      <c r="A7" s="103"/>
      <c r="B7" s="103"/>
      <c r="C7" s="103"/>
      <c r="D7" s="103"/>
      <c r="E7" s="103"/>
      <c r="F7" s="104"/>
      <c r="G7" s="103"/>
      <c r="H7" s="103"/>
      <c r="I7" s="103"/>
      <c r="J7" s="103"/>
      <c r="K7" s="132"/>
      <c r="L7" s="144"/>
      <c r="M7" s="144"/>
      <c r="N7" s="144"/>
      <c r="O7" s="103"/>
      <c r="P7" s="104"/>
      <c r="Q7" s="144"/>
      <c r="R7" s="144"/>
      <c r="S7" s="144"/>
      <c r="T7" s="103"/>
      <c r="U7" s="149" t="str" cm="1">
        <f t="array" ref="U7">SumMarksAss(A7:E7)</f>
        <v/>
      </c>
      <c r="V7" s="150" t="str">
        <f t="shared" si="0"/>
        <v/>
      </c>
      <c r="W7" s="151" t="str" cm="1">
        <f t="array" ref="W7">IF(V7="","",GradeConverter(V7))</f>
        <v/>
      </c>
      <c r="X7" s="109" t="str" cm="1">
        <f t="array" ref="X7">SumMarksAss(F7:J7)</f>
        <v/>
      </c>
      <c r="Y7" s="106" t="str">
        <f t="shared" si="1"/>
        <v/>
      </c>
      <c r="Z7" s="107" t="str" cm="1">
        <f t="array" ref="Z7">IF(Y7="","",GradeConverter(Y7))</f>
        <v/>
      </c>
      <c r="AA7" s="140" t="str" cm="1">
        <f t="array" ref="AA7">SumMarksAss(K7:O7)</f>
        <v/>
      </c>
      <c r="AB7" s="138" t="str">
        <f t="shared" si="2"/>
        <v/>
      </c>
      <c r="AC7" s="139" t="str" cm="1">
        <f t="array" ref="AC7">IF(AB7="","",GradeConverter(AB7))</f>
        <v/>
      </c>
      <c r="AD7" s="159" t="str" cm="1">
        <f t="array" ref="AD7">CalcGrade(V7,Y7,AB7)</f>
        <v/>
      </c>
      <c r="AE7" s="108"/>
      <c r="AF7" s="108" t="str" cm="1">
        <f t="array" ref="AF7">IF(AD7="","",IF(AD7="-","-",IF(ISBLANK(AE7),GradeConverter(AD7),AE7)))</f>
        <v/>
      </c>
      <c r="AG7" s="95" t="s">
        <v>18</v>
      </c>
    </row>
    <row r="8" spans="1:38" s="51" customFormat="1" x14ac:dyDescent="0.25">
      <c r="A8" s="103"/>
      <c r="B8" s="103"/>
      <c r="C8" s="103"/>
      <c r="D8" s="103"/>
      <c r="E8" s="103"/>
      <c r="F8" s="104"/>
      <c r="G8" s="103"/>
      <c r="H8" s="103"/>
      <c r="I8" s="103"/>
      <c r="J8" s="103"/>
      <c r="K8" s="132"/>
      <c r="L8" s="144"/>
      <c r="M8" s="144"/>
      <c r="N8" s="144"/>
      <c r="O8" s="103"/>
      <c r="P8" s="104"/>
      <c r="Q8" s="144"/>
      <c r="R8" s="144"/>
      <c r="S8" s="144"/>
      <c r="T8" s="103"/>
      <c r="U8" s="149" t="str" cm="1">
        <f t="array" ref="U8">SumMarksAss(A8:E8)</f>
        <v/>
      </c>
      <c r="V8" s="150" t="str">
        <f t="shared" si="0"/>
        <v/>
      </c>
      <c r="W8" s="151" t="str" cm="1">
        <f t="array" ref="W8">IF(V8="","",GradeConverter(V8))</f>
        <v/>
      </c>
      <c r="X8" s="109" t="str" cm="1">
        <f t="array" ref="X8">SumMarksAss(F8:J8)</f>
        <v/>
      </c>
      <c r="Y8" s="106" t="str">
        <f t="shared" si="1"/>
        <v/>
      </c>
      <c r="Z8" s="107" t="str" cm="1">
        <f t="array" ref="Z8">IF(Y8="","",GradeConverter(Y8))</f>
        <v/>
      </c>
      <c r="AA8" s="140" t="str" cm="1">
        <f t="array" ref="AA8">SumMarksAss(K8:O8)</f>
        <v/>
      </c>
      <c r="AB8" s="138" t="str">
        <f t="shared" si="2"/>
        <v/>
      </c>
      <c r="AC8" s="139" t="str" cm="1">
        <f t="array" ref="AC8">IF(AB8="","",GradeConverter(AB8))</f>
        <v/>
      </c>
      <c r="AD8" s="159" t="str" cm="1">
        <f t="array" ref="AD8">CalcGrade(V8,Y8,AB8)</f>
        <v/>
      </c>
      <c r="AE8" s="108"/>
      <c r="AF8" s="108" t="str" cm="1">
        <f t="array" ref="AF8">IF(AD8="","",IF(AD8="-","-",IF(ISBLANK(AE8),GradeConverter(AD8),AE8)))</f>
        <v/>
      </c>
      <c r="AG8" s="95" t="s">
        <v>18</v>
      </c>
    </row>
    <row r="9" spans="1:38" s="51" customFormat="1" x14ac:dyDescent="0.25">
      <c r="A9" s="103"/>
      <c r="B9" s="103"/>
      <c r="C9" s="103"/>
      <c r="D9" s="103"/>
      <c r="E9" s="103"/>
      <c r="F9" s="104"/>
      <c r="G9" s="103"/>
      <c r="H9" s="103"/>
      <c r="I9" s="103"/>
      <c r="J9" s="103"/>
      <c r="K9" s="132"/>
      <c r="L9" s="144"/>
      <c r="M9" s="144"/>
      <c r="N9" s="144"/>
      <c r="O9" s="103"/>
      <c r="P9" s="104"/>
      <c r="Q9" s="144"/>
      <c r="R9" s="144"/>
      <c r="S9" s="144"/>
      <c r="T9" s="103"/>
      <c r="U9" s="149" t="str" cm="1">
        <f t="array" ref="U9">SumMarksAss(A9:E9)</f>
        <v/>
      </c>
      <c r="V9" s="150" t="str">
        <f t="shared" si="0"/>
        <v/>
      </c>
      <c r="W9" s="151" t="str" cm="1">
        <f t="array" ref="W9">IF(V9="","",GradeConverter(V9))</f>
        <v/>
      </c>
      <c r="X9" s="109" t="str" cm="1">
        <f t="array" ref="X9">SumMarksAss(F9:J9)</f>
        <v/>
      </c>
      <c r="Y9" s="106" t="str">
        <f t="shared" si="1"/>
        <v/>
      </c>
      <c r="Z9" s="107" t="str" cm="1">
        <f t="array" ref="Z9">IF(Y9="","",GradeConverter(Y9))</f>
        <v/>
      </c>
      <c r="AA9" s="140" t="str" cm="1">
        <f t="array" ref="AA9">SumMarksAss(K9:O9)</f>
        <v/>
      </c>
      <c r="AB9" s="138" t="str">
        <f t="shared" si="2"/>
        <v/>
      </c>
      <c r="AC9" s="139" t="str" cm="1">
        <f t="array" ref="AC9">IF(AB9="","",GradeConverter(AB9))</f>
        <v/>
      </c>
      <c r="AD9" s="159" t="str" cm="1">
        <f t="array" ref="AD9">CalcGrade(V9,Y9,AB9)</f>
        <v/>
      </c>
      <c r="AE9" s="108"/>
      <c r="AF9" s="108" t="str" cm="1">
        <f t="array" ref="AF9">IF(AD9="","",IF(AD9="-","-",IF(ISBLANK(AE9),GradeConverter(AD9),AE9)))</f>
        <v/>
      </c>
      <c r="AG9" s="95" t="s">
        <v>18</v>
      </c>
    </row>
    <row r="10" spans="1:38" s="51" customFormat="1" x14ac:dyDescent="0.25">
      <c r="A10" s="103"/>
      <c r="B10" s="103"/>
      <c r="C10" s="103"/>
      <c r="D10" s="103"/>
      <c r="E10" s="103"/>
      <c r="F10" s="104"/>
      <c r="G10" s="103"/>
      <c r="H10" s="103"/>
      <c r="I10" s="103"/>
      <c r="J10" s="103"/>
      <c r="K10" s="132"/>
      <c r="L10" s="144"/>
      <c r="M10" s="144"/>
      <c r="N10" s="144"/>
      <c r="O10" s="103"/>
      <c r="P10" s="104"/>
      <c r="Q10" s="144"/>
      <c r="R10" s="144"/>
      <c r="S10" s="144"/>
      <c r="T10" s="103"/>
      <c r="U10" s="149" t="str" cm="1">
        <f t="array" ref="U10">SumMarksAss(A10:E10)</f>
        <v/>
      </c>
      <c r="V10" s="150" t="str">
        <f t="shared" si="0"/>
        <v/>
      </c>
      <c r="W10" s="151" t="str" cm="1">
        <f t="array" ref="W10">IF(V10="","",GradeConverter(V10))</f>
        <v/>
      </c>
      <c r="X10" s="109" t="str" cm="1">
        <f t="array" ref="X10">SumMarksAss(F10:J10)</f>
        <v/>
      </c>
      <c r="Y10" s="106" t="str">
        <f t="shared" si="1"/>
        <v/>
      </c>
      <c r="Z10" s="107" t="str" cm="1">
        <f t="array" ref="Z10">IF(Y10="","",GradeConverter(Y10))</f>
        <v/>
      </c>
      <c r="AA10" s="140" t="str" cm="1">
        <f t="array" ref="AA10">SumMarksAss(K10:O10)</f>
        <v/>
      </c>
      <c r="AB10" s="138" t="str">
        <f t="shared" si="2"/>
        <v/>
      </c>
      <c r="AC10" s="139" t="str" cm="1">
        <f t="array" ref="AC10">IF(AB10="","",GradeConverter(AB10))</f>
        <v/>
      </c>
      <c r="AD10" s="159" t="str" cm="1">
        <f t="array" ref="AD10">CalcGrade(V10,Y10,AB10)</f>
        <v/>
      </c>
      <c r="AE10" s="108"/>
      <c r="AF10" s="108" t="str" cm="1">
        <f t="array" ref="AF10">IF(AD10="","",IF(AD10="-","-",IF(ISBLANK(AE10),GradeConverter(AD10),AE10)))</f>
        <v/>
      </c>
      <c r="AG10" s="95" t="s">
        <v>18</v>
      </c>
    </row>
    <row r="11" spans="1:38" s="51" customFormat="1" x14ac:dyDescent="0.25">
      <c r="A11" s="103"/>
      <c r="B11" s="103"/>
      <c r="C11" s="103"/>
      <c r="D11" s="103"/>
      <c r="E11" s="103"/>
      <c r="F11" s="104"/>
      <c r="G11" s="103"/>
      <c r="H11" s="103"/>
      <c r="I11" s="103"/>
      <c r="J11" s="103"/>
      <c r="K11" s="132"/>
      <c r="L11" s="144"/>
      <c r="M11" s="144"/>
      <c r="N11" s="144"/>
      <c r="O11" s="103"/>
      <c r="P11" s="104"/>
      <c r="Q11" s="144"/>
      <c r="R11" s="144"/>
      <c r="S11" s="144"/>
      <c r="T11" s="103"/>
      <c r="U11" s="149" t="str" cm="1">
        <f t="array" ref="U11">SumMarksAss(A11:E11)</f>
        <v/>
      </c>
      <c r="V11" s="150" t="str">
        <f t="shared" si="0"/>
        <v/>
      </c>
      <c r="W11" s="151" t="str" cm="1">
        <f t="array" ref="W11">IF(V11="","",GradeConverter(V11))</f>
        <v/>
      </c>
      <c r="X11" s="109" t="str" cm="1">
        <f t="array" ref="X11">SumMarksAss(F11:J11)</f>
        <v/>
      </c>
      <c r="Y11" s="106" t="str">
        <f t="shared" si="1"/>
        <v/>
      </c>
      <c r="Z11" s="107" t="str" cm="1">
        <f t="array" ref="Z11">IF(Y11="","",GradeConverter(Y11))</f>
        <v/>
      </c>
      <c r="AA11" s="140" t="str" cm="1">
        <f t="array" ref="AA11">SumMarksAss(K11:O11)</f>
        <v/>
      </c>
      <c r="AB11" s="138" t="str">
        <f t="shared" si="2"/>
        <v/>
      </c>
      <c r="AC11" s="139" t="str" cm="1">
        <f t="array" ref="AC11">IF(AB11="","",GradeConverter(AB11))</f>
        <v/>
      </c>
      <c r="AD11" s="159" t="str" cm="1">
        <f t="array" ref="AD11">CalcGrade(V11,Y11,AB11)</f>
        <v/>
      </c>
      <c r="AE11" s="108"/>
      <c r="AF11" s="108" t="str" cm="1">
        <f t="array" ref="AF11">IF(AD11="","",IF(AD11="-","-",IF(ISBLANK(AE11),GradeConverter(AD11),AE11)))</f>
        <v/>
      </c>
      <c r="AG11" s="95" t="s">
        <v>18</v>
      </c>
    </row>
    <row r="12" spans="1:38" s="51" customFormat="1" x14ac:dyDescent="0.25">
      <c r="A12" s="103"/>
      <c r="B12" s="103"/>
      <c r="C12" s="103"/>
      <c r="D12" s="103"/>
      <c r="E12" s="103"/>
      <c r="F12" s="104"/>
      <c r="G12" s="103"/>
      <c r="H12" s="103"/>
      <c r="I12" s="103"/>
      <c r="J12" s="103"/>
      <c r="K12" s="132"/>
      <c r="L12" s="144"/>
      <c r="M12" s="144"/>
      <c r="N12" s="144"/>
      <c r="O12" s="103"/>
      <c r="P12" s="104"/>
      <c r="Q12" s="144"/>
      <c r="R12" s="144"/>
      <c r="S12" s="144"/>
      <c r="T12" s="103"/>
      <c r="U12" s="149" t="str" cm="1">
        <f t="array" ref="U12">SumMarksAss(A12:E12)</f>
        <v/>
      </c>
      <c r="V12" s="150" t="str">
        <f t="shared" si="0"/>
        <v/>
      </c>
      <c r="W12" s="151" t="str" cm="1">
        <f t="array" ref="W12">IF(V12="","",GradeConverter(V12))</f>
        <v/>
      </c>
      <c r="X12" s="109" t="str" cm="1">
        <f t="array" ref="X12">SumMarksAss(F12:J12)</f>
        <v/>
      </c>
      <c r="Y12" s="106" t="str">
        <f t="shared" si="1"/>
        <v/>
      </c>
      <c r="Z12" s="107" t="str" cm="1">
        <f t="array" ref="Z12">IF(Y12="","",GradeConverter(Y12))</f>
        <v/>
      </c>
      <c r="AA12" s="140" t="str" cm="1">
        <f t="array" ref="AA12">SumMarksAss(K12:O12)</f>
        <v/>
      </c>
      <c r="AB12" s="138" t="str">
        <f t="shared" si="2"/>
        <v/>
      </c>
      <c r="AC12" s="139" t="str" cm="1">
        <f t="array" ref="AC12">IF(AB12="","",GradeConverter(AB12))</f>
        <v/>
      </c>
      <c r="AD12" s="159" t="str" cm="1">
        <f t="array" ref="AD12">CalcGrade(V12,Y12,AB12)</f>
        <v/>
      </c>
      <c r="AE12" s="108"/>
      <c r="AF12" s="108" t="str" cm="1">
        <f t="array" ref="AF12">IF(AD12="","",IF(AD12="-","-",IF(ISBLANK(AE12),GradeConverter(AD12),AE12)))</f>
        <v/>
      </c>
      <c r="AG12" s="95" t="s">
        <v>18</v>
      </c>
    </row>
    <row r="13" spans="1:38" s="51" customFormat="1" x14ac:dyDescent="0.25">
      <c r="A13" s="103"/>
      <c r="B13" s="103"/>
      <c r="C13" s="103"/>
      <c r="D13" s="103"/>
      <c r="E13" s="103"/>
      <c r="F13" s="104"/>
      <c r="G13" s="103"/>
      <c r="H13" s="103"/>
      <c r="I13" s="103"/>
      <c r="J13" s="103"/>
      <c r="K13" s="132"/>
      <c r="L13" s="144"/>
      <c r="M13" s="144"/>
      <c r="N13" s="144"/>
      <c r="O13" s="103"/>
      <c r="P13" s="104"/>
      <c r="Q13" s="144"/>
      <c r="R13" s="144"/>
      <c r="S13" s="144"/>
      <c r="T13" s="103"/>
      <c r="U13" s="149" t="str" cm="1">
        <f t="array" ref="U13">SumMarksAss(A13:E13)</f>
        <v/>
      </c>
      <c r="V13" s="150" t="str">
        <f t="shared" si="0"/>
        <v/>
      </c>
      <c r="W13" s="151" t="str" cm="1">
        <f t="array" ref="W13">IF(V13="","",GradeConverter(V13))</f>
        <v/>
      </c>
      <c r="X13" s="109" t="str" cm="1">
        <f t="array" ref="X13">SumMarksAss(F13:J13)</f>
        <v/>
      </c>
      <c r="Y13" s="106" t="str">
        <f t="shared" si="1"/>
        <v/>
      </c>
      <c r="Z13" s="107" t="str" cm="1">
        <f t="array" ref="Z13">IF(Y13="","",GradeConverter(Y13))</f>
        <v/>
      </c>
      <c r="AA13" s="140" t="str" cm="1">
        <f t="array" ref="AA13">SumMarksAss(K13:O13)</f>
        <v/>
      </c>
      <c r="AB13" s="138" t="str">
        <f t="shared" si="2"/>
        <v/>
      </c>
      <c r="AC13" s="139" t="str" cm="1">
        <f t="array" ref="AC13">IF(AB13="","",GradeConverter(AB13))</f>
        <v/>
      </c>
      <c r="AD13" s="159" t="str" cm="1">
        <f t="array" ref="AD13">CalcGrade(V13,Y13,AB13)</f>
        <v/>
      </c>
      <c r="AE13" s="108"/>
      <c r="AF13" s="108" t="str" cm="1">
        <f t="array" ref="AF13">IF(AD13="","",IF(AD13="-","-",IF(ISBLANK(AE13),GradeConverter(AD13),AE13)))</f>
        <v/>
      </c>
      <c r="AG13" s="95" t="s">
        <v>18</v>
      </c>
    </row>
    <row r="14" spans="1:38" s="51" customFormat="1" x14ac:dyDescent="0.25">
      <c r="A14" s="103"/>
      <c r="B14" s="103"/>
      <c r="C14" s="103"/>
      <c r="D14" s="103"/>
      <c r="E14" s="103"/>
      <c r="F14" s="104"/>
      <c r="G14" s="103"/>
      <c r="H14" s="103"/>
      <c r="I14" s="103"/>
      <c r="J14" s="103"/>
      <c r="K14" s="132"/>
      <c r="L14" s="144"/>
      <c r="M14" s="144"/>
      <c r="N14" s="144"/>
      <c r="O14" s="103"/>
      <c r="P14" s="104"/>
      <c r="Q14" s="144"/>
      <c r="R14" s="144"/>
      <c r="S14" s="144"/>
      <c r="T14" s="103"/>
      <c r="U14" s="149" t="str" cm="1">
        <f t="array" ref="U14">SumMarksAss(A14:E14)</f>
        <v/>
      </c>
      <c r="V14" s="150" t="str">
        <f t="shared" si="0"/>
        <v/>
      </c>
      <c r="W14" s="151" t="str" cm="1">
        <f t="array" ref="W14">IF(V14="","",GradeConverter(V14))</f>
        <v/>
      </c>
      <c r="X14" s="109" t="str" cm="1">
        <f t="array" ref="X14">SumMarksAss(F14:J14)</f>
        <v/>
      </c>
      <c r="Y14" s="106" t="str">
        <f t="shared" si="1"/>
        <v/>
      </c>
      <c r="Z14" s="107" t="str" cm="1">
        <f t="array" ref="Z14">IF(Y14="","",GradeConverter(Y14))</f>
        <v/>
      </c>
      <c r="AA14" s="140" t="str" cm="1">
        <f t="array" ref="AA14">SumMarksAss(K14:O14)</f>
        <v/>
      </c>
      <c r="AB14" s="138" t="str">
        <f t="shared" si="2"/>
        <v/>
      </c>
      <c r="AC14" s="139" t="str" cm="1">
        <f t="array" ref="AC14">IF(AB14="","",GradeConverter(AB14))</f>
        <v/>
      </c>
      <c r="AD14" s="159" t="str" cm="1">
        <f t="array" ref="AD14">CalcGrade(V14,Y14,AB14)</f>
        <v/>
      </c>
      <c r="AE14" s="108"/>
      <c r="AF14" s="108" t="str" cm="1">
        <f t="array" ref="AF14">IF(AD14="","",IF(AD14="-","-",IF(ISBLANK(AE14),GradeConverter(AD14),AE14)))</f>
        <v/>
      </c>
      <c r="AG14" s="95" t="s">
        <v>18</v>
      </c>
    </row>
    <row r="15" spans="1:38" s="51" customFormat="1" x14ac:dyDescent="0.25">
      <c r="A15" s="103"/>
      <c r="B15" s="103"/>
      <c r="C15" s="103"/>
      <c r="D15" s="103"/>
      <c r="E15" s="103"/>
      <c r="F15" s="104"/>
      <c r="G15" s="103"/>
      <c r="H15" s="103"/>
      <c r="I15" s="103"/>
      <c r="J15" s="103"/>
      <c r="K15" s="132"/>
      <c r="L15" s="144"/>
      <c r="M15" s="144"/>
      <c r="N15" s="144"/>
      <c r="O15" s="103"/>
      <c r="P15" s="104"/>
      <c r="Q15" s="144"/>
      <c r="R15" s="144"/>
      <c r="S15" s="144"/>
      <c r="T15" s="103"/>
      <c r="U15" s="149" t="str" cm="1">
        <f t="array" ref="U15">SumMarksAss(A15:E15)</f>
        <v/>
      </c>
      <c r="V15" s="150" t="str">
        <f t="shared" si="0"/>
        <v/>
      </c>
      <c r="W15" s="151" t="str" cm="1">
        <f t="array" ref="W15">IF(V15="","",GradeConverter(V15))</f>
        <v/>
      </c>
      <c r="X15" s="109" t="str" cm="1">
        <f t="array" ref="X15">SumMarksAss(F15:J15)</f>
        <v/>
      </c>
      <c r="Y15" s="106" t="str">
        <f t="shared" si="1"/>
        <v/>
      </c>
      <c r="Z15" s="107" t="str" cm="1">
        <f t="array" ref="Z15">IF(Y15="","",GradeConverter(Y15))</f>
        <v/>
      </c>
      <c r="AA15" s="140" t="str" cm="1">
        <f t="array" ref="AA15">SumMarksAss(K15:O15)</f>
        <v/>
      </c>
      <c r="AB15" s="138" t="str">
        <f t="shared" si="2"/>
        <v/>
      </c>
      <c r="AC15" s="139" t="str" cm="1">
        <f t="array" ref="AC15">IF(AB15="","",GradeConverter(AB15))</f>
        <v/>
      </c>
      <c r="AD15" s="159" t="str" cm="1">
        <f t="array" ref="AD15">CalcGrade(V15,Y15,AB15)</f>
        <v/>
      </c>
      <c r="AE15" s="108"/>
      <c r="AF15" s="108" t="str" cm="1">
        <f t="array" ref="AF15">IF(AD15="","",IF(AD15="-","-",IF(ISBLANK(AE15),GradeConverter(AD15),AE15)))</f>
        <v/>
      </c>
      <c r="AG15" s="95" t="s">
        <v>18</v>
      </c>
    </row>
    <row r="16" spans="1:38" s="51" customFormat="1" x14ac:dyDescent="0.25">
      <c r="A16" s="103"/>
      <c r="B16" s="103"/>
      <c r="C16" s="103"/>
      <c r="D16" s="103"/>
      <c r="E16" s="103"/>
      <c r="F16" s="104"/>
      <c r="G16" s="103"/>
      <c r="H16" s="103"/>
      <c r="I16" s="103"/>
      <c r="J16" s="103"/>
      <c r="K16" s="132"/>
      <c r="L16" s="144"/>
      <c r="M16" s="144"/>
      <c r="N16" s="144"/>
      <c r="O16" s="103"/>
      <c r="P16" s="104"/>
      <c r="Q16" s="144"/>
      <c r="R16" s="144"/>
      <c r="S16" s="144"/>
      <c r="T16" s="103"/>
      <c r="U16" s="149" t="str" cm="1">
        <f t="array" ref="U16">SumMarksAss(A16:E16)</f>
        <v/>
      </c>
      <c r="V16" s="150" t="str">
        <f t="shared" si="0"/>
        <v/>
      </c>
      <c r="W16" s="151" t="str" cm="1">
        <f t="array" ref="W16">IF(V16="","",GradeConverter(V16))</f>
        <v/>
      </c>
      <c r="X16" s="109" t="str" cm="1">
        <f t="array" ref="X16">SumMarksAss(F16:J16)</f>
        <v/>
      </c>
      <c r="Y16" s="106" t="str">
        <f t="shared" si="1"/>
        <v/>
      </c>
      <c r="Z16" s="107" t="str" cm="1">
        <f t="array" ref="Z16">IF(Y16="","",GradeConverter(Y16))</f>
        <v/>
      </c>
      <c r="AA16" s="140" t="str" cm="1">
        <f t="array" ref="AA16">SumMarksAss(K16:O16)</f>
        <v/>
      </c>
      <c r="AB16" s="138" t="str">
        <f t="shared" si="2"/>
        <v/>
      </c>
      <c r="AC16" s="139" t="str" cm="1">
        <f t="array" ref="AC16">IF(AB16="","",GradeConverter(AB16))</f>
        <v/>
      </c>
      <c r="AD16" s="159" t="str" cm="1">
        <f t="array" ref="AD16">CalcGrade(V16,Y16,AB16)</f>
        <v/>
      </c>
      <c r="AE16" s="108"/>
      <c r="AF16" s="108" t="str" cm="1">
        <f t="array" ref="AF16">IF(AD16="","",IF(AD16="-","-",IF(ISBLANK(AE16),GradeConverter(AD16),AE16)))</f>
        <v/>
      </c>
      <c r="AG16" s="95" t="s">
        <v>18</v>
      </c>
    </row>
    <row r="17" spans="1:33" s="51" customFormat="1" x14ac:dyDescent="0.25">
      <c r="A17" s="103"/>
      <c r="B17" s="103"/>
      <c r="C17" s="103"/>
      <c r="D17" s="103"/>
      <c r="E17" s="103"/>
      <c r="F17" s="104"/>
      <c r="G17" s="103"/>
      <c r="H17" s="103"/>
      <c r="I17" s="103"/>
      <c r="J17" s="103"/>
      <c r="K17" s="132"/>
      <c r="L17" s="144"/>
      <c r="M17" s="144"/>
      <c r="N17" s="144"/>
      <c r="O17" s="103"/>
      <c r="P17" s="104"/>
      <c r="Q17" s="144"/>
      <c r="R17" s="144"/>
      <c r="S17" s="144"/>
      <c r="T17" s="103"/>
      <c r="U17" s="149" t="str" cm="1">
        <f t="array" ref="U17">SumMarksAss(A17:E17)</f>
        <v/>
      </c>
      <c r="V17" s="150" t="str">
        <f t="shared" si="0"/>
        <v/>
      </c>
      <c r="W17" s="151" t="str" cm="1">
        <f t="array" ref="W17">IF(V17="","",GradeConverter(V17))</f>
        <v/>
      </c>
      <c r="X17" s="109" t="str" cm="1">
        <f t="array" ref="X17">SumMarksAss(F17:J17)</f>
        <v/>
      </c>
      <c r="Y17" s="106" t="str">
        <f t="shared" si="1"/>
        <v/>
      </c>
      <c r="Z17" s="107" t="str" cm="1">
        <f t="array" ref="Z17">IF(Y17="","",GradeConverter(Y17))</f>
        <v/>
      </c>
      <c r="AA17" s="140" t="str" cm="1">
        <f t="array" ref="AA17">SumMarksAss(K17:O17)</f>
        <v/>
      </c>
      <c r="AB17" s="138" t="str">
        <f t="shared" si="2"/>
        <v/>
      </c>
      <c r="AC17" s="139" t="str" cm="1">
        <f t="array" ref="AC17">IF(AB17="","",GradeConverter(AB17))</f>
        <v/>
      </c>
      <c r="AD17" s="159" t="str" cm="1">
        <f t="array" ref="AD17">CalcGrade(V17,Y17,AB17)</f>
        <v/>
      </c>
      <c r="AE17" s="108"/>
      <c r="AF17" s="108" t="str" cm="1">
        <f t="array" ref="AF17">IF(AD17="","",IF(AD17="-","-",IF(ISBLANK(AE17),GradeConverter(AD17),AE17)))</f>
        <v/>
      </c>
      <c r="AG17" s="95" t="s">
        <v>18</v>
      </c>
    </row>
    <row r="18" spans="1:33" s="51" customFormat="1" x14ac:dyDescent="0.25">
      <c r="A18" s="103"/>
      <c r="B18" s="103"/>
      <c r="C18" s="103"/>
      <c r="D18" s="103"/>
      <c r="E18" s="103"/>
      <c r="F18" s="104"/>
      <c r="G18" s="103"/>
      <c r="H18" s="103"/>
      <c r="I18" s="103"/>
      <c r="J18" s="103"/>
      <c r="K18" s="132"/>
      <c r="L18" s="144"/>
      <c r="M18" s="144"/>
      <c r="N18" s="144"/>
      <c r="O18" s="103"/>
      <c r="P18" s="104"/>
      <c r="Q18" s="144"/>
      <c r="R18" s="144"/>
      <c r="S18" s="144"/>
      <c r="T18" s="103"/>
      <c r="U18" s="149" t="str" cm="1">
        <f t="array" ref="U18">SumMarksAss(A18:E18)</f>
        <v/>
      </c>
      <c r="V18" s="150" t="str">
        <f t="shared" si="0"/>
        <v/>
      </c>
      <c r="W18" s="151" t="str" cm="1">
        <f t="array" ref="W18">IF(V18="","",GradeConverter(V18))</f>
        <v/>
      </c>
      <c r="X18" s="109" t="str" cm="1">
        <f t="array" ref="X18">SumMarksAss(F18:J18)</f>
        <v/>
      </c>
      <c r="Y18" s="106" t="str">
        <f t="shared" si="1"/>
        <v/>
      </c>
      <c r="Z18" s="107" t="str" cm="1">
        <f t="array" ref="Z18">IF(Y18="","",GradeConverter(Y18))</f>
        <v/>
      </c>
      <c r="AA18" s="140" t="str" cm="1">
        <f t="array" ref="AA18">SumMarksAss(K18:O18)</f>
        <v/>
      </c>
      <c r="AB18" s="138" t="str">
        <f t="shared" si="2"/>
        <v/>
      </c>
      <c r="AC18" s="139" t="str" cm="1">
        <f t="array" ref="AC18">IF(AB18="","",GradeConverter(AB18))</f>
        <v/>
      </c>
      <c r="AD18" s="159" t="str" cm="1">
        <f t="array" ref="AD18">CalcGrade(V18,Y18,AB18)</f>
        <v/>
      </c>
      <c r="AE18" s="108"/>
      <c r="AF18" s="108" t="str" cm="1">
        <f t="array" ref="AF18">IF(AD18="","",IF(AD18="-","-",IF(ISBLANK(AE18),GradeConverter(AD18),AE18)))</f>
        <v/>
      </c>
      <c r="AG18" s="95" t="s">
        <v>18</v>
      </c>
    </row>
    <row r="19" spans="1:33" s="51" customFormat="1" x14ac:dyDescent="0.25">
      <c r="A19" s="103"/>
      <c r="B19" s="103"/>
      <c r="C19" s="103"/>
      <c r="D19" s="103"/>
      <c r="E19" s="103"/>
      <c r="F19" s="104"/>
      <c r="G19" s="103"/>
      <c r="H19" s="103"/>
      <c r="I19" s="103"/>
      <c r="J19" s="103"/>
      <c r="K19" s="132"/>
      <c r="L19" s="144"/>
      <c r="M19" s="144"/>
      <c r="N19" s="144"/>
      <c r="O19" s="103"/>
      <c r="P19" s="104"/>
      <c r="Q19" s="144"/>
      <c r="R19" s="144"/>
      <c r="S19" s="144"/>
      <c r="T19" s="103"/>
      <c r="U19" s="149" t="str" cm="1">
        <f t="array" ref="U19">SumMarksAss(A19:E19)</f>
        <v/>
      </c>
      <c r="V19" s="150" t="str">
        <f t="shared" si="0"/>
        <v/>
      </c>
      <c r="W19" s="151" t="str" cm="1">
        <f t="array" ref="W19">IF(V19="","",GradeConverter(V19))</f>
        <v/>
      </c>
      <c r="X19" s="109" t="str" cm="1">
        <f t="array" ref="X19">SumMarksAss(F19:J19)</f>
        <v/>
      </c>
      <c r="Y19" s="106" t="str">
        <f t="shared" si="1"/>
        <v/>
      </c>
      <c r="Z19" s="107" t="str" cm="1">
        <f t="array" ref="Z19">IF(Y19="","",GradeConverter(Y19))</f>
        <v/>
      </c>
      <c r="AA19" s="140" t="str" cm="1">
        <f t="array" ref="AA19">SumMarksAss(K19:O19)</f>
        <v/>
      </c>
      <c r="AB19" s="138" t="str">
        <f t="shared" si="2"/>
        <v/>
      </c>
      <c r="AC19" s="139" t="str" cm="1">
        <f t="array" ref="AC19">IF(AB19="","",GradeConverter(AB19))</f>
        <v/>
      </c>
      <c r="AD19" s="159" t="str" cm="1">
        <f t="array" ref="AD19">CalcGrade(V19,Y19,AB19)</f>
        <v/>
      </c>
      <c r="AE19" s="108"/>
      <c r="AF19" s="108" t="str" cm="1">
        <f t="array" ref="AF19">IF(AD19="","",IF(AD19="-","-",IF(ISBLANK(AE19),GradeConverter(AD19),AE19)))</f>
        <v/>
      </c>
      <c r="AG19" s="95" t="s">
        <v>18</v>
      </c>
    </row>
    <row r="20" spans="1:33" s="51" customFormat="1" x14ac:dyDescent="0.25">
      <c r="A20" s="103"/>
      <c r="B20" s="103"/>
      <c r="C20" s="103"/>
      <c r="D20" s="103"/>
      <c r="E20" s="103"/>
      <c r="F20" s="104"/>
      <c r="G20" s="103"/>
      <c r="H20" s="103"/>
      <c r="I20" s="103"/>
      <c r="J20" s="103"/>
      <c r="K20" s="132"/>
      <c r="L20" s="144"/>
      <c r="M20" s="144"/>
      <c r="N20" s="144"/>
      <c r="O20" s="103"/>
      <c r="P20" s="104"/>
      <c r="Q20" s="144"/>
      <c r="R20" s="144"/>
      <c r="S20" s="144"/>
      <c r="T20" s="103"/>
      <c r="U20" s="149" t="str" cm="1">
        <f t="array" ref="U20">SumMarksAss(A20:E20)</f>
        <v/>
      </c>
      <c r="V20" s="150" t="str">
        <f t="shared" si="0"/>
        <v/>
      </c>
      <c r="W20" s="151" t="str" cm="1">
        <f t="array" ref="W20">IF(V20="","",GradeConverter(V20))</f>
        <v/>
      </c>
      <c r="X20" s="109" t="str" cm="1">
        <f t="array" ref="X20">SumMarksAss(F20:J20)</f>
        <v/>
      </c>
      <c r="Y20" s="106" t="str">
        <f t="shared" si="1"/>
        <v/>
      </c>
      <c r="Z20" s="107" t="str" cm="1">
        <f t="array" ref="Z20">IF(Y20="","",GradeConverter(Y20))</f>
        <v/>
      </c>
      <c r="AA20" s="140" t="str" cm="1">
        <f t="array" ref="AA20">SumMarksAss(K20:O20)</f>
        <v/>
      </c>
      <c r="AB20" s="138" t="str">
        <f t="shared" si="2"/>
        <v/>
      </c>
      <c r="AC20" s="139" t="str" cm="1">
        <f t="array" ref="AC20">IF(AB20="","",GradeConverter(AB20))</f>
        <v/>
      </c>
      <c r="AD20" s="159" t="str" cm="1">
        <f t="array" ref="AD20">CalcGrade(V20,Y20,AB20)</f>
        <v/>
      </c>
      <c r="AE20" s="108"/>
      <c r="AF20" s="108" t="str" cm="1">
        <f t="array" ref="AF20">IF(AD20="","",IF(AD20="-","-",IF(ISBLANK(AE20),GradeConverter(AD20),AE20)))</f>
        <v/>
      </c>
      <c r="AG20" s="95" t="s">
        <v>18</v>
      </c>
    </row>
    <row r="21" spans="1:33" s="51" customFormat="1" x14ac:dyDescent="0.25">
      <c r="A21" s="103"/>
      <c r="B21" s="103"/>
      <c r="C21" s="103"/>
      <c r="D21" s="103"/>
      <c r="E21" s="103"/>
      <c r="F21" s="104"/>
      <c r="G21" s="103"/>
      <c r="H21" s="103"/>
      <c r="I21" s="103"/>
      <c r="J21" s="103"/>
      <c r="K21" s="132"/>
      <c r="L21" s="144"/>
      <c r="M21" s="144"/>
      <c r="N21" s="144"/>
      <c r="O21" s="103"/>
      <c r="P21" s="104"/>
      <c r="Q21" s="144"/>
      <c r="R21" s="144"/>
      <c r="S21" s="144"/>
      <c r="T21" s="103"/>
      <c r="U21" s="149" t="str" cm="1">
        <f t="array" ref="U21">SumMarksAss(A21:E21)</f>
        <v/>
      </c>
      <c r="V21" s="150" t="str">
        <f t="shared" si="0"/>
        <v/>
      </c>
      <c r="W21" s="151" t="str" cm="1">
        <f t="array" ref="W21">IF(V21="","",GradeConverter(V21))</f>
        <v/>
      </c>
      <c r="X21" s="109" t="str" cm="1">
        <f t="array" ref="X21">SumMarksAss(F21:J21)</f>
        <v/>
      </c>
      <c r="Y21" s="106" t="str">
        <f t="shared" si="1"/>
        <v/>
      </c>
      <c r="Z21" s="107" t="str" cm="1">
        <f t="array" ref="Z21">IF(Y21="","",GradeConverter(Y21))</f>
        <v/>
      </c>
      <c r="AA21" s="140" t="str" cm="1">
        <f t="array" ref="AA21">SumMarksAss(K21:O21)</f>
        <v/>
      </c>
      <c r="AB21" s="138" t="str">
        <f t="shared" si="2"/>
        <v/>
      </c>
      <c r="AC21" s="139" t="str" cm="1">
        <f t="array" ref="AC21">IF(AB21="","",GradeConverter(AB21))</f>
        <v/>
      </c>
      <c r="AD21" s="159" t="str" cm="1">
        <f t="array" ref="AD21">CalcGrade(V21,Y21,AB21)</f>
        <v/>
      </c>
      <c r="AE21" s="108"/>
      <c r="AF21" s="108" t="str" cm="1">
        <f t="array" ref="AF21">IF(AD21="","",IF(AD21="-","-",IF(ISBLANK(AE21),GradeConverter(AD21),AE21)))</f>
        <v/>
      </c>
      <c r="AG21" s="95" t="s">
        <v>18</v>
      </c>
    </row>
    <row r="22" spans="1:33" s="51" customFormat="1" x14ac:dyDescent="0.25">
      <c r="A22" s="103"/>
      <c r="B22" s="103"/>
      <c r="C22" s="103"/>
      <c r="D22" s="103"/>
      <c r="E22" s="103"/>
      <c r="F22" s="104"/>
      <c r="G22" s="103"/>
      <c r="H22" s="103"/>
      <c r="I22" s="103"/>
      <c r="J22" s="103"/>
      <c r="K22" s="132"/>
      <c r="L22" s="144"/>
      <c r="M22" s="144"/>
      <c r="N22" s="144"/>
      <c r="O22" s="103"/>
      <c r="P22" s="104"/>
      <c r="Q22" s="144"/>
      <c r="R22" s="144"/>
      <c r="S22" s="144"/>
      <c r="T22" s="103"/>
      <c r="U22" s="149" t="str" cm="1">
        <f t="array" ref="U22">SumMarksAss(A22:E22)</f>
        <v/>
      </c>
      <c r="V22" s="150" t="str">
        <f t="shared" si="0"/>
        <v/>
      </c>
      <c r="W22" s="151" t="str" cm="1">
        <f t="array" ref="W22">IF(V22="","",GradeConverter(V22))</f>
        <v/>
      </c>
      <c r="X22" s="109" t="str" cm="1">
        <f t="array" ref="X22">SumMarksAss(F22:J22)</f>
        <v/>
      </c>
      <c r="Y22" s="106" t="str">
        <f t="shared" si="1"/>
        <v/>
      </c>
      <c r="Z22" s="107" t="str" cm="1">
        <f t="array" ref="Z22">IF(Y22="","",GradeConverter(Y22))</f>
        <v/>
      </c>
      <c r="AA22" s="140" t="str" cm="1">
        <f t="array" ref="AA22">SumMarksAss(K22:O22)</f>
        <v/>
      </c>
      <c r="AB22" s="138" t="str">
        <f t="shared" si="2"/>
        <v/>
      </c>
      <c r="AC22" s="139" t="str" cm="1">
        <f t="array" ref="AC22">IF(AB22="","",GradeConverter(AB22))</f>
        <v/>
      </c>
      <c r="AD22" s="159" t="str" cm="1">
        <f t="array" ref="AD22">CalcGrade(V22,Y22,AB22)</f>
        <v/>
      </c>
      <c r="AE22" s="108"/>
      <c r="AF22" s="108" t="str" cm="1">
        <f t="array" ref="AF22">IF(AD22="","",IF(AD22="-","-",IF(ISBLANK(AE22),GradeConverter(AD22),AE22)))</f>
        <v/>
      </c>
      <c r="AG22" s="95" t="s">
        <v>18</v>
      </c>
    </row>
    <row r="23" spans="1:33" s="51" customFormat="1" x14ac:dyDescent="0.25">
      <c r="A23" s="103"/>
      <c r="B23" s="103"/>
      <c r="C23" s="103"/>
      <c r="D23" s="103"/>
      <c r="E23" s="103"/>
      <c r="F23" s="104"/>
      <c r="G23" s="103"/>
      <c r="H23" s="103"/>
      <c r="I23" s="103"/>
      <c r="J23" s="103"/>
      <c r="K23" s="132"/>
      <c r="L23" s="144"/>
      <c r="M23" s="144"/>
      <c r="N23" s="144"/>
      <c r="O23" s="103"/>
      <c r="P23" s="104"/>
      <c r="Q23" s="144"/>
      <c r="R23" s="144"/>
      <c r="S23" s="144"/>
      <c r="T23" s="103"/>
      <c r="U23" s="149" t="str" cm="1">
        <f t="array" ref="U23">SumMarksAss(A23:E23)</f>
        <v/>
      </c>
      <c r="V23" s="150" t="str">
        <f t="shared" si="0"/>
        <v/>
      </c>
      <c r="W23" s="151" t="str" cm="1">
        <f t="array" ref="W23">IF(V23="","",GradeConverter(V23))</f>
        <v/>
      </c>
      <c r="X23" s="109" t="str" cm="1">
        <f t="array" ref="X23">SumMarksAss(F23:J23)</f>
        <v/>
      </c>
      <c r="Y23" s="106" t="str">
        <f t="shared" si="1"/>
        <v/>
      </c>
      <c r="Z23" s="107" t="str" cm="1">
        <f t="array" ref="Z23">IF(Y23="","",GradeConverter(Y23))</f>
        <v/>
      </c>
      <c r="AA23" s="140" t="str" cm="1">
        <f t="array" ref="AA23">SumMarksAss(K23:O23)</f>
        <v/>
      </c>
      <c r="AB23" s="138" t="str">
        <f t="shared" si="2"/>
        <v/>
      </c>
      <c r="AC23" s="139" t="str" cm="1">
        <f t="array" ref="AC23">IF(AB23="","",GradeConverter(AB23))</f>
        <v/>
      </c>
      <c r="AD23" s="159" t="str" cm="1">
        <f t="array" ref="AD23">CalcGrade(V23,Y23,AB23)</f>
        <v/>
      </c>
      <c r="AE23" s="108"/>
      <c r="AF23" s="108" t="str" cm="1">
        <f t="array" ref="AF23">IF(AD23="","",IF(AD23="-","-",IF(ISBLANK(AE23),GradeConverter(AD23),AE23)))</f>
        <v/>
      </c>
      <c r="AG23" s="95" t="s">
        <v>18</v>
      </c>
    </row>
    <row r="24" spans="1:33" s="51" customFormat="1" x14ac:dyDescent="0.25">
      <c r="A24" s="103"/>
      <c r="B24" s="103"/>
      <c r="C24" s="103"/>
      <c r="D24" s="103"/>
      <c r="E24" s="103"/>
      <c r="F24" s="104"/>
      <c r="G24" s="103"/>
      <c r="H24" s="103"/>
      <c r="I24" s="103"/>
      <c r="J24" s="103"/>
      <c r="K24" s="132"/>
      <c r="L24" s="144"/>
      <c r="M24" s="144"/>
      <c r="N24" s="144"/>
      <c r="O24" s="103"/>
      <c r="P24" s="104"/>
      <c r="Q24" s="144"/>
      <c r="R24" s="144"/>
      <c r="S24" s="144"/>
      <c r="T24" s="103"/>
      <c r="U24" s="149" t="str" cm="1">
        <f t="array" ref="U24">SumMarksAss(A24:E24)</f>
        <v/>
      </c>
      <c r="V24" s="150" t="str">
        <f t="shared" si="0"/>
        <v/>
      </c>
      <c r="W24" s="151" t="str" cm="1">
        <f t="array" ref="W24">IF(V24="","",GradeConverter(V24))</f>
        <v/>
      </c>
      <c r="X24" s="109" t="str" cm="1">
        <f t="array" ref="X24">SumMarksAss(F24:J24)</f>
        <v/>
      </c>
      <c r="Y24" s="106" t="str">
        <f t="shared" si="1"/>
        <v/>
      </c>
      <c r="Z24" s="107" t="str" cm="1">
        <f t="array" ref="Z24">IF(Y24="","",GradeConverter(Y24))</f>
        <v/>
      </c>
      <c r="AA24" s="140" t="str" cm="1">
        <f t="array" ref="AA24">SumMarksAss(K24:O24)</f>
        <v/>
      </c>
      <c r="AB24" s="138" t="str">
        <f t="shared" si="2"/>
        <v/>
      </c>
      <c r="AC24" s="139" t="str" cm="1">
        <f t="array" ref="AC24">IF(AB24="","",GradeConverter(AB24))</f>
        <v/>
      </c>
      <c r="AD24" s="159" t="str" cm="1">
        <f t="array" ref="AD24">CalcGrade(V24,Y24,AB24)</f>
        <v/>
      </c>
      <c r="AE24" s="108"/>
      <c r="AF24" s="108" t="str" cm="1">
        <f t="array" ref="AF24">IF(AD24="","",IF(AD24="-","-",IF(ISBLANK(AE24),GradeConverter(AD24),AE24)))</f>
        <v/>
      </c>
      <c r="AG24" s="95" t="s">
        <v>18</v>
      </c>
    </row>
    <row r="25" spans="1:33" s="51" customFormat="1" x14ac:dyDescent="0.25">
      <c r="A25" s="103"/>
      <c r="B25" s="103"/>
      <c r="C25" s="103"/>
      <c r="D25" s="103"/>
      <c r="E25" s="103"/>
      <c r="F25" s="104"/>
      <c r="G25" s="103"/>
      <c r="H25" s="103"/>
      <c r="I25" s="103"/>
      <c r="J25" s="103"/>
      <c r="K25" s="132"/>
      <c r="L25" s="144"/>
      <c r="M25" s="144"/>
      <c r="N25" s="144"/>
      <c r="O25" s="103"/>
      <c r="P25" s="104"/>
      <c r="Q25" s="144"/>
      <c r="R25" s="144"/>
      <c r="S25" s="144"/>
      <c r="T25" s="103"/>
      <c r="U25" s="149" t="str" cm="1">
        <f t="array" ref="U25">SumMarksAss(A25:E25)</f>
        <v/>
      </c>
      <c r="V25" s="150" t="str">
        <f t="shared" si="0"/>
        <v/>
      </c>
      <c r="W25" s="151" t="str" cm="1">
        <f t="array" ref="W25">IF(V25="","",GradeConverter(V25))</f>
        <v/>
      </c>
      <c r="X25" s="109" t="str" cm="1">
        <f t="array" ref="X25">SumMarksAss(F25:J25)</f>
        <v/>
      </c>
      <c r="Y25" s="106" t="str">
        <f t="shared" si="1"/>
        <v/>
      </c>
      <c r="Z25" s="107" t="str" cm="1">
        <f t="array" ref="Z25">IF(Y25="","",GradeConverter(Y25))</f>
        <v/>
      </c>
      <c r="AA25" s="140" t="str" cm="1">
        <f t="array" ref="AA25">SumMarksAss(K25:O25)</f>
        <v/>
      </c>
      <c r="AB25" s="138" t="str">
        <f t="shared" si="2"/>
        <v/>
      </c>
      <c r="AC25" s="139" t="str" cm="1">
        <f t="array" ref="AC25">IF(AB25="","",GradeConverter(AB25))</f>
        <v/>
      </c>
      <c r="AD25" s="159" t="str" cm="1">
        <f t="array" ref="AD25">CalcGrade(V25,Y25,AB25)</f>
        <v/>
      </c>
      <c r="AE25" s="108"/>
      <c r="AF25" s="108" t="str" cm="1">
        <f t="array" ref="AF25">IF(AD25="","",IF(AD25="-","-",IF(ISBLANK(AE25),GradeConverter(AD25),AE25)))</f>
        <v/>
      </c>
      <c r="AG25" s="95" t="s">
        <v>18</v>
      </c>
    </row>
    <row r="26" spans="1:33" s="51" customFormat="1" x14ac:dyDescent="0.25">
      <c r="A26" s="103"/>
      <c r="B26" s="103"/>
      <c r="C26" s="103"/>
      <c r="D26" s="103"/>
      <c r="E26" s="103"/>
      <c r="F26" s="104"/>
      <c r="G26" s="103"/>
      <c r="H26" s="103"/>
      <c r="I26" s="103"/>
      <c r="J26" s="103"/>
      <c r="K26" s="132"/>
      <c r="L26" s="144"/>
      <c r="M26" s="144"/>
      <c r="N26" s="144"/>
      <c r="O26" s="103"/>
      <c r="P26" s="104"/>
      <c r="Q26" s="144"/>
      <c r="R26" s="144"/>
      <c r="S26" s="144"/>
      <c r="T26" s="103"/>
      <c r="U26" s="149" t="str" cm="1">
        <f t="array" ref="U26">SumMarksAss(A26:E26)</f>
        <v/>
      </c>
      <c r="V26" s="150" t="str">
        <f t="shared" si="0"/>
        <v/>
      </c>
      <c r="W26" s="151" t="str" cm="1">
        <f t="array" ref="W26">IF(V26="","",GradeConverter(V26))</f>
        <v/>
      </c>
      <c r="X26" s="109" t="str" cm="1">
        <f t="array" ref="X26">SumMarksAss(F26:J26)</f>
        <v/>
      </c>
      <c r="Y26" s="106" t="str">
        <f t="shared" si="1"/>
        <v/>
      </c>
      <c r="Z26" s="107" t="str" cm="1">
        <f t="array" ref="Z26">IF(Y26="","",GradeConverter(Y26))</f>
        <v/>
      </c>
      <c r="AA26" s="140" t="str" cm="1">
        <f t="array" ref="AA26">SumMarksAss(K26:O26)</f>
        <v/>
      </c>
      <c r="AB26" s="138" t="str">
        <f t="shared" si="2"/>
        <v/>
      </c>
      <c r="AC26" s="139" t="str" cm="1">
        <f t="array" ref="AC26">IF(AB26="","",GradeConverter(AB26))</f>
        <v/>
      </c>
      <c r="AD26" s="159" t="str" cm="1">
        <f t="array" ref="AD26">CalcGrade(V26,Y26,AB26)</f>
        <v/>
      </c>
      <c r="AE26" s="108"/>
      <c r="AF26" s="108" t="str" cm="1">
        <f t="array" ref="AF26">IF(AD26="","",IF(AD26="-","-",IF(ISBLANK(AE26),GradeConverter(AD26),AE26)))</f>
        <v/>
      </c>
      <c r="AG26" s="95" t="s">
        <v>18</v>
      </c>
    </row>
    <row r="27" spans="1:33" s="51" customFormat="1" x14ac:dyDescent="0.25">
      <c r="A27" s="103"/>
      <c r="B27" s="103"/>
      <c r="C27" s="103"/>
      <c r="D27" s="103"/>
      <c r="E27" s="103"/>
      <c r="F27" s="104"/>
      <c r="G27" s="103"/>
      <c r="H27" s="103"/>
      <c r="I27" s="103"/>
      <c r="J27" s="103"/>
      <c r="K27" s="132"/>
      <c r="L27" s="144"/>
      <c r="M27" s="144"/>
      <c r="N27" s="144"/>
      <c r="O27" s="103"/>
      <c r="P27" s="104"/>
      <c r="Q27" s="144"/>
      <c r="R27" s="144"/>
      <c r="S27" s="144"/>
      <c r="T27" s="103"/>
      <c r="U27" s="149" t="str" cm="1">
        <f t="array" ref="U27">SumMarksAss(A27:E27)</f>
        <v/>
      </c>
      <c r="V27" s="150" t="str">
        <f t="shared" si="0"/>
        <v/>
      </c>
      <c r="W27" s="151" t="str" cm="1">
        <f t="array" ref="W27">IF(V27="","",GradeConverter(V27))</f>
        <v/>
      </c>
      <c r="X27" s="109" t="str" cm="1">
        <f t="array" ref="X27">SumMarksAss(F27:J27)</f>
        <v/>
      </c>
      <c r="Y27" s="106" t="str">
        <f t="shared" si="1"/>
        <v/>
      </c>
      <c r="Z27" s="107" t="str" cm="1">
        <f t="array" ref="Z27">IF(Y27="","",GradeConverter(Y27))</f>
        <v/>
      </c>
      <c r="AA27" s="140" t="str" cm="1">
        <f t="array" ref="AA27">SumMarksAss(K27:O27)</f>
        <v/>
      </c>
      <c r="AB27" s="138" t="str">
        <f t="shared" si="2"/>
        <v/>
      </c>
      <c r="AC27" s="139" t="str" cm="1">
        <f t="array" ref="AC27">IF(AB27="","",GradeConverter(AB27))</f>
        <v/>
      </c>
      <c r="AD27" s="159" t="str" cm="1">
        <f t="array" ref="AD27">CalcGrade(V27,Y27,AB27)</f>
        <v/>
      </c>
      <c r="AE27" s="108"/>
      <c r="AF27" s="108" t="str" cm="1">
        <f t="array" ref="AF27">IF(AD27="","",IF(AD27="-","-",IF(ISBLANK(AE27),GradeConverter(AD27),AE27)))</f>
        <v/>
      </c>
      <c r="AG27" s="95" t="s">
        <v>18</v>
      </c>
    </row>
    <row r="28" spans="1:33" s="51" customFormat="1" x14ac:dyDescent="0.25">
      <c r="A28" s="103"/>
      <c r="B28" s="103"/>
      <c r="C28" s="103"/>
      <c r="D28" s="103"/>
      <c r="E28" s="103"/>
      <c r="F28" s="104"/>
      <c r="G28" s="103"/>
      <c r="H28" s="103"/>
      <c r="I28" s="103"/>
      <c r="J28" s="103"/>
      <c r="K28" s="132"/>
      <c r="L28" s="144"/>
      <c r="M28" s="144"/>
      <c r="N28" s="144"/>
      <c r="O28" s="103"/>
      <c r="P28" s="104"/>
      <c r="Q28" s="144"/>
      <c r="R28" s="144"/>
      <c r="S28" s="144"/>
      <c r="T28" s="103"/>
      <c r="U28" s="149" t="str" cm="1">
        <f t="array" ref="U28">SumMarksAss(A28:E28)</f>
        <v/>
      </c>
      <c r="V28" s="150" t="str">
        <f t="shared" si="0"/>
        <v/>
      </c>
      <c r="W28" s="151" t="str" cm="1">
        <f t="array" ref="W28">IF(V28="","",GradeConverter(V28))</f>
        <v/>
      </c>
      <c r="X28" s="109" t="str" cm="1">
        <f t="array" ref="X28">SumMarksAss(F28:J28)</f>
        <v/>
      </c>
      <c r="Y28" s="106" t="str">
        <f t="shared" si="1"/>
        <v/>
      </c>
      <c r="Z28" s="107" t="str" cm="1">
        <f t="array" ref="Z28">IF(Y28="","",GradeConverter(Y28))</f>
        <v/>
      </c>
      <c r="AA28" s="140" t="str" cm="1">
        <f t="array" ref="AA28">SumMarksAss(K28:O28)</f>
        <v/>
      </c>
      <c r="AB28" s="138" t="str">
        <f t="shared" si="2"/>
        <v/>
      </c>
      <c r="AC28" s="139" t="str" cm="1">
        <f t="array" ref="AC28">IF(AB28="","",GradeConverter(AB28))</f>
        <v/>
      </c>
      <c r="AD28" s="159" t="str" cm="1">
        <f t="array" ref="AD28">CalcGrade(V28,Y28,AB28)</f>
        <v/>
      </c>
      <c r="AE28" s="108"/>
      <c r="AF28" s="108" t="str" cm="1">
        <f t="array" ref="AF28">IF(AD28="","",IF(AD28="-","-",IF(ISBLANK(AE28),GradeConverter(AD28),AE28)))</f>
        <v/>
      </c>
      <c r="AG28" s="95" t="s">
        <v>18</v>
      </c>
    </row>
    <row r="29" spans="1:33" s="51" customFormat="1" x14ac:dyDescent="0.25">
      <c r="A29" s="103"/>
      <c r="B29" s="103"/>
      <c r="C29" s="103"/>
      <c r="D29" s="103"/>
      <c r="E29" s="103"/>
      <c r="F29" s="104"/>
      <c r="G29" s="103"/>
      <c r="H29" s="103"/>
      <c r="I29" s="103"/>
      <c r="J29" s="103"/>
      <c r="K29" s="132"/>
      <c r="L29" s="144"/>
      <c r="M29" s="144"/>
      <c r="N29" s="144"/>
      <c r="O29" s="103"/>
      <c r="P29" s="104"/>
      <c r="Q29" s="144"/>
      <c r="R29" s="144"/>
      <c r="S29" s="144"/>
      <c r="T29" s="103"/>
      <c r="U29" s="149" t="str" cm="1">
        <f t="array" ref="U29">SumMarksAss(A29:E29)</f>
        <v/>
      </c>
      <c r="V29" s="150" t="str">
        <f t="shared" si="0"/>
        <v/>
      </c>
      <c r="W29" s="151" t="str" cm="1">
        <f t="array" ref="W29">IF(V29="","",GradeConverter(V29))</f>
        <v/>
      </c>
      <c r="X29" s="109" t="str" cm="1">
        <f t="array" ref="X29">SumMarksAss(F29:J29)</f>
        <v/>
      </c>
      <c r="Y29" s="106" t="str">
        <f t="shared" si="1"/>
        <v/>
      </c>
      <c r="Z29" s="107" t="str" cm="1">
        <f t="array" ref="Z29">IF(Y29="","",GradeConverter(Y29))</f>
        <v/>
      </c>
      <c r="AA29" s="140" t="str" cm="1">
        <f t="array" ref="AA29">SumMarksAss(K29:O29)</f>
        <v/>
      </c>
      <c r="AB29" s="138" t="str">
        <f t="shared" si="2"/>
        <v/>
      </c>
      <c r="AC29" s="139" t="str" cm="1">
        <f t="array" ref="AC29">IF(AB29="","",GradeConverter(AB29))</f>
        <v/>
      </c>
      <c r="AD29" s="159" t="str" cm="1">
        <f t="array" ref="AD29">CalcGrade(V29,Y29,AB29)</f>
        <v/>
      </c>
      <c r="AE29" s="108"/>
      <c r="AF29" s="108" t="str" cm="1">
        <f t="array" ref="AF29">IF(AD29="","",IF(AD29="-","-",IF(ISBLANK(AE29),GradeConverter(AD29),AE29)))</f>
        <v/>
      </c>
      <c r="AG29" s="95" t="s">
        <v>18</v>
      </c>
    </row>
    <row r="30" spans="1:33" s="51" customFormat="1" x14ac:dyDescent="0.25">
      <c r="A30" s="103"/>
      <c r="B30" s="103"/>
      <c r="C30" s="103"/>
      <c r="D30" s="103"/>
      <c r="E30" s="103"/>
      <c r="F30" s="104"/>
      <c r="G30" s="103"/>
      <c r="H30" s="103"/>
      <c r="I30" s="103"/>
      <c r="J30" s="103"/>
      <c r="K30" s="132"/>
      <c r="L30" s="144"/>
      <c r="M30" s="144"/>
      <c r="N30" s="144"/>
      <c r="O30" s="103"/>
      <c r="P30" s="104"/>
      <c r="Q30" s="144"/>
      <c r="R30" s="144"/>
      <c r="S30" s="144"/>
      <c r="T30" s="103"/>
      <c r="U30" s="149" t="str" cm="1">
        <f t="array" ref="U30">SumMarksAss(A30:E30)</f>
        <v/>
      </c>
      <c r="V30" s="150" t="str">
        <f t="shared" si="0"/>
        <v/>
      </c>
      <c r="W30" s="151" t="str" cm="1">
        <f t="array" ref="W30">IF(V30="","",GradeConverter(V30))</f>
        <v/>
      </c>
      <c r="X30" s="109" t="str" cm="1">
        <f t="array" ref="X30">SumMarksAss(F30:J30)</f>
        <v/>
      </c>
      <c r="Y30" s="106" t="str">
        <f t="shared" si="1"/>
        <v/>
      </c>
      <c r="Z30" s="107" t="str" cm="1">
        <f t="array" ref="Z30">IF(Y30="","",GradeConverter(Y30))</f>
        <v/>
      </c>
      <c r="AA30" s="140" t="str" cm="1">
        <f t="array" ref="AA30">SumMarksAss(K30:O30)</f>
        <v/>
      </c>
      <c r="AB30" s="138" t="str">
        <f t="shared" si="2"/>
        <v/>
      </c>
      <c r="AC30" s="139" t="str" cm="1">
        <f t="array" ref="AC30">IF(AB30="","",GradeConverter(AB30))</f>
        <v/>
      </c>
      <c r="AD30" s="159" t="str" cm="1">
        <f t="array" ref="AD30">CalcGrade(V30,Y30,AB30)</f>
        <v/>
      </c>
      <c r="AE30" s="108"/>
      <c r="AF30" s="108" t="str" cm="1">
        <f t="array" ref="AF30">IF(AD30="","",IF(AD30="-","-",IF(ISBLANK(AE30),GradeConverter(AD30),AE30)))</f>
        <v/>
      </c>
      <c r="AG30" s="95" t="s">
        <v>18</v>
      </c>
    </row>
    <row r="31" spans="1:33" s="51" customFormat="1" x14ac:dyDescent="0.25">
      <c r="A31" s="103"/>
      <c r="B31" s="103"/>
      <c r="C31" s="103"/>
      <c r="D31" s="103"/>
      <c r="E31" s="103"/>
      <c r="F31" s="104"/>
      <c r="G31" s="103"/>
      <c r="H31" s="103"/>
      <c r="I31" s="103"/>
      <c r="J31" s="103"/>
      <c r="K31" s="132"/>
      <c r="L31" s="144"/>
      <c r="M31" s="144"/>
      <c r="N31" s="144"/>
      <c r="O31" s="103"/>
      <c r="P31" s="104"/>
      <c r="Q31" s="144"/>
      <c r="R31" s="144"/>
      <c r="S31" s="144"/>
      <c r="T31" s="103"/>
      <c r="U31" s="149" t="str" cm="1">
        <f t="array" ref="U31">SumMarksAss(A31:E31)</f>
        <v/>
      </c>
      <c r="V31" s="150" t="str">
        <f t="shared" si="0"/>
        <v/>
      </c>
      <c r="W31" s="151" t="str" cm="1">
        <f t="array" ref="W31">IF(V31="","",GradeConverter(V31))</f>
        <v/>
      </c>
      <c r="X31" s="109" t="str" cm="1">
        <f t="array" ref="X31">SumMarksAss(F31:J31)</f>
        <v/>
      </c>
      <c r="Y31" s="106" t="str">
        <f t="shared" si="1"/>
        <v/>
      </c>
      <c r="Z31" s="107" t="str" cm="1">
        <f t="array" ref="Z31">IF(Y31="","",GradeConverter(Y31))</f>
        <v/>
      </c>
      <c r="AA31" s="140" t="str" cm="1">
        <f t="array" ref="AA31">SumMarksAss(K31:O31)</f>
        <v/>
      </c>
      <c r="AB31" s="138" t="str">
        <f t="shared" si="2"/>
        <v/>
      </c>
      <c r="AC31" s="139" t="str" cm="1">
        <f t="array" ref="AC31">IF(AB31="","",GradeConverter(AB31))</f>
        <v/>
      </c>
      <c r="AD31" s="159" t="str" cm="1">
        <f t="array" ref="AD31">CalcGrade(V31,Y31,AB31)</f>
        <v/>
      </c>
      <c r="AE31" s="108"/>
      <c r="AF31" s="108" t="str" cm="1">
        <f t="array" ref="AF31">IF(AD31="","",IF(AD31="-","-",IF(ISBLANK(AE31),GradeConverter(AD31),AE31)))</f>
        <v/>
      </c>
      <c r="AG31" s="95" t="s">
        <v>18</v>
      </c>
    </row>
    <row r="32" spans="1:33" s="51" customFormat="1" x14ac:dyDescent="0.25">
      <c r="A32" s="103"/>
      <c r="B32" s="103"/>
      <c r="C32" s="103"/>
      <c r="D32" s="103"/>
      <c r="E32" s="103"/>
      <c r="F32" s="104"/>
      <c r="G32" s="103"/>
      <c r="H32" s="103"/>
      <c r="I32" s="103"/>
      <c r="J32" s="103"/>
      <c r="K32" s="132"/>
      <c r="L32" s="144"/>
      <c r="M32" s="144"/>
      <c r="N32" s="144"/>
      <c r="O32" s="103"/>
      <c r="P32" s="104"/>
      <c r="Q32" s="144"/>
      <c r="R32" s="144"/>
      <c r="S32" s="144"/>
      <c r="T32" s="103"/>
      <c r="U32" s="149" t="str" cm="1">
        <f t="array" ref="U32">SumMarksAss(A32:E32)</f>
        <v/>
      </c>
      <c r="V32" s="150" t="str">
        <f t="shared" si="0"/>
        <v/>
      </c>
      <c r="W32" s="151" t="str" cm="1">
        <f t="array" ref="W32">IF(V32="","",GradeConverter(V32))</f>
        <v/>
      </c>
      <c r="X32" s="109" t="str" cm="1">
        <f t="array" ref="X32">SumMarksAss(F32:J32)</f>
        <v/>
      </c>
      <c r="Y32" s="106" t="str">
        <f t="shared" si="1"/>
        <v/>
      </c>
      <c r="Z32" s="107" t="str" cm="1">
        <f t="array" ref="Z32">IF(Y32="","",GradeConverter(Y32))</f>
        <v/>
      </c>
      <c r="AA32" s="140" t="str" cm="1">
        <f t="array" ref="AA32">SumMarksAss(K32:O32)</f>
        <v/>
      </c>
      <c r="AB32" s="138" t="str">
        <f t="shared" si="2"/>
        <v/>
      </c>
      <c r="AC32" s="139" t="str" cm="1">
        <f t="array" ref="AC32">IF(AB32="","",GradeConverter(AB32))</f>
        <v/>
      </c>
      <c r="AD32" s="159" t="str" cm="1">
        <f t="array" ref="AD32">CalcGrade(V32,Y32,AB32)</f>
        <v/>
      </c>
      <c r="AE32" s="108"/>
      <c r="AF32" s="108" t="str" cm="1">
        <f t="array" ref="AF32">IF(AD32="","",IF(AD32="-","-",IF(ISBLANK(AE32),GradeConverter(AD32),AE32)))</f>
        <v/>
      </c>
      <c r="AG32" s="95" t="s">
        <v>18</v>
      </c>
    </row>
    <row r="33" spans="1:33" s="51" customFormat="1" x14ac:dyDescent="0.25">
      <c r="A33" s="103"/>
      <c r="B33" s="103"/>
      <c r="C33" s="103"/>
      <c r="D33" s="103"/>
      <c r="E33" s="103"/>
      <c r="F33" s="104"/>
      <c r="G33" s="103"/>
      <c r="H33" s="103"/>
      <c r="I33" s="103"/>
      <c r="J33" s="103"/>
      <c r="K33" s="132"/>
      <c r="L33" s="144"/>
      <c r="M33" s="144"/>
      <c r="N33" s="144"/>
      <c r="O33" s="103"/>
      <c r="P33" s="104"/>
      <c r="Q33" s="144"/>
      <c r="R33" s="144"/>
      <c r="S33" s="144"/>
      <c r="T33" s="103"/>
      <c r="U33" s="149" t="str" cm="1">
        <f t="array" ref="U33">SumMarksAss(A33:E33)</f>
        <v/>
      </c>
      <c r="V33" s="150" t="str">
        <f t="shared" si="0"/>
        <v/>
      </c>
      <c r="W33" s="151" t="str" cm="1">
        <f t="array" ref="W33">IF(V33="","",GradeConverter(V33))</f>
        <v/>
      </c>
      <c r="X33" s="109" t="str" cm="1">
        <f t="array" ref="X33">SumMarksAss(F33:J33)</f>
        <v/>
      </c>
      <c r="Y33" s="106" t="str">
        <f t="shared" si="1"/>
        <v/>
      </c>
      <c r="Z33" s="107" t="str" cm="1">
        <f t="array" ref="Z33">IF(Y33="","",GradeConverter(Y33))</f>
        <v/>
      </c>
      <c r="AA33" s="140" t="str" cm="1">
        <f t="array" ref="AA33">SumMarksAss(K33:O33)</f>
        <v/>
      </c>
      <c r="AB33" s="138" t="str">
        <f t="shared" si="2"/>
        <v/>
      </c>
      <c r="AC33" s="139" t="str" cm="1">
        <f t="array" ref="AC33">IF(AB33="","",GradeConverter(AB33))</f>
        <v/>
      </c>
      <c r="AD33" s="159" t="str" cm="1">
        <f t="array" ref="AD33">CalcGrade(V33,Y33,AB33)</f>
        <v/>
      </c>
      <c r="AE33" s="108"/>
      <c r="AF33" s="108" t="str" cm="1">
        <f t="array" ref="AF33">IF(AD33="","",IF(AD33="-","-",IF(ISBLANK(AE33),GradeConverter(AD33),AE33)))</f>
        <v/>
      </c>
      <c r="AG33" s="95" t="s">
        <v>18</v>
      </c>
    </row>
    <row r="34" spans="1:33" s="51" customFormat="1" x14ac:dyDescent="0.25">
      <c r="A34" s="103"/>
      <c r="B34" s="103"/>
      <c r="C34" s="103"/>
      <c r="D34" s="103"/>
      <c r="E34" s="103"/>
      <c r="F34" s="104"/>
      <c r="G34" s="103"/>
      <c r="H34" s="103"/>
      <c r="I34" s="103"/>
      <c r="J34" s="103"/>
      <c r="K34" s="132"/>
      <c r="L34" s="144"/>
      <c r="M34" s="144"/>
      <c r="N34" s="144"/>
      <c r="O34" s="103"/>
      <c r="P34" s="104"/>
      <c r="Q34" s="144"/>
      <c r="R34" s="144"/>
      <c r="S34" s="144"/>
      <c r="T34" s="103"/>
      <c r="U34" s="149" t="str" cm="1">
        <f t="array" ref="U34">SumMarksAss(A34:E34)</f>
        <v/>
      </c>
      <c r="V34" s="150" t="str">
        <f t="shared" si="0"/>
        <v/>
      </c>
      <c r="W34" s="151" t="str" cm="1">
        <f t="array" ref="W34">IF(V34="","",GradeConverter(V34))</f>
        <v/>
      </c>
      <c r="X34" s="109" t="str" cm="1">
        <f t="array" ref="X34">SumMarksAss(F34:J34)</f>
        <v/>
      </c>
      <c r="Y34" s="106" t="str">
        <f t="shared" si="1"/>
        <v/>
      </c>
      <c r="Z34" s="107" t="str" cm="1">
        <f t="array" ref="Z34">IF(Y34="","",GradeConverter(Y34))</f>
        <v/>
      </c>
      <c r="AA34" s="140" t="str" cm="1">
        <f t="array" ref="AA34">SumMarksAss(K34:O34)</f>
        <v/>
      </c>
      <c r="AB34" s="138" t="str">
        <f t="shared" si="2"/>
        <v/>
      </c>
      <c r="AC34" s="139" t="str" cm="1">
        <f t="array" ref="AC34">IF(AB34="","",GradeConverter(AB34))</f>
        <v/>
      </c>
      <c r="AD34" s="159" t="str" cm="1">
        <f t="array" ref="AD34">CalcGrade(V34,Y34,AB34)</f>
        <v/>
      </c>
      <c r="AE34" s="108"/>
      <c r="AF34" s="108" t="str" cm="1">
        <f t="array" ref="AF34">IF(AD34="","",IF(AD34="-","-",IF(ISBLANK(AE34),GradeConverter(AD34),AE34)))</f>
        <v/>
      </c>
      <c r="AG34" s="95" t="s">
        <v>18</v>
      </c>
    </row>
    <row r="35" spans="1:33" s="51" customFormat="1" x14ac:dyDescent="0.25">
      <c r="A35" s="103"/>
      <c r="B35" s="103"/>
      <c r="C35" s="103"/>
      <c r="D35" s="103"/>
      <c r="E35" s="103"/>
      <c r="F35" s="104"/>
      <c r="G35" s="103"/>
      <c r="H35" s="103"/>
      <c r="I35" s="103"/>
      <c r="J35" s="103"/>
      <c r="K35" s="132"/>
      <c r="L35" s="144"/>
      <c r="M35" s="144"/>
      <c r="N35" s="144"/>
      <c r="O35" s="103"/>
      <c r="P35" s="104"/>
      <c r="Q35" s="144"/>
      <c r="R35" s="144"/>
      <c r="S35" s="144"/>
      <c r="T35" s="103"/>
      <c r="U35" s="149" t="str" cm="1">
        <f t="array" ref="U35">SumMarksAss(A35:E35)</f>
        <v/>
      </c>
      <c r="V35" s="150" t="str">
        <f t="shared" si="0"/>
        <v/>
      </c>
      <c r="W35" s="151" t="str" cm="1">
        <f t="array" ref="W35">IF(V35="","",GradeConverter(V35))</f>
        <v/>
      </c>
      <c r="X35" s="109" t="str" cm="1">
        <f t="array" ref="X35">SumMarksAss(F35:J35)</f>
        <v/>
      </c>
      <c r="Y35" s="106" t="str">
        <f t="shared" si="1"/>
        <v/>
      </c>
      <c r="Z35" s="107" t="str" cm="1">
        <f t="array" ref="Z35">IF(Y35="","",GradeConverter(Y35))</f>
        <v/>
      </c>
      <c r="AA35" s="140" t="str" cm="1">
        <f t="array" ref="AA35">SumMarksAss(K35:O35)</f>
        <v/>
      </c>
      <c r="AB35" s="138" t="str">
        <f t="shared" si="2"/>
        <v/>
      </c>
      <c r="AC35" s="139" t="str" cm="1">
        <f t="array" ref="AC35">IF(AB35="","",GradeConverter(AB35))</f>
        <v/>
      </c>
      <c r="AD35" s="159" t="str" cm="1">
        <f t="array" ref="AD35">CalcGrade(V35,Y35,AB35)</f>
        <v/>
      </c>
      <c r="AE35" s="108"/>
      <c r="AF35" s="108" t="str" cm="1">
        <f t="array" ref="AF35">IF(AD35="","",IF(AD35="-","-",IF(ISBLANK(AE35),GradeConverter(AD35),AE35)))</f>
        <v/>
      </c>
      <c r="AG35" s="95" t="s">
        <v>18</v>
      </c>
    </row>
    <row r="36" spans="1:33" s="51" customFormat="1" x14ac:dyDescent="0.25">
      <c r="A36" s="103"/>
      <c r="B36" s="103"/>
      <c r="C36" s="103"/>
      <c r="D36" s="103"/>
      <c r="E36" s="103"/>
      <c r="F36" s="104"/>
      <c r="G36" s="103"/>
      <c r="H36" s="103"/>
      <c r="I36" s="103"/>
      <c r="J36" s="103"/>
      <c r="K36" s="132"/>
      <c r="L36" s="144"/>
      <c r="M36" s="144"/>
      <c r="N36" s="144"/>
      <c r="O36" s="103"/>
      <c r="P36" s="104"/>
      <c r="Q36" s="144"/>
      <c r="R36" s="144"/>
      <c r="S36" s="144"/>
      <c r="T36" s="103"/>
      <c r="U36" s="149" t="str" cm="1">
        <f t="array" ref="U36">SumMarksAss(A36:E36)</f>
        <v/>
      </c>
      <c r="V36" s="150" t="str">
        <f t="shared" si="0"/>
        <v/>
      </c>
      <c r="W36" s="151" t="str" cm="1">
        <f t="array" ref="W36">IF(V36="","",GradeConverter(V36))</f>
        <v/>
      </c>
      <c r="X36" s="109" t="str" cm="1">
        <f t="array" ref="X36">SumMarksAss(F36:J36)</f>
        <v/>
      </c>
      <c r="Y36" s="106" t="str">
        <f t="shared" si="1"/>
        <v/>
      </c>
      <c r="Z36" s="107" t="str" cm="1">
        <f t="array" ref="Z36">IF(Y36="","",GradeConverter(Y36))</f>
        <v/>
      </c>
      <c r="AA36" s="140" t="str" cm="1">
        <f t="array" ref="AA36">SumMarksAss(K36:O36)</f>
        <v/>
      </c>
      <c r="AB36" s="138" t="str">
        <f t="shared" si="2"/>
        <v/>
      </c>
      <c r="AC36" s="139" t="str" cm="1">
        <f t="array" ref="AC36">IF(AB36="","",GradeConverter(AB36))</f>
        <v/>
      </c>
      <c r="AD36" s="159" t="str" cm="1">
        <f t="array" ref="AD36">CalcGrade(V36,Y36,AB36)</f>
        <v/>
      </c>
      <c r="AE36" s="108"/>
      <c r="AF36" s="108" t="str" cm="1">
        <f t="array" ref="AF36">IF(AD36="","",IF(AD36="-","-",IF(ISBLANK(AE36),GradeConverter(AD36),AE36)))</f>
        <v/>
      </c>
      <c r="AG36" s="95" t="s">
        <v>18</v>
      </c>
    </row>
    <row r="37" spans="1:33" s="51" customFormat="1" x14ac:dyDescent="0.25">
      <c r="A37" s="103"/>
      <c r="B37" s="103"/>
      <c r="C37" s="103"/>
      <c r="D37" s="103"/>
      <c r="E37" s="103"/>
      <c r="F37" s="104"/>
      <c r="G37" s="103"/>
      <c r="H37" s="103"/>
      <c r="I37" s="103"/>
      <c r="J37" s="103"/>
      <c r="K37" s="132"/>
      <c r="L37" s="144"/>
      <c r="M37" s="144"/>
      <c r="N37" s="144"/>
      <c r="O37" s="103"/>
      <c r="P37" s="104"/>
      <c r="Q37" s="144"/>
      <c r="R37" s="144"/>
      <c r="S37" s="144"/>
      <c r="T37" s="103"/>
      <c r="U37" s="149" t="str" cm="1">
        <f t="array" ref="U37">SumMarksAss(A37:E37)</f>
        <v/>
      </c>
      <c r="V37" s="150" t="str">
        <f t="shared" si="0"/>
        <v/>
      </c>
      <c r="W37" s="151" t="str" cm="1">
        <f t="array" ref="W37">IF(V37="","",GradeConverter(V37))</f>
        <v/>
      </c>
      <c r="X37" s="109" t="str" cm="1">
        <f t="array" ref="X37">SumMarksAss(F37:J37)</f>
        <v/>
      </c>
      <c r="Y37" s="106" t="str">
        <f t="shared" si="1"/>
        <v/>
      </c>
      <c r="Z37" s="107" t="str" cm="1">
        <f t="array" ref="Z37">IF(Y37="","",GradeConverter(Y37))</f>
        <v/>
      </c>
      <c r="AA37" s="140" t="str" cm="1">
        <f t="array" ref="AA37">SumMarksAss(K37:O37)</f>
        <v/>
      </c>
      <c r="AB37" s="138" t="str">
        <f t="shared" si="2"/>
        <v/>
      </c>
      <c r="AC37" s="139" t="str" cm="1">
        <f t="array" ref="AC37">IF(AB37="","",GradeConverter(AB37))</f>
        <v/>
      </c>
      <c r="AD37" s="159" t="str" cm="1">
        <f t="array" ref="AD37">CalcGrade(V37,Y37,AB37)</f>
        <v/>
      </c>
      <c r="AE37" s="108"/>
      <c r="AF37" s="108" t="str" cm="1">
        <f t="array" ref="AF37">IF(AD37="","",IF(AD37="-","-",IF(ISBLANK(AE37),GradeConverter(AD37),AE37)))</f>
        <v/>
      </c>
      <c r="AG37" s="95" t="s">
        <v>18</v>
      </c>
    </row>
    <row r="38" spans="1:33" s="51" customFormat="1" x14ac:dyDescent="0.25">
      <c r="A38" s="103"/>
      <c r="B38" s="103"/>
      <c r="C38" s="103"/>
      <c r="D38" s="103"/>
      <c r="E38" s="103"/>
      <c r="F38" s="104"/>
      <c r="G38" s="103"/>
      <c r="H38" s="103"/>
      <c r="I38" s="103"/>
      <c r="J38" s="103"/>
      <c r="K38" s="132"/>
      <c r="L38" s="144"/>
      <c r="M38" s="144"/>
      <c r="N38" s="144"/>
      <c r="O38" s="103"/>
      <c r="P38" s="104"/>
      <c r="Q38" s="144"/>
      <c r="R38" s="144"/>
      <c r="S38" s="144"/>
      <c r="T38" s="103"/>
      <c r="U38" s="149" t="str" cm="1">
        <f t="array" ref="U38">SumMarksAss(A38:E38)</f>
        <v/>
      </c>
      <c r="V38" s="150" t="str">
        <f t="shared" si="0"/>
        <v/>
      </c>
      <c r="W38" s="151" t="str" cm="1">
        <f t="array" ref="W38">IF(V38="","",GradeConverter(V38))</f>
        <v/>
      </c>
      <c r="X38" s="109" t="str" cm="1">
        <f t="array" ref="X38">SumMarksAss(F38:J38)</f>
        <v/>
      </c>
      <c r="Y38" s="106" t="str">
        <f t="shared" si="1"/>
        <v/>
      </c>
      <c r="Z38" s="107" t="str" cm="1">
        <f t="array" ref="Z38">IF(Y38="","",GradeConverter(Y38))</f>
        <v/>
      </c>
      <c r="AA38" s="140" t="str" cm="1">
        <f t="array" ref="AA38">SumMarksAss(K38:O38)</f>
        <v/>
      </c>
      <c r="AB38" s="138" t="str">
        <f t="shared" si="2"/>
        <v/>
      </c>
      <c r="AC38" s="139" t="str" cm="1">
        <f t="array" ref="AC38">IF(AB38="","",GradeConverter(AB38))</f>
        <v/>
      </c>
      <c r="AD38" s="159" t="str" cm="1">
        <f t="array" ref="AD38">CalcGrade(V38,Y38,AB38)</f>
        <v/>
      </c>
      <c r="AE38" s="108"/>
      <c r="AF38" s="108" t="str" cm="1">
        <f t="array" ref="AF38">IF(AD38="","",IF(AD38="-","-",IF(ISBLANK(AE38),GradeConverter(AD38),AE38)))</f>
        <v/>
      </c>
      <c r="AG38" s="95" t="s">
        <v>18</v>
      </c>
    </row>
    <row r="39" spans="1:33" s="51" customFormat="1" x14ac:dyDescent="0.25">
      <c r="A39" s="103"/>
      <c r="B39" s="103"/>
      <c r="C39" s="103"/>
      <c r="D39" s="103"/>
      <c r="E39" s="103"/>
      <c r="F39" s="104"/>
      <c r="G39" s="103"/>
      <c r="H39" s="103"/>
      <c r="I39" s="103"/>
      <c r="J39" s="103"/>
      <c r="K39" s="132"/>
      <c r="L39" s="144"/>
      <c r="M39" s="144"/>
      <c r="N39" s="144"/>
      <c r="O39" s="103"/>
      <c r="P39" s="104"/>
      <c r="Q39" s="144"/>
      <c r="R39" s="144"/>
      <c r="S39" s="144"/>
      <c r="T39" s="103"/>
      <c r="U39" s="149" t="str" cm="1">
        <f t="array" ref="U39">SumMarksAss(A39:E39)</f>
        <v/>
      </c>
      <c r="V39" s="150" t="str">
        <f t="shared" si="0"/>
        <v/>
      </c>
      <c r="W39" s="151" t="str" cm="1">
        <f t="array" ref="W39">IF(V39="","",GradeConverter(V39))</f>
        <v/>
      </c>
      <c r="X39" s="109" t="str" cm="1">
        <f t="array" ref="X39">SumMarksAss(F39:J39)</f>
        <v/>
      </c>
      <c r="Y39" s="106" t="str">
        <f t="shared" si="1"/>
        <v/>
      </c>
      <c r="Z39" s="107" t="str" cm="1">
        <f t="array" ref="Z39">IF(Y39="","",GradeConverter(Y39))</f>
        <v/>
      </c>
      <c r="AA39" s="140" t="str" cm="1">
        <f t="array" ref="AA39">SumMarksAss(K39:O39)</f>
        <v/>
      </c>
      <c r="AB39" s="138" t="str">
        <f t="shared" si="2"/>
        <v/>
      </c>
      <c r="AC39" s="139" t="str" cm="1">
        <f t="array" ref="AC39">IF(AB39="","",GradeConverter(AB39))</f>
        <v/>
      </c>
      <c r="AD39" s="159" t="str" cm="1">
        <f t="array" ref="AD39">CalcGrade(V39,Y39,AB39)</f>
        <v/>
      </c>
      <c r="AE39" s="108"/>
      <c r="AF39" s="108" t="str" cm="1">
        <f t="array" ref="AF39">IF(AD39="","",IF(AD39="-","-",IF(ISBLANK(AE39),GradeConverter(AD39),AE39)))</f>
        <v/>
      </c>
      <c r="AG39" s="95" t="s">
        <v>18</v>
      </c>
    </row>
    <row r="40" spans="1:33" s="51" customFormat="1" ht="15.75" thickBot="1" x14ac:dyDescent="0.3">
      <c r="A40" s="110"/>
      <c r="B40" s="110"/>
      <c r="C40" s="110"/>
      <c r="D40" s="110"/>
      <c r="E40" s="110"/>
      <c r="F40" s="111"/>
      <c r="G40" s="110"/>
      <c r="H40" s="110"/>
      <c r="I40" s="110"/>
      <c r="J40" s="110"/>
      <c r="K40" s="133"/>
      <c r="L40" s="145"/>
      <c r="M40" s="145"/>
      <c r="N40" s="145"/>
      <c r="O40" s="118"/>
      <c r="P40" s="111"/>
      <c r="Q40" s="145"/>
      <c r="R40" s="145"/>
      <c r="S40" s="145"/>
      <c r="T40" s="112"/>
      <c r="U40" s="152" t="str" cm="1">
        <f t="array" ref="U40">SumMarksAss(A40:E40)</f>
        <v/>
      </c>
      <c r="V40" s="153" t="str">
        <f t="shared" si="0"/>
        <v/>
      </c>
      <c r="W40" s="154" t="str" cm="1">
        <f t="array" ref="W40">IF(U40="","",GradeConverter(U40))</f>
        <v/>
      </c>
      <c r="X40" s="113" t="str" cm="1">
        <f t="array" ref="X40">SumMarksAss(F40:J40)</f>
        <v/>
      </c>
      <c r="Y40" s="114" t="str">
        <f t="shared" si="1"/>
        <v/>
      </c>
      <c r="Z40" s="115" t="str" cm="1">
        <f t="array" ref="Z40">IF(Y40="","",GradeConverter(Y40))</f>
        <v/>
      </c>
      <c r="AA40" s="161" t="str" cm="1">
        <f t="array" ref="AA40">SumMarksAss(K40:O40)</f>
        <v/>
      </c>
      <c r="AB40" s="141" t="str">
        <f t="shared" si="2"/>
        <v/>
      </c>
      <c r="AC40" s="142" t="str" cm="1">
        <f t="array" ref="AC40">IF(AB40="","",GradeConverter(AB40))</f>
        <v/>
      </c>
      <c r="AD40" s="160" t="str" cm="1">
        <f t="array" ref="AD40">CalcGrade(V40,Y40,AB40)</f>
        <v/>
      </c>
      <c r="AE40" s="116"/>
      <c r="AF40" s="116" t="str" cm="1">
        <f t="array" ref="AF40">IF(AD40="","",IF(AD40="-","-",IF(ISBLANK(AE40),GradeConverter(AD40),AE40)))</f>
        <v/>
      </c>
      <c r="AG40" s="117" t="e" cm="1">
        <f t="array" ref="AG40">-+M40A40:AG40</f>
        <v>#NAME?</v>
      </c>
    </row>
  </sheetData>
  <mergeCells count="9">
    <mergeCell ref="AB3:AC3"/>
    <mergeCell ref="U2:AF2"/>
    <mergeCell ref="A1:AG1"/>
    <mergeCell ref="V3:W3"/>
    <mergeCell ref="Y3:Z3"/>
    <mergeCell ref="P2:T2"/>
    <mergeCell ref="A2:E2"/>
    <mergeCell ref="F2:J2"/>
    <mergeCell ref="K2:O2"/>
  </mergeCells>
  <conditionalFormatting sqref="Z5:Z40 AD5:AF40 W5:W40">
    <cfRule type="expression" dxfId="11" priority="9" stopIfTrue="1">
      <formula>OR(ISNUMBER(SEARCH("D",W5)),ISNUMBER(SEARCH("E",W5)))</formula>
    </cfRule>
  </conditionalFormatting>
  <conditionalFormatting sqref="A5:T40">
    <cfRule type="expression" dxfId="10" priority="3" stopIfTrue="1">
      <formula>NOT(ISBLANK(A5))</formula>
    </cfRule>
    <cfRule type="expression" dxfId="9" priority="4" stopIfTrue="1">
      <formula>AND(NOT($A5="ZZZZZ"),NOT(ISBLANK(A$4)))</formula>
    </cfRule>
  </conditionalFormatting>
  <conditionalFormatting sqref="AC5:AC40">
    <cfRule type="expression" dxfId="8"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E40"/>
  <sheetViews>
    <sheetView zoomScale="85" zoomScaleNormal="85" workbookViewId="0">
      <selection activeCell="M22" sqref="M22"/>
    </sheetView>
  </sheetViews>
  <sheetFormatPr defaultRowHeight="15" x14ac:dyDescent="0.25"/>
  <cols>
    <col min="1" max="4" width="16" bestFit="1" customWidth="1"/>
    <col min="5" max="5" width="1.85546875" bestFit="1" customWidth="1"/>
  </cols>
  <sheetData>
    <row r="1" spans="1:5" x14ac:dyDescent="0.25">
      <c r="A1" s="122"/>
      <c r="B1" s="122"/>
      <c r="C1" s="123"/>
      <c r="D1" s="123"/>
      <c r="E1" s="124"/>
    </row>
    <row r="2" spans="1:5" ht="15.75" x14ac:dyDescent="0.25">
      <c r="A2" s="129" t="s">
        <v>95</v>
      </c>
      <c r="B2" s="130"/>
      <c r="C2" s="130"/>
      <c r="D2" s="130"/>
      <c r="E2" s="125" t="s">
        <v>18</v>
      </c>
    </row>
    <row r="3" spans="1:5" x14ac:dyDescent="0.25">
      <c r="A3" s="121" t="s">
        <v>96</v>
      </c>
      <c r="B3" s="121" t="s">
        <v>96</v>
      </c>
      <c r="C3" s="121" t="s">
        <v>96</v>
      </c>
      <c r="D3" s="121" t="s">
        <v>96</v>
      </c>
      <c r="E3" s="125" t="s">
        <v>18</v>
      </c>
    </row>
    <row r="4" spans="1:5" x14ac:dyDescent="0.25">
      <c r="A4" s="162" t="s">
        <v>111</v>
      </c>
      <c r="B4" s="163" t="s">
        <v>112</v>
      </c>
      <c r="C4" s="164" t="s">
        <v>113</v>
      </c>
      <c r="D4" s="165" t="s">
        <v>137</v>
      </c>
      <c r="E4" s="125" t="s">
        <v>18</v>
      </c>
    </row>
    <row r="5" spans="1:5" x14ac:dyDescent="0.25">
      <c r="A5" s="127"/>
      <c r="B5" s="127"/>
      <c r="C5" s="127"/>
      <c r="D5" s="127"/>
      <c r="E5" s="125" t="s">
        <v>18</v>
      </c>
    </row>
    <row r="6" spans="1:5" x14ac:dyDescent="0.25">
      <c r="A6" s="127"/>
      <c r="B6" s="127"/>
      <c r="C6" s="127"/>
      <c r="D6" s="127"/>
      <c r="E6" s="125" t="s">
        <v>18</v>
      </c>
    </row>
    <row r="7" spans="1:5" x14ac:dyDescent="0.25">
      <c r="A7" s="127"/>
      <c r="B7" s="127"/>
      <c r="C7" s="127"/>
      <c r="D7" s="127"/>
      <c r="E7" s="125" t="s">
        <v>18</v>
      </c>
    </row>
    <row r="8" spans="1:5" x14ac:dyDescent="0.25">
      <c r="A8" s="127"/>
      <c r="B8" s="127"/>
      <c r="C8" s="127"/>
      <c r="D8" s="127"/>
      <c r="E8" s="125" t="s">
        <v>18</v>
      </c>
    </row>
    <row r="9" spans="1:5" x14ac:dyDescent="0.25">
      <c r="A9" s="127"/>
      <c r="B9" s="127"/>
      <c r="C9" s="127"/>
      <c r="D9" s="127"/>
      <c r="E9" s="125" t="s">
        <v>18</v>
      </c>
    </row>
    <row r="10" spans="1:5" x14ac:dyDescent="0.25">
      <c r="A10" s="127"/>
      <c r="B10" s="127"/>
      <c r="C10" s="127"/>
      <c r="D10" s="127"/>
      <c r="E10" s="125" t="s">
        <v>18</v>
      </c>
    </row>
    <row r="11" spans="1:5" x14ac:dyDescent="0.25">
      <c r="A11" s="127"/>
      <c r="B11" s="127"/>
      <c r="C11" s="127"/>
      <c r="D11" s="127"/>
      <c r="E11" s="125" t="s">
        <v>18</v>
      </c>
    </row>
    <row r="12" spans="1:5" x14ac:dyDescent="0.25">
      <c r="A12" s="127"/>
      <c r="B12" s="127"/>
      <c r="C12" s="127"/>
      <c r="D12" s="127"/>
      <c r="E12" s="125" t="s">
        <v>18</v>
      </c>
    </row>
    <row r="13" spans="1:5" x14ac:dyDescent="0.25">
      <c r="A13" s="127"/>
      <c r="B13" s="127"/>
      <c r="C13" s="127"/>
      <c r="D13" s="127"/>
      <c r="E13" s="125" t="s">
        <v>18</v>
      </c>
    </row>
    <row r="14" spans="1:5" x14ac:dyDescent="0.25">
      <c r="A14" s="127"/>
      <c r="B14" s="127"/>
      <c r="C14" s="127"/>
      <c r="D14" s="127"/>
      <c r="E14" s="125" t="s">
        <v>18</v>
      </c>
    </row>
    <row r="15" spans="1:5" x14ac:dyDescent="0.25">
      <c r="A15" s="127"/>
      <c r="B15" s="127"/>
      <c r="C15" s="127"/>
      <c r="D15" s="127"/>
      <c r="E15" s="125" t="s">
        <v>18</v>
      </c>
    </row>
    <row r="16" spans="1:5" x14ac:dyDescent="0.25">
      <c r="A16" s="127"/>
      <c r="B16" s="127"/>
      <c r="C16" s="127"/>
      <c r="D16" s="127"/>
      <c r="E16" s="125" t="s">
        <v>18</v>
      </c>
    </row>
    <row r="17" spans="1:5" x14ac:dyDescent="0.25">
      <c r="A17" s="127"/>
      <c r="B17" s="127"/>
      <c r="C17" s="127"/>
      <c r="D17" s="127"/>
      <c r="E17" s="125" t="s">
        <v>18</v>
      </c>
    </row>
    <row r="18" spans="1:5" x14ac:dyDescent="0.25">
      <c r="A18" s="127"/>
      <c r="B18" s="127"/>
      <c r="C18" s="127"/>
      <c r="D18" s="127"/>
      <c r="E18" s="125" t="s">
        <v>18</v>
      </c>
    </row>
    <row r="19" spans="1:5" x14ac:dyDescent="0.25">
      <c r="A19" s="127"/>
      <c r="B19" s="127"/>
      <c r="C19" s="127"/>
      <c r="D19" s="127"/>
      <c r="E19" s="125" t="s">
        <v>18</v>
      </c>
    </row>
    <row r="20" spans="1:5" x14ac:dyDescent="0.25">
      <c r="A20" s="127"/>
      <c r="B20" s="127"/>
      <c r="C20" s="127"/>
      <c r="D20" s="127"/>
      <c r="E20" s="125" t="s">
        <v>18</v>
      </c>
    </row>
    <row r="21" spans="1:5" x14ac:dyDescent="0.25">
      <c r="A21" s="127"/>
      <c r="B21" s="127"/>
      <c r="C21" s="127"/>
      <c r="D21" s="127"/>
      <c r="E21" s="125" t="s">
        <v>18</v>
      </c>
    </row>
    <row r="22" spans="1:5" x14ac:dyDescent="0.25">
      <c r="A22" s="127"/>
      <c r="B22" s="127"/>
      <c r="C22" s="127"/>
      <c r="D22" s="127"/>
      <c r="E22" s="125" t="s">
        <v>18</v>
      </c>
    </row>
    <row r="23" spans="1:5" x14ac:dyDescent="0.25">
      <c r="A23" s="127"/>
      <c r="B23" s="127"/>
      <c r="C23" s="127"/>
      <c r="D23" s="127"/>
      <c r="E23" s="125" t="s">
        <v>18</v>
      </c>
    </row>
    <row r="24" spans="1:5" x14ac:dyDescent="0.25">
      <c r="A24" s="127"/>
      <c r="B24" s="127"/>
      <c r="C24" s="127"/>
      <c r="D24" s="127"/>
      <c r="E24" s="125" t="s">
        <v>18</v>
      </c>
    </row>
    <row r="25" spans="1:5" x14ac:dyDescent="0.25">
      <c r="A25" s="127"/>
      <c r="B25" s="127"/>
      <c r="C25" s="127"/>
      <c r="D25" s="127"/>
      <c r="E25" s="125" t="s">
        <v>18</v>
      </c>
    </row>
    <row r="26" spans="1:5" x14ac:dyDescent="0.25">
      <c r="A26" s="127"/>
      <c r="B26" s="127"/>
      <c r="C26" s="127"/>
      <c r="D26" s="127"/>
      <c r="E26" s="125" t="s">
        <v>18</v>
      </c>
    </row>
    <row r="27" spans="1:5" x14ac:dyDescent="0.25">
      <c r="A27" s="127"/>
      <c r="B27" s="127"/>
      <c r="C27" s="127"/>
      <c r="D27" s="127"/>
      <c r="E27" s="125" t="s">
        <v>18</v>
      </c>
    </row>
    <row r="28" spans="1:5" x14ac:dyDescent="0.25">
      <c r="A28" s="127"/>
      <c r="B28" s="127"/>
      <c r="C28" s="127"/>
      <c r="D28" s="127"/>
      <c r="E28" s="125" t="s">
        <v>18</v>
      </c>
    </row>
    <row r="29" spans="1:5" x14ac:dyDescent="0.25">
      <c r="A29" s="127"/>
      <c r="B29" s="127"/>
      <c r="C29" s="127"/>
      <c r="D29" s="127"/>
      <c r="E29" s="125" t="s">
        <v>18</v>
      </c>
    </row>
    <row r="30" spans="1:5" x14ac:dyDescent="0.25">
      <c r="A30" s="127"/>
      <c r="B30" s="127"/>
      <c r="C30" s="127"/>
      <c r="D30" s="127"/>
      <c r="E30" s="125" t="s">
        <v>18</v>
      </c>
    </row>
    <row r="31" spans="1:5" x14ac:dyDescent="0.25">
      <c r="A31" s="127"/>
      <c r="B31" s="127"/>
      <c r="C31" s="127"/>
      <c r="D31" s="127"/>
      <c r="E31" s="125" t="s">
        <v>18</v>
      </c>
    </row>
    <row r="32" spans="1:5" x14ac:dyDescent="0.25">
      <c r="A32" s="127"/>
      <c r="B32" s="127"/>
      <c r="C32" s="127"/>
      <c r="D32" s="127"/>
      <c r="E32" s="125" t="s">
        <v>18</v>
      </c>
    </row>
    <row r="33" spans="1:5" x14ac:dyDescent="0.25">
      <c r="A33" s="127"/>
      <c r="B33" s="127"/>
      <c r="C33" s="127"/>
      <c r="D33" s="127"/>
      <c r="E33" s="125" t="s">
        <v>18</v>
      </c>
    </row>
    <row r="34" spans="1:5" x14ac:dyDescent="0.25">
      <c r="A34" s="127"/>
      <c r="B34" s="127"/>
      <c r="C34" s="127"/>
      <c r="D34" s="127"/>
      <c r="E34" s="125" t="s">
        <v>18</v>
      </c>
    </row>
    <row r="35" spans="1:5" x14ac:dyDescent="0.25">
      <c r="A35" s="127"/>
      <c r="B35" s="127"/>
      <c r="C35" s="127"/>
      <c r="D35" s="127"/>
      <c r="E35" s="125" t="s">
        <v>18</v>
      </c>
    </row>
    <row r="36" spans="1:5" x14ac:dyDescent="0.25">
      <c r="A36" s="127"/>
      <c r="B36" s="127"/>
      <c r="C36" s="127"/>
      <c r="D36" s="127"/>
      <c r="E36" s="125" t="s">
        <v>18</v>
      </c>
    </row>
    <row r="37" spans="1:5" x14ac:dyDescent="0.25">
      <c r="A37" s="127"/>
      <c r="B37" s="127"/>
      <c r="C37" s="127"/>
      <c r="D37" s="127"/>
      <c r="E37" s="125" t="s">
        <v>18</v>
      </c>
    </row>
    <row r="38" spans="1:5" x14ac:dyDescent="0.25">
      <c r="A38" s="127"/>
      <c r="B38" s="127"/>
      <c r="C38" s="127"/>
      <c r="D38" s="127"/>
      <c r="E38" s="125" t="s">
        <v>18</v>
      </c>
    </row>
    <row r="39" spans="1:5" x14ac:dyDescent="0.25">
      <c r="A39" s="127"/>
      <c r="B39" s="127"/>
      <c r="C39" s="127"/>
      <c r="D39" s="127"/>
      <c r="E39" s="125" t="s">
        <v>18</v>
      </c>
    </row>
    <row r="40" spans="1:5" ht="15.75" thickBot="1" x14ac:dyDescent="0.3">
      <c r="A40" s="128"/>
      <c r="B40" s="128"/>
      <c r="C40" s="128"/>
      <c r="D40" s="128"/>
      <c r="E40" s="126" t="s">
        <v>18</v>
      </c>
    </row>
  </sheetData>
  <conditionalFormatting sqref="A5:D40">
    <cfRule type="expression" dxfId="7" priority="1" stopIfTrue="1">
      <formula>OR(ISNUMBER(SEARCH("D",A5)),ISNUMBER(SEARCH("E",A5)))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customWidth="1"/>
    <col min="6" max="6" width="10.42578125" style="16" customWidth="1"/>
    <col min="7" max="10" width="10.42578125" style="16" hidden="1" customWidth="1"/>
    <col min="11" max="11" width="10.42578125" customWidth="1"/>
    <col min="12" max="12" width="10.42578125" style="16" customWidth="1"/>
    <col min="13" max="13" width="10.7109375" bestFit="1" customWidth="1"/>
    <col min="14" max="14" width="4.85546875" style="16" bestFit="1" customWidth="1"/>
    <col min="15" max="15" width="6.42578125" bestFit="1" customWidth="1"/>
    <col min="16" max="16" width="10.28515625" bestFit="1" customWidth="1"/>
    <col min="17" max="17" width="5.140625" style="16" customWidth="1"/>
    <col min="18" max="18" width="6.42578125" bestFit="1" customWidth="1"/>
    <col min="19" max="19" width="11.140625" bestFit="1" customWidth="1"/>
    <col min="20" max="20" width="10.42578125" style="17" bestFit="1" customWidth="1"/>
    <col min="21" max="21" width="13.42578125" bestFit="1" customWidth="1"/>
    <col min="22" max="22" width="1.7109375" bestFit="1" customWidth="1"/>
  </cols>
  <sheetData>
    <row r="1" spans="1:22" x14ac:dyDescent="0.25">
      <c r="A1" s="57" t="s">
        <v>65</v>
      </c>
      <c r="B1" s="258" t="s">
        <v>78</v>
      </c>
      <c r="C1" s="258"/>
      <c r="D1" s="258"/>
      <c r="E1" s="258"/>
      <c r="F1" s="258"/>
      <c r="G1" s="258"/>
      <c r="H1" s="258"/>
      <c r="I1" s="258"/>
      <c r="J1" s="258"/>
      <c r="K1" s="258"/>
      <c r="L1" s="258"/>
      <c r="M1" s="258"/>
      <c r="N1" s="258"/>
      <c r="O1" s="258"/>
      <c r="P1" s="258"/>
      <c r="Q1" s="258"/>
      <c r="R1" s="258"/>
      <c r="S1" s="258"/>
      <c r="T1" s="258"/>
      <c r="U1" s="258"/>
      <c r="V1" s="259"/>
    </row>
    <row r="2" spans="1:22" x14ac:dyDescent="0.25">
      <c r="A2" s="265" t="s">
        <v>31</v>
      </c>
      <c r="B2" s="256"/>
      <c r="C2" s="256"/>
      <c r="D2" s="256"/>
      <c r="E2" s="256"/>
      <c r="F2" s="255" t="s">
        <v>33</v>
      </c>
      <c r="G2" s="256"/>
      <c r="H2" s="256"/>
      <c r="I2" s="256"/>
      <c r="J2" s="256"/>
      <c r="K2" s="255" t="s">
        <v>75</v>
      </c>
      <c r="L2" s="257"/>
      <c r="M2" s="255" t="s">
        <v>34</v>
      </c>
      <c r="N2" s="256"/>
      <c r="O2" s="256"/>
      <c r="P2" s="256"/>
      <c r="Q2" s="256"/>
      <c r="R2" s="256"/>
      <c r="S2" s="256"/>
      <c r="T2" s="256"/>
      <c r="U2" s="260"/>
      <c r="V2" s="58" t="s">
        <v>18</v>
      </c>
    </row>
    <row r="3" spans="1:22" ht="15" customHeight="1" x14ac:dyDescent="0.25">
      <c r="A3" s="83" t="s">
        <v>79</v>
      </c>
      <c r="B3" s="83" t="s">
        <v>80</v>
      </c>
      <c r="C3" s="83" t="s">
        <v>71</v>
      </c>
      <c r="D3" s="83" t="s">
        <v>71</v>
      </c>
      <c r="E3" s="83" t="s">
        <v>71</v>
      </c>
      <c r="F3" s="83" t="s">
        <v>33</v>
      </c>
      <c r="G3" s="83" t="s">
        <v>71</v>
      </c>
      <c r="H3" s="83" t="s">
        <v>71</v>
      </c>
      <c r="I3" s="83" t="s">
        <v>71</v>
      </c>
      <c r="J3" s="83" t="s">
        <v>71</v>
      </c>
      <c r="K3" s="83" t="s">
        <v>71</v>
      </c>
      <c r="L3" s="83" t="s">
        <v>71</v>
      </c>
      <c r="M3" s="82" t="str">
        <f>_xlfn.TEXTJOIN(" ",TRUE,"Max",A2,":")</f>
        <v>Max UD :</v>
      </c>
      <c r="N3" s="261">
        <f>IF(OR(A4="-",B4="-",C4="-",D4="-",E4="-"),"-",SUM(A4,B4,C4,D4,E4))</f>
        <v>100</v>
      </c>
      <c r="O3" s="262"/>
      <c r="P3" s="82" t="str">
        <f>_xlfn.TEXTJOIN(" ",TRUE,"Max",F2,":")</f>
        <v>Max SD :</v>
      </c>
      <c r="Q3" s="263">
        <f>IF(OR(F4="-",G4="-",H4="-",I4="-",J4="-"),"-",SUM(F4,G4,H4,I4,J4))</f>
        <v>100</v>
      </c>
      <c r="R3" s="264"/>
      <c r="S3" s="59"/>
      <c r="T3" s="59"/>
      <c r="U3" s="59"/>
      <c r="V3" s="58" t="s">
        <v>18</v>
      </c>
    </row>
    <row r="4" spans="1:22" ht="15" customHeight="1" x14ac:dyDescent="0.25">
      <c r="A4" s="93">
        <v>25</v>
      </c>
      <c r="B4" s="94">
        <v>75</v>
      </c>
      <c r="C4" s="94"/>
      <c r="D4" s="94"/>
      <c r="E4" s="94"/>
      <c r="F4" s="94">
        <v>100</v>
      </c>
      <c r="G4" s="94"/>
      <c r="H4" s="94"/>
      <c r="I4" s="94"/>
      <c r="J4" s="94"/>
      <c r="K4" s="94"/>
      <c r="L4" s="94"/>
      <c r="M4" s="66" t="str">
        <f>_xlfn.TEXTJOIN(" ",TRUE,M2,A2)</f>
        <v>Overall UD</v>
      </c>
      <c r="N4" s="84" t="s">
        <v>32</v>
      </c>
      <c r="O4" s="85" t="s">
        <v>1</v>
      </c>
      <c r="P4" s="60" t="str">
        <f>_xlfn.TEXTJOIN(" ",TRUE,M2,F2)</f>
        <v>Overall SD</v>
      </c>
      <c r="Q4" s="86" t="s">
        <v>32</v>
      </c>
      <c r="R4" s="87" t="s">
        <v>1</v>
      </c>
      <c r="S4" s="61" t="s">
        <v>49</v>
      </c>
      <c r="T4" s="61" t="s">
        <v>50</v>
      </c>
      <c r="U4" s="61" t="s">
        <v>70</v>
      </c>
      <c r="V4" s="58" t="s">
        <v>18</v>
      </c>
    </row>
    <row r="5" spans="1:22" ht="15" customHeight="1" x14ac:dyDescent="0.25">
      <c r="A5" s="55">
        <v>20</v>
      </c>
      <c r="B5" s="55">
        <v>63</v>
      </c>
      <c r="C5" s="55"/>
      <c r="D5" s="55"/>
      <c r="E5" s="55"/>
      <c r="F5" s="63">
        <v>73</v>
      </c>
      <c r="G5" s="55"/>
      <c r="H5" s="55"/>
      <c r="I5" s="55"/>
      <c r="J5" s="55"/>
      <c r="K5" s="63"/>
      <c r="L5" s="55"/>
      <c r="M5" s="90">
        <f t="shared" ref="M5:M40" si="0">IF(COUNTIF(A5:E5,"*-*")&gt;0,"-",IF(COUNTBLANK(A5:E5)=5,"",IF(N$3="-","-",SUM(A5:E5))))</f>
        <v>83</v>
      </c>
      <c r="N5" s="78">
        <f>IF(M5="","",IF(M5="-","-",M5/N$3))</f>
        <v>0.83</v>
      </c>
      <c r="O5" s="67" t="str">
        <f>IF(N5="","",VLOOKUP(N5,Table1[],2,TRUE))</f>
        <v>A-</v>
      </c>
      <c r="P5" s="73">
        <f t="shared" ref="P5:P40" si="1">IF(COUNTIF(F5:J5,"*-*")&gt;0,"-",IF(COUNTBLANK(F5:J5)=5,"",IF(Q$3="-","-",SUM(F5:J5))))</f>
        <v>73</v>
      </c>
      <c r="Q5" s="80">
        <f>IF(P5="","",IF(P5="-", "-",P5/Q$3))</f>
        <v>0.73</v>
      </c>
      <c r="R5" s="68" t="str">
        <f>IF(Q5="","",VLOOKUP(Q5,Table1[],2,TRUE))</f>
        <v>B</v>
      </c>
      <c r="S5" s="76" t="str">
        <f>IF(AND(N5="",Q5=""),"",IF(OR(N5="-",Q5="-"),"-",IF(AND(N$3&lt;&gt;0,Q$3&lt;&gt;0),VLOOKUP(AVERAGE(N5,Q5),Table1[],2,TRUE),IF(AND(N$3&lt;&gt;0,Q$3=0),O5,R5))))</f>
        <v>B+</v>
      </c>
      <c r="T5" s="56"/>
      <c r="U5" s="56" t="str">
        <f>IF(ISBLANK(T5),S5,T5)</f>
        <v>B+</v>
      </c>
      <c r="V5" s="58" t="s">
        <v>18</v>
      </c>
    </row>
    <row r="6" spans="1:22" ht="15" customHeight="1" x14ac:dyDescent="0.25">
      <c r="A6" s="55" t="s">
        <v>18</v>
      </c>
      <c r="B6" s="55" t="s">
        <v>18</v>
      </c>
      <c r="C6" s="55"/>
      <c r="D6" s="55"/>
      <c r="E6" s="55"/>
      <c r="F6" s="63">
        <v>42</v>
      </c>
      <c r="G6" s="55"/>
      <c r="H6" s="55"/>
      <c r="I6" s="55"/>
      <c r="J6" s="55"/>
      <c r="K6" s="63"/>
      <c r="L6" s="55"/>
      <c r="M6" s="90" t="str">
        <f t="shared" si="0"/>
        <v>-</v>
      </c>
      <c r="N6" s="78" t="str">
        <f t="shared" ref="N6:N39" si="2">IF(M6="","",IF(M6="-","-",M6/N$3))</f>
        <v>-</v>
      </c>
      <c r="O6" s="67" t="str">
        <f>IF(M6="","",VLOOKUP(N6,Table1[],2,TRUE))</f>
        <v>-</v>
      </c>
      <c r="P6" s="74">
        <f t="shared" si="1"/>
        <v>42</v>
      </c>
      <c r="Q6" s="80">
        <f>IF(P6="","",IF(P6="-", "-",P6/Q$3))</f>
        <v>0.42</v>
      </c>
      <c r="R6" s="68" t="str">
        <f>IF(P6="","",VLOOKUP(Q6,Table1[],2,TRUE))</f>
        <v>D+</v>
      </c>
      <c r="S6" s="76" t="str">
        <f>IF(AND(N6="",Q6=""),"",IF(OR(N6="-",Q6="-"),"-",IF(AND(N$3&lt;&gt;0,Q$3&lt;&gt;0),VLOOKUP(AVERAGE(N6,Q6),Table1[],2,TRUE),IF(AND(N$3&lt;&gt;0,Q$3=0),O6,R6))))</f>
        <v>-</v>
      </c>
      <c r="T6" s="92"/>
      <c r="U6" s="56" t="str">
        <f t="shared" ref="U6:U40" si="3">IF(ISBLANK(T6),S6,T6)</f>
        <v>-</v>
      </c>
      <c r="V6" s="58" t="s">
        <v>18</v>
      </c>
    </row>
    <row r="7" spans="1:22" ht="15" customHeight="1" x14ac:dyDescent="0.25">
      <c r="A7" s="55">
        <v>15</v>
      </c>
      <c r="B7" s="55" t="s">
        <v>18</v>
      </c>
      <c r="C7" s="55"/>
      <c r="D7" s="55"/>
      <c r="E7" s="55"/>
      <c r="F7" s="63">
        <v>84</v>
      </c>
      <c r="G7" s="55"/>
      <c r="H7" s="55"/>
      <c r="I7" s="55"/>
      <c r="J7" s="55"/>
      <c r="K7" s="63"/>
      <c r="L7" s="55"/>
      <c r="M7" s="90" t="str">
        <f t="shared" si="0"/>
        <v>-</v>
      </c>
      <c r="N7" s="78" t="str">
        <f t="shared" si="2"/>
        <v>-</v>
      </c>
      <c r="O7" s="67" t="str">
        <f>IF(M7="","",VLOOKUP(N7,Table1[],2,TRUE))</f>
        <v>-</v>
      </c>
      <c r="P7" s="74">
        <f t="shared" si="1"/>
        <v>84</v>
      </c>
      <c r="Q7" s="80">
        <f t="shared" ref="Q7:Q39" si="4">IF(P7="","",IF(P7="-", "-",P7/Q$3))</f>
        <v>0.84</v>
      </c>
      <c r="R7" s="68" t="str">
        <f>IF(P7="","",VLOOKUP(Q7,Table1[],2,TRUE))</f>
        <v>A-</v>
      </c>
      <c r="S7" s="76" t="str">
        <f>IF(AND(N7="",Q7=""),"",IF(OR(N7="-",Q7="-"),"-",IF(AND(N$3&lt;&gt;0,Q$3&lt;&gt;0),VLOOKUP(AVERAGE(N7,Q7),Table1[],2,TRUE),IF(AND(N$3&lt;&gt;0,Q$3=0),O7,R7))))</f>
        <v>-</v>
      </c>
      <c r="T7" s="92" t="s">
        <v>11</v>
      </c>
      <c r="U7" s="56" t="str">
        <f t="shared" si="3"/>
        <v>C+</v>
      </c>
      <c r="V7" s="58" t="s">
        <v>18</v>
      </c>
    </row>
    <row r="8" spans="1:22" ht="15" customHeight="1" x14ac:dyDescent="0.25">
      <c r="A8" s="55"/>
      <c r="B8" s="55"/>
      <c r="C8" s="55"/>
      <c r="D8" s="55"/>
      <c r="E8" s="55"/>
      <c r="F8" s="63"/>
      <c r="G8" s="55"/>
      <c r="H8" s="55"/>
      <c r="I8" s="55"/>
      <c r="J8" s="55"/>
      <c r="K8" s="63"/>
      <c r="L8" s="55"/>
      <c r="M8" s="90" t="str">
        <f t="shared" si="0"/>
        <v/>
      </c>
      <c r="N8" s="78" t="str">
        <f t="shared" si="2"/>
        <v/>
      </c>
      <c r="O8" s="67" t="str">
        <f>IF(M8="","",VLOOKUP(N8,Table1[],2,TRUE))</f>
        <v/>
      </c>
      <c r="P8" s="74" t="str">
        <f t="shared" si="1"/>
        <v/>
      </c>
      <c r="Q8" s="80" t="str">
        <f t="shared" si="4"/>
        <v/>
      </c>
      <c r="R8" s="68" t="str">
        <f>IF(P8="","",VLOOKUP(Q8,Table1[],2,TRUE))</f>
        <v/>
      </c>
      <c r="S8" s="76" t="str">
        <f>IF(AND(N8="",Q8=""),"",IF(OR(N8="-",Q8="-"),"-",IF(AND(N$3&lt;&gt;0,Q$3&lt;&gt;0),VLOOKUP(AVERAGE(N8,Q8),Table1[],2,TRUE),IF(AND(N$3&lt;&gt;0,Q$3=0),O8,R8))))</f>
        <v/>
      </c>
      <c r="T8" s="56"/>
      <c r="U8" s="56" t="str">
        <f t="shared" si="3"/>
        <v/>
      </c>
      <c r="V8" s="58" t="s">
        <v>18</v>
      </c>
    </row>
    <row r="9" spans="1:22" ht="15" customHeight="1" x14ac:dyDescent="0.25">
      <c r="A9" s="55"/>
      <c r="B9" s="55"/>
      <c r="C9" s="55"/>
      <c r="D9" s="55"/>
      <c r="E9" s="55"/>
      <c r="F9" s="63"/>
      <c r="G9" s="55"/>
      <c r="H9" s="55"/>
      <c r="I9" s="55"/>
      <c r="J9" s="55"/>
      <c r="K9" s="63"/>
      <c r="L9" s="55"/>
      <c r="M9" s="90" t="str">
        <f t="shared" si="0"/>
        <v/>
      </c>
      <c r="N9" s="78" t="str">
        <f t="shared" si="2"/>
        <v/>
      </c>
      <c r="O9" s="67" t="str">
        <f>IF(M9="","",VLOOKUP(N9,Table1[],2,TRUE))</f>
        <v/>
      </c>
      <c r="P9" s="74" t="str">
        <f t="shared" si="1"/>
        <v/>
      </c>
      <c r="Q9" s="80" t="str">
        <f t="shared" si="4"/>
        <v/>
      </c>
      <c r="R9" s="68" t="str">
        <f>IF(P9="","",VLOOKUP(Q9,Table1[],2,TRUE))</f>
        <v/>
      </c>
      <c r="S9" s="76" t="str">
        <f>IF(AND(N9="",Q9=""),"",IF(OR(N9="-",Q9="-"),"-",IF(AND(N$3&lt;&gt;0,Q$3&lt;&gt;0),VLOOKUP(AVERAGE(N9,Q9),Table1[],2,TRUE),IF(AND(N$3&lt;&gt;0,Q$3=0),O9,R9))))</f>
        <v/>
      </c>
      <c r="T9" s="56"/>
      <c r="U9" s="56" t="str">
        <f t="shared" si="3"/>
        <v/>
      </c>
      <c r="V9" s="58" t="s">
        <v>18</v>
      </c>
    </row>
    <row r="10" spans="1:22" ht="15" customHeight="1" x14ac:dyDescent="0.25">
      <c r="A10" s="55"/>
      <c r="B10" s="55"/>
      <c r="C10" s="55"/>
      <c r="D10" s="55"/>
      <c r="E10" s="55"/>
      <c r="F10" s="63"/>
      <c r="G10" s="55"/>
      <c r="H10" s="55"/>
      <c r="I10" s="55"/>
      <c r="J10" s="55"/>
      <c r="K10" s="63"/>
      <c r="L10" s="55"/>
      <c r="M10" s="90" t="str">
        <f t="shared" si="0"/>
        <v/>
      </c>
      <c r="N10" s="78" t="str">
        <f t="shared" si="2"/>
        <v/>
      </c>
      <c r="O10" s="67" t="str">
        <f>IF(M10="","",VLOOKUP(N10,Table1[],2,TRUE))</f>
        <v/>
      </c>
      <c r="P10" s="74" t="str">
        <f t="shared" si="1"/>
        <v/>
      </c>
      <c r="Q10" s="80" t="str">
        <f t="shared" si="4"/>
        <v/>
      </c>
      <c r="R10" s="68" t="str">
        <f>IF(P10="","",VLOOKUP(Q10,Table1[],2,TRUE))</f>
        <v/>
      </c>
      <c r="S10" s="76" t="str">
        <f>IF(AND(N10="",Q10=""),"",IF(OR(N10="-",Q10="-"),"-",IF(AND(N$3&lt;&gt;0,Q$3&lt;&gt;0),VLOOKUP(AVERAGE(N10,Q10),Table1[],2,TRUE),IF(AND(N$3&lt;&gt;0,Q$3=0),O10,R10))))</f>
        <v/>
      </c>
      <c r="T10" s="56"/>
      <c r="U10" s="56" t="str">
        <f t="shared" si="3"/>
        <v/>
      </c>
      <c r="V10" s="58" t="s">
        <v>18</v>
      </c>
    </row>
    <row r="11" spans="1:22" ht="15" customHeight="1" x14ac:dyDescent="0.25">
      <c r="A11" s="55"/>
      <c r="B11" s="55"/>
      <c r="C11" s="55"/>
      <c r="D11" s="55"/>
      <c r="E11" s="55"/>
      <c r="F11" s="63"/>
      <c r="G11" s="55"/>
      <c r="H11" s="55"/>
      <c r="I11" s="55"/>
      <c r="J11" s="55"/>
      <c r="K11" s="63"/>
      <c r="L11" s="55"/>
      <c r="M11" s="90" t="str">
        <f t="shared" si="0"/>
        <v/>
      </c>
      <c r="N11" s="78" t="str">
        <f t="shared" si="2"/>
        <v/>
      </c>
      <c r="O11" s="67" t="str">
        <f>IF(M11="","",VLOOKUP(N11,Table1[],2,TRUE))</f>
        <v/>
      </c>
      <c r="P11" s="74" t="str">
        <f t="shared" si="1"/>
        <v/>
      </c>
      <c r="Q11" s="80" t="str">
        <f t="shared" si="4"/>
        <v/>
      </c>
      <c r="R11" s="68" t="str">
        <f>IF(P11="","",VLOOKUP(Q11,Table1[],2,TRUE))</f>
        <v/>
      </c>
      <c r="S11" s="76" t="str">
        <f>IF(AND(N11="",Q11=""),"",IF(OR(N11="-",Q11="-"),"-",IF(AND(N$3&lt;&gt;0,Q$3&lt;&gt;0),VLOOKUP(AVERAGE(N11,Q11),Table1[],2,TRUE),IF(AND(N$3&lt;&gt;0,Q$3=0),O11,R11))))</f>
        <v/>
      </c>
      <c r="T11" s="56"/>
      <c r="U11" s="56" t="str">
        <f t="shared" si="3"/>
        <v/>
      </c>
      <c r="V11" s="58" t="s">
        <v>18</v>
      </c>
    </row>
    <row r="12" spans="1:22" ht="15" customHeight="1" x14ac:dyDescent="0.25">
      <c r="A12" s="55"/>
      <c r="B12" s="55"/>
      <c r="C12" s="55"/>
      <c r="D12" s="55"/>
      <c r="E12" s="55"/>
      <c r="F12" s="63"/>
      <c r="G12" s="55"/>
      <c r="H12" s="55"/>
      <c r="I12" s="55"/>
      <c r="J12" s="55"/>
      <c r="K12" s="63"/>
      <c r="L12" s="55"/>
      <c r="M12" s="90" t="str">
        <f t="shared" si="0"/>
        <v/>
      </c>
      <c r="N12" s="78" t="str">
        <f t="shared" si="2"/>
        <v/>
      </c>
      <c r="O12" s="67" t="str">
        <f>IF(M12="","",VLOOKUP(N12,Table1[],2,TRUE))</f>
        <v/>
      </c>
      <c r="P12" s="74" t="str">
        <f t="shared" si="1"/>
        <v/>
      </c>
      <c r="Q12" s="80" t="str">
        <f t="shared" si="4"/>
        <v/>
      </c>
      <c r="R12" s="68" t="str">
        <f>IF(P12="","",VLOOKUP(Q12,Table1[],2,TRUE))</f>
        <v/>
      </c>
      <c r="S12" s="76" t="str">
        <f>IF(AND(N12="",Q12=""),"",IF(OR(N12="-",Q12="-"),"-",IF(AND(N$3&lt;&gt;0,Q$3&lt;&gt;0),VLOOKUP(AVERAGE(N12,Q12),Table1[],2,TRUE),IF(AND(N$3&lt;&gt;0,Q$3=0),O12,R12))))</f>
        <v/>
      </c>
      <c r="T12" s="56"/>
      <c r="U12" s="56" t="str">
        <f t="shared" si="3"/>
        <v/>
      </c>
      <c r="V12" s="58" t="s">
        <v>18</v>
      </c>
    </row>
    <row r="13" spans="1:22" ht="15" customHeight="1" x14ac:dyDescent="0.25">
      <c r="A13" s="55"/>
      <c r="B13" s="55"/>
      <c r="C13" s="55"/>
      <c r="D13" s="55"/>
      <c r="E13" s="55"/>
      <c r="F13" s="63"/>
      <c r="G13" s="55"/>
      <c r="H13" s="55"/>
      <c r="I13" s="55"/>
      <c r="J13" s="55"/>
      <c r="K13" s="63"/>
      <c r="L13" s="55"/>
      <c r="M13" s="90" t="str">
        <f t="shared" si="0"/>
        <v/>
      </c>
      <c r="N13" s="78" t="str">
        <f t="shared" si="2"/>
        <v/>
      </c>
      <c r="O13" s="67" t="str">
        <f>IF(M13="","",VLOOKUP(N13,Table1[],2,TRUE))</f>
        <v/>
      </c>
      <c r="P13" s="74" t="str">
        <f t="shared" si="1"/>
        <v/>
      </c>
      <c r="Q13" s="80" t="str">
        <f t="shared" si="4"/>
        <v/>
      </c>
      <c r="R13" s="68" t="str">
        <f>IF(P13="","",VLOOKUP(Q13,Table1[],2,TRUE))</f>
        <v/>
      </c>
      <c r="S13" s="76" t="str">
        <f>IF(AND(N13="",Q13=""),"",IF(OR(N13="-",Q13="-"),"-",IF(AND(N$3&lt;&gt;0,Q$3&lt;&gt;0),VLOOKUP(AVERAGE(N13,Q13),Table1[],2,TRUE),IF(AND(N$3&lt;&gt;0,Q$3=0),O13,R13))))</f>
        <v/>
      </c>
      <c r="T13" s="56"/>
      <c r="U13" s="56" t="str">
        <f t="shared" si="3"/>
        <v/>
      </c>
      <c r="V13" s="58" t="s">
        <v>18</v>
      </c>
    </row>
    <row r="14" spans="1:22" x14ac:dyDescent="0.25">
      <c r="A14" s="55"/>
      <c r="B14" s="55"/>
      <c r="C14" s="55"/>
      <c r="D14" s="55"/>
      <c r="E14" s="55"/>
      <c r="F14" s="63"/>
      <c r="G14" s="55"/>
      <c r="H14" s="55"/>
      <c r="I14" s="55"/>
      <c r="J14" s="55"/>
      <c r="K14" s="63"/>
      <c r="L14" s="55"/>
      <c r="M14" s="90" t="str">
        <f t="shared" si="0"/>
        <v/>
      </c>
      <c r="N14" s="78" t="str">
        <f t="shared" si="2"/>
        <v/>
      </c>
      <c r="O14" s="67" t="str">
        <f>IF(M14="","",VLOOKUP(N14,Table1[],2,TRUE))</f>
        <v/>
      </c>
      <c r="P14" s="74" t="str">
        <f t="shared" si="1"/>
        <v/>
      </c>
      <c r="Q14" s="80" t="str">
        <f t="shared" si="4"/>
        <v/>
      </c>
      <c r="R14" s="68" t="str">
        <f>IF(P14="","",VLOOKUP(Q14,Table1[],2,TRUE))</f>
        <v/>
      </c>
      <c r="S14" s="76" t="str">
        <f>IF(AND(N14="",Q14=""),"",IF(OR(N14="-",Q14="-"),"-",IF(AND(N$3&lt;&gt;0,Q$3&lt;&gt;0),VLOOKUP(AVERAGE(N14,Q14),Table1[],2,TRUE),IF(AND(N$3&lt;&gt;0,Q$3=0),O14,R14))))</f>
        <v/>
      </c>
      <c r="T14" s="56"/>
      <c r="U14" s="56" t="str">
        <f t="shared" si="3"/>
        <v/>
      </c>
      <c r="V14" s="58" t="s">
        <v>18</v>
      </c>
    </row>
    <row r="15" spans="1:22" x14ac:dyDescent="0.25">
      <c r="A15" s="55"/>
      <c r="B15" s="55"/>
      <c r="C15" s="55"/>
      <c r="D15" s="55"/>
      <c r="E15" s="55"/>
      <c r="F15" s="63"/>
      <c r="G15" s="55"/>
      <c r="H15" s="55"/>
      <c r="I15" s="55"/>
      <c r="J15" s="55"/>
      <c r="K15" s="63"/>
      <c r="L15" s="55"/>
      <c r="M15" s="90" t="str">
        <f t="shared" si="0"/>
        <v/>
      </c>
      <c r="N15" s="78" t="str">
        <f t="shared" si="2"/>
        <v/>
      </c>
      <c r="O15" s="67" t="str">
        <f>IF(M15="","",VLOOKUP(N15,Table1[],2,TRUE))</f>
        <v/>
      </c>
      <c r="P15" s="74" t="str">
        <f t="shared" si="1"/>
        <v/>
      </c>
      <c r="Q15" s="80" t="str">
        <f t="shared" si="4"/>
        <v/>
      </c>
      <c r="R15" s="68" t="str">
        <f>IF(P15="","",VLOOKUP(Q15,Table1[],2,TRUE))</f>
        <v/>
      </c>
      <c r="S15" s="76" t="str">
        <f>IF(AND(N15="",Q15=""),"",IF(OR(N15="-",Q15="-"),"-",IF(AND(N$3&lt;&gt;0,Q$3&lt;&gt;0),VLOOKUP(AVERAGE(N15,Q15),Table1[],2,TRUE),IF(AND(N$3&lt;&gt;0,Q$3=0),O15,R15))))</f>
        <v/>
      </c>
      <c r="T15" s="56"/>
      <c r="U15" s="56" t="str">
        <f t="shared" si="3"/>
        <v/>
      </c>
      <c r="V15" s="58" t="s">
        <v>18</v>
      </c>
    </row>
    <row r="16" spans="1:22" x14ac:dyDescent="0.25">
      <c r="A16" s="55"/>
      <c r="B16" s="55"/>
      <c r="C16" s="55"/>
      <c r="D16" s="55"/>
      <c r="E16" s="55"/>
      <c r="F16" s="63"/>
      <c r="G16" s="55"/>
      <c r="H16" s="55"/>
      <c r="I16" s="55"/>
      <c r="J16" s="55"/>
      <c r="K16" s="63"/>
      <c r="L16" s="55"/>
      <c r="M16" s="90" t="str">
        <f t="shared" si="0"/>
        <v/>
      </c>
      <c r="N16" s="78" t="str">
        <f t="shared" si="2"/>
        <v/>
      </c>
      <c r="O16" s="67" t="str">
        <f>IF(M16="","",VLOOKUP(N16,Table1[],2,TRUE))</f>
        <v/>
      </c>
      <c r="P16" s="74" t="str">
        <f t="shared" si="1"/>
        <v/>
      </c>
      <c r="Q16" s="80" t="str">
        <f t="shared" si="4"/>
        <v/>
      </c>
      <c r="R16" s="68" t="str">
        <f>IF(P16="","",VLOOKUP(Q16,Table1[],2,TRUE))</f>
        <v/>
      </c>
      <c r="S16" s="76" t="str">
        <f>IF(AND(N16="",Q16=""),"",IF(OR(N16="-",Q16="-"),"-",IF(AND(N$3&lt;&gt;0,Q$3&lt;&gt;0),VLOOKUP(AVERAGE(N16,Q16),Table1[],2,TRUE),IF(AND(N$3&lt;&gt;0,Q$3=0),O16,R16))))</f>
        <v/>
      </c>
      <c r="T16" s="56"/>
      <c r="U16" s="56" t="str">
        <f t="shared" si="3"/>
        <v/>
      </c>
      <c r="V16" s="58" t="s">
        <v>18</v>
      </c>
    </row>
    <row r="17" spans="1:22" x14ac:dyDescent="0.25">
      <c r="A17" s="55"/>
      <c r="B17" s="55"/>
      <c r="C17" s="55"/>
      <c r="D17" s="55"/>
      <c r="E17" s="55"/>
      <c r="F17" s="63"/>
      <c r="G17" s="55"/>
      <c r="H17" s="55"/>
      <c r="I17" s="55"/>
      <c r="J17" s="55"/>
      <c r="K17" s="63"/>
      <c r="L17" s="55"/>
      <c r="M17" s="90" t="str">
        <f t="shared" si="0"/>
        <v/>
      </c>
      <c r="N17" s="78" t="str">
        <f t="shared" si="2"/>
        <v/>
      </c>
      <c r="O17" s="67" t="str">
        <f>IF(M17="","",VLOOKUP(N17,Table1[],2,TRUE))</f>
        <v/>
      </c>
      <c r="P17" s="74" t="str">
        <f t="shared" si="1"/>
        <v/>
      </c>
      <c r="Q17" s="80" t="str">
        <f t="shared" si="4"/>
        <v/>
      </c>
      <c r="R17" s="68" t="str">
        <f>IF(P17="","",VLOOKUP(Q17,Table1[],2,TRUE))</f>
        <v/>
      </c>
      <c r="S17" s="76" t="str">
        <f>IF(AND(N17="",Q17=""),"",IF(OR(N17="-",Q17="-"),"-",IF(AND(N$3&lt;&gt;0,Q$3&lt;&gt;0),VLOOKUP(AVERAGE(N17,Q17),Table1[],2,TRUE),IF(AND(N$3&lt;&gt;0,Q$3=0),O17,R17))))</f>
        <v/>
      </c>
      <c r="T17" s="56"/>
      <c r="U17" s="56" t="str">
        <f t="shared" si="3"/>
        <v/>
      </c>
      <c r="V17" s="58" t="s">
        <v>18</v>
      </c>
    </row>
    <row r="18" spans="1:22" x14ac:dyDescent="0.25">
      <c r="A18" s="55"/>
      <c r="B18" s="55"/>
      <c r="C18" s="55"/>
      <c r="D18" s="55"/>
      <c r="E18" s="55"/>
      <c r="F18" s="63"/>
      <c r="G18" s="55"/>
      <c r="H18" s="55"/>
      <c r="I18" s="55"/>
      <c r="J18" s="55"/>
      <c r="K18" s="63"/>
      <c r="L18" s="55"/>
      <c r="M18" s="90" t="str">
        <f t="shared" si="0"/>
        <v/>
      </c>
      <c r="N18" s="78" t="str">
        <f t="shared" si="2"/>
        <v/>
      </c>
      <c r="O18" s="67" t="str">
        <f>IF(M18="","",VLOOKUP(N18,Table1[],2,TRUE))</f>
        <v/>
      </c>
      <c r="P18" s="74" t="str">
        <f t="shared" si="1"/>
        <v/>
      </c>
      <c r="Q18" s="80" t="str">
        <f t="shared" si="4"/>
        <v/>
      </c>
      <c r="R18" s="68" t="str">
        <f>IF(P18="","",VLOOKUP(Q18,Table1[],2,TRUE))</f>
        <v/>
      </c>
      <c r="S18" s="76" t="str">
        <f>IF(AND(N18="",Q18=""),"",IF(OR(N18="-",Q18="-"),"-",IF(AND(N$3&lt;&gt;0,Q$3&lt;&gt;0),VLOOKUP(AVERAGE(N18,Q18),Table1[],2,TRUE),IF(AND(N$3&lt;&gt;0,Q$3=0),O18,R18))))</f>
        <v/>
      </c>
      <c r="T18" s="56"/>
      <c r="U18" s="56" t="str">
        <f t="shared" si="3"/>
        <v/>
      </c>
      <c r="V18" s="58" t="s">
        <v>18</v>
      </c>
    </row>
    <row r="19" spans="1:22" x14ac:dyDescent="0.25">
      <c r="A19" s="55"/>
      <c r="B19" s="55"/>
      <c r="C19" s="55"/>
      <c r="D19" s="55"/>
      <c r="E19" s="55"/>
      <c r="F19" s="63"/>
      <c r="G19" s="55"/>
      <c r="H19" s="55"/>
      <c r="I19" s="55"/>
      <c r="J19" s="55"/>
      <c r="K19" s="63"/>
      <c r="L19" s="55"/>
      <c r="M19" s="90" t="str">
        <f t="shared" si="0"/>
        <v/>
      </c>
      <c r="N19" s="78" t="str">
        <f t="shared" si="2"/>
        <v/>
      </c>
      <c r="O19" s="67" t="str">
        <f>IF(M19="","",VLOOKUP(N19,Table1[],2,TRUE))</f>
        <v/>
      </c>
      <c r="P19" s="74" t="str">
        <f t="shared" si="1"/>
        <v/>
      </c>
      <c r="Q19" s="80" t="str">
        <f t="shared" si="4"/>
        <v/>
      </c>
      <c r="R19" s="68" t="str">
        <f>IF(P19="","",VLOOKUP(Q19,Table1[],2,TRUE))</f>
        <v/>
      </c>
      <c r="S19" s="76" t="str">
        <f>IF(AND(N19="",Q19=""),"",IF(OR(N19="-",Q19="-"),"-",IF(AND(N$3&lt;&gt;0,Q$3&lt;&gt;0),VLOOKUP(AVERAGE(N19,Q19),Table1[],2,TRUE),IF(AND(N$3&lt;&gt;0,Q$3=0),O19,R19))))</f>
        <v/>
      </c>
      <c r="T19" s="56"/>
      <c r="U19" s="56" t="str">
        <f t="shared" si="3"/>
        <v/>
      </c>
      <c r="V19" s="58" t="s">
        <v>18</v>
      </c>
    </row>
    <row r="20" spans="1:22" x14ac:dyDescent="0.25">
      <c r="A20" s="55"/>
      <c r="B20" s="55"/>
      <c r="C20" s="55"/>
      <c r="D20" s="55"/>
      <c r="E20" s="55"/>
      <c r="F20" s="63"/>
      <c r="G20" s="55"/>
      <c r="H20" s="55"/>
      <c r="I20" s="55"/>
      <c r="J20" s="55"/>
      <c r="K20" s="63"/>
      <c r="L20" s="55"/>
      <c r="M20" s="90" t="str">
        <f t="shared" si="0"/>
        <v/>
      </c>
      <c r="N20" s="78" t="str">
        <f t="shared" si="2"/>
        <v/>
      </c>
      <c r="O20" s="67" t="str">
        <f>IF(M20="","",VLOOKUP(N20,Table1[],2,TRUE))</f>
        <v/>
      </c>
      <c r="P20" s="74" t="str">
        <f t="shared" si="1"/>
        <v/>
      </c>
      <c r="Q20" s="80" t="str">
        <f t="shared" si="4"/>
        <v/>
      </c>
      <c r="R20" s="68" t="str">
        <f>IF(P20="","",VLOOKUP(Q20,Table1[],2,TRUE))</f>
        <v/>
      </c>
      <c r="S20" s="76" t="str">
        <f>IF(AND(N20="",Q20=""),"",IF(OR(N20="-",Q20="-"),"-",IF(AND(N$3&lt;&gt;0,Q$3&lt;&gt;0),VLOOKUP(AVERAGE(N20,Q20),Table1[],2,TRUE),IF(AND(N$3&lt;&gt;0,Q$3=0),O20,R20))))</f>
        <v/>
      </c>
      <c r="T20" s="56"/>
      <c r="U20" s="56" t="str">
        <f t="shared" si="3"/>
        <v/>
      </c>
      <c r="V20" s="58" t="s">
        <v>18</v>
      </c>
    </row>
    <row r="21" spans="1:22" x14ac:dyDescent="0.25">
      <c r="A21" s="55"/>
      <c r="B21" s="55"/>
      <c r="C21" s="55"/>
      <c r="D21" s="55"/>
      <c r="E21" s="55"/>
      <c r="F21" s="63"/>
      <c r="G21" s="55"/>
      <c r="H21" s="55"/>
      <c r="I21" s="55"/>
      <c r="J21" s="55"/>
      <c r="K21" s="63"/>
      <c r="L21" s="55"/>
      <c r="M21" s="90" t="str">
        <f t="shared" si="0"/>
        <v/>
      </c>
      <c r="N21" s="78" t="str">
        <f t="shared" si="2"/>
        <v/>
      </c>
      <c r="O21" s="67" t="str">
        <f>IF(M21="","",VLOOKUP(N21,Table1[],2,TRUE))</f>
        <v/>
      </c>
      <c r="P21" s="74" t="str">
        <f t="shared" si="1"/>
        <v/>
      </c>
      <c r="Q21" s="80" t="str">
        <f t="shared" si="4"/>
        <v/>
      </c>
      <c r="R21" s="68" t="str">
        <f>IF(P21="","",VLOOKUP(Q21,Table1[],2,TRUE))</f>
        <v/>
      </c>
      <c r="S21" s="76" t="str">
        <f>IF(AND(N21="",Q21=""),"",IF(OR(N21="-",Q21="-"),"-",IF(AND(N$3&lt;&gt;0,Q$3&lt;&gt;0),VLOOKUP(AVERAGE(N21,Q21),Table1[],2,TRUE),IF(AND(N$3&lt;&gt;0,Q$3=0),O21,R21))))</f>
        <v/>
      </c>
      <c r="T21" s="56"/>
      <c r="U21" s="56" t="str">
        <f t="shared" si="3"/>
        <v/>
      </c>
      <c r="V21" s="58" t="s">
        <v>18</v>
      </c>
    </row>
    <row r="22" spans="1:22" x14ac:dyDescent="0.25">
      <c r="A22" s="55"/>
      <c r="B22" s="55"/>
      <c r="C22" s="55"/>
      <c r="D22" s="55"/>
      <c r="E22" s="55"/>
      <c r="F22" s="63"/>
      <c r="G22" s="55"/>
      <c r="H22" s="55"/>
      <c r="I22" s="55"/>
      <c r="J22" s="55"/>
      <c r="K22" s="63"/>
      <c r="L22" s="55"/>
      <c r="M22" s="90" t="str">
        <f t="shared" si="0"/>
        <v/>
      </c>
      <c r="N22" s="78" t="str">
        <f t="shared" si="2"/>
        <v/>
      </c>
      <c r="O22" s="67" t="str">
        <f>IF(M22="","",VLOOKUP(N22,Table1[],2,TRUE))</f>
        <v/>
      </c>
      <c r="P22" s="74" t="str">
        <f t="shared" si="1"/>
        <v/>
      </c>
      <c r="Q22" s="80" t="str">
        <f t="shared" si="4"/>
        <v/>
      </c>
      <c r="R22" s="68" t="str">
        <f>IF(P22="","",VLOOKUP(Q22,Table1[],2,TRUE))</f>
        <v/>
      </c>
      <c r="S22" s="76" t="str">
        <f>IF(AND(N22="",Q22=""),"",IF(OR(N22="-",Q22="-"),"-",IF(AND(N$3&lt;&gt;0,Q$3&lt;&gt;0),VLOOKUP(AVERAGE(N22,Q22),Table1[],2,TRUE),IF(AND(N$3&lt;&gt;0,Q$3=0),O22,R22))))</f>
        <v/>
      </c>
      <c r="T22" s="56"/>
      <c r="U22" s="56" t="str">
        <f t="shared" si="3"/>
        <v/>
      </c>
      <c r="V22" s="58" t="s">
        <v>18</v>
      </c>
    </row>
    <row r="23" spans="1:22" x14ac:dyDescent="0.25">
      <c r="A23" s="55"/>
      <c r="B23" s="55"/>
      <c r="C23" s="55"/>
      <c r="D23" s="55"/>
      <c r="E23" s="55"/>
      <c r="F23" s="63"/>
      <c r="G23" s="55"/>
      <c r="H23" s="55"/>
      <c r="I23" s="55"/>
      <c r="J23" s="55"/>
      <c r="K23" s="63"/>
      <c r="L23" s="55"/>
      <c r="M23" s="90" t="str">
        <f t="shared" si="0"/>
        <v/>
      </c>
      <c r="N23" s="78" t="str">
        <f t="shared" si="2"/>
        <v/>
      </c>
      <c r="O23" s="67" t="str">
        <f>IF(M23="","",VLOOKUP(N23,Table1[],2,TRUE))</f>
        <v/>
      </c>
      <c r="P23" s="74" t="str">
        <f t="shared" si="1"/>
        <v/>
      </c>
      <c r="Q23" s="80" t="str">
        <f t="shared" si="4"/>
        <v/>
      </c>
      <c r="R23" s="68" t="str">
        <f>IF(P23="","",VLOOKUP(Q23,Table1[],2,TRUE))</f>
        <v/>
      </c>
      <c r="S23" s="76" t="str">
        <f>IF(AND(N23="",Q23=""),"",IF(OR(N23="-",Q23="-"),"-",IF(AND(N$3&lt;&gt;0,Q$3&lt;&gt;0),VLOOKUP(AVERAGE(N23,Q23),Table1[],2,TRUE),IF(AND(N$3&lt;&gt;0,Q$3=0),O23,R23))))</f>
        <v/>
      </c>
      <c r="T23" s="56"/>
      <c r="U23" s="56" t="str">
        <f t="shared" si="3"/>
        <v/>
      </c>
      <c r="V23" s="58" t="s">
        <v>18</v>
      </c>
    </row>
    <row r="24" spans="1:22" x14ac:dyDescent="0.25">
      <c r="A24" s="55"/>
      <c r="B24" s="55"/>
      <c r="C24" s="55"/>
      <c r="D24" s="55"/>
      <c r="E24" s="55"/>
      <c r="F24" s="63"/>
      <c r="G24" s="55"/>
      <c r="H24" s="55"/>
      <c r="I24" s="55"/>
      <c r="J24" s="55"/>
      <c r="K24" s="63"/>
      <c r="L24" s="55"/>
      <c r="M24" s="90" t="str">
        <f t="shared" si="0"/>
        <v/>
      </c>
      <c r="N24" s="78" t="str">
        <f t="shared" si="2"/>
        <v/>
      </c>
      <c r="O24" s="67" t="str">
        <f>IF(M24="","",VLOOKUP(N24,Table1[],2,TRUE))</f>
        <v/>
      </c>
      <c r="P24" s="74" t="str">
        <f t="shared" si="1"/>
        <v/>
      </c>
      <c r="Q24" s="80" t="str">
        <f t="shared" si="4"/>
        <v/>
      </c>
      <c r="R24" s="68" t="str">
        <f>IF(P24="","",VLOOKUP(Q24,Table1[],2,TRUE))</f>
        <v/>
      </c>
      <c r="S24" s="76" t="str">
        <f>IF(AND(N24="",Q24=""),"",IF(OR(N24="-",Q24="-"),"-",IF(AND(N$3&lt;&gt;0,Q$3&lt;&gt;0),VLOOKUP(AVERAGE(N24,Q24),Table1[],2,TRUE),IF(AND(N$3&lt;&gt;0,Q$3=0),O24,R24))))</f>
        <v/>
      </c>
      <c r="T24" s="56"/>
      <c r="U24" s="56" t="str">
        <f t="shared" si="3"/>
        <v/>
      </c>
      <c r="V24" s="58" t="s">
        <v>18</v>
      </c>
    </row>
    <row r="25" spans="1:22" x14ac:dyDescent="0.25">
      <c r="A25" s="55"/>
      <c r="B25" s="55"/>
      <c r="C25" s="55"/>
      <c r="D25" s="55"/>
      <c r="E25" s="55"/>
      <c r="F25" s="63"/>
      <c r="G25" s="55"/>
      <c r="H25" s="55"/>
      <c r="I25" s="55"/>
      <c r="J25" s="55"/>
      <c r="K25" s="63"/>
      <c r="L25" s="55"/>
      <c r="M25" s="90" t="str">
        <f t="shared" si="0"/>
        <v/>
      </c>
      <c r="N25" s="78" t="str">
        <f t="shared" si="2"/>
        <v/>
      </c>
      <c r="O25" s="67" t="str">
        <f>IF(M25="","",VLOOKUP(N25,Table1[],2,TRUE))</f>
        <v/>
      </c>
      <c r="P25" s="74" t="str">
        <f t="shared" si="1"/>
        <v/>
      </c>
      <c r="Q25" s="80" t="str">
        <f t="shared" si="4"/>
        <v/>
      </c>
      <c r="R25" s="68" t="str">
        <f>IF(P25="","",VLOOKUP(Q25,Table1[],2,TRUE))</f>
        <v/>
      </c>
      <c r="S25" s="76" t="str">
        <f>IF(AND(N25="",Q25=""),"",IF(OR(N25="-",Q25="-"),"-",IF(AND(N$3&lt;&gt;0,Q$3&lt;&gt;0),VLOOKUP(AVERAGE(N25,Q25),Table1[],2,TRUE),IF(AND(N$3&lt;&gt;0,Q$3=0),O25,R25))))</f>
        <v/>
      </c>
      <c r="T25" s="56"/>
      <c r="U25" s="56" t="str">
        <f t="shared" si="3"/>
        <v/>
      </c>
      <c r="V25" s="58" t="s">
        <v>18</v>
      </c>
    </row>
    <row r="26" spans="1:22" x14ac:dyDescent="0.25">
      <c r="A26" s="55"/>
      <c r="B26" s="55"/>
      <c r="C26" s="55"/>
      <c r="D26" s="55"/>
      <c r="E26" s="55"/>
      <c r="F26" s="63"/>
      <c r="G26" s="55"/>
      <c r="H26" s="55"/>
      <c r="I26" s="55"/>
      <c r="J26" s="55"/>
      <c r="K26" s="63"/>
      <c r="L26" s="55"/>
      <c r="M26" s="90" t="str">
        <f t="shared" si="0"/>
        <v/>
      </c>
      <c r="N26" s="78" t="str">
        <f t="shared" si="2"/>
        <v/>
      </c>
      <c r="O26" s="67" t="str">
        <f>IF(M26="","",VLOOKUP(N26,Table1[],2,TRUE))</f>
        <v/>
      </c>
      <c r="P26" s="74" t="str">
        <f t="shared" si="1"/>
        <v/>
      </c>
      <c r="Q26" s="80" t="str">
        <f t="shared" si="4"/>
        <v/>
      </c>
      <c r="R26" s="68" t="str">
        <f>IF(P26="","",VLOOKUP(Q26,Table1[],2,TRUE))</f>
        <v/>
      </c>
      <c r="S26" s="76" t="str">
        <f>IF(AND(N26="",Q26=""),"",IF(OR(N26="-",Q26="-"),"-",IF(AND(N$3&lt;&gt;0,Q$3&lt;&gt;0),VLOOKUP(AVERAGE(N26,Q26),Table1[],2,TRUE),IF(AND(N$3&lt;&gt;0,Q$3=0),O26,R26))))</f>
        <v/>
      </c>
      <c r="T26" s="56"/>
      <c r="U26" s="56" t="str">
        <f t="shared" si="3"/>
        <v/>
      </c>
      <c r="V26" s="58" t="s">
        <v>18</v>
      </c>
    </row>
    <row r="27" spans="1:22" x14ac:dyDescent="0.25">
      <c r="A27" s="55"/>
      <c r="B27" s="55"/>
      <c r="C27" s="55"/>
      <c r="D27" s="55"/>
      <c r="E27" s="55"/>
      <c r="F27" s="63"/>
      <c r="G27" s="55"/>
      <c r="H27" s="55"/>
      <c r="I27" s="55"/>
      <c r="J27" s="55"/>
      <c r="K27" s="63"/>
      <c r="L27" s="55"/>
      <c r="M27" s="90" t="str">
        <f t="shared" si="0"/>
        <v/>
      </c>
      <c r="N27" s="78" t="str">
        <f t="shared" si="2"/>
        <v/>
      </c>
      <c r="O27" s="67" t="str">
        <f>IF(M27="","",VLOOKUP(N27,Table1[],2,TRUE))</f>
        <v/>
      </c>
      <c r="P27" s="74" t="str">
        <f t="shared" si="1"/>
        <v/>
      </c>
      <c r="Q27" s="80" t="str">
        <f t="shared" si="4"/>
        <v/>
      </c>
      <c r="R27" s="68" t="str">
        <f>IF(P27="","",VLOOKUP(Q27,Table1[],2,TRUE))</f>
        <v/>
      </c>
      <c r="S27" s="76" t="str">
        <f>IF(AND(N27="",Q27=""),"",IF(OR(N27="-",Q27="-"),"-",IF(AND(N$3&lt;&gt;0,Q$3&lt;&gt;0),VLOOKUP(AVERAGE(N27,Q27),Table1[],2,TRUE),IF(AND(N$3&lt;&gt;0,Q$3=0),O27,R27))))</f>
        <v/>
      </c>
      <c r="T27" s="56"/>
      <c r="U27" s="56" t="str">
        <f t="shared" si="3"/>
        <v/>
      </c>
      <c r="V27" s="58" t="s">
        <v>18</v>
      </c>
    </row>
    <row r="28" spans="1:22" x14ac:dyDescent="0.25">
      <c r="A28" s="55"/>
      <c r="B28" s="55"/>
      <c r="C28" s="55"/>
      <c r="D28" s="55"/>
      <c r="E28" s="55"/>
      <c r="F28" s="63"/>
      <c r="G28" s="55"/>
      <c r="H28" s="55"/>
      <c r="I28" s="55"/>
      <c r="J28" s="55"/>
      <c r="K28" s="63"/>
      <c r="L28" s="55"/>
      <c r="M28" s="90" t="str">
        <f t="shared" si="0"/>
        <v/>
      </c>
      <c r="N28" s="78" t="str">
        <f t="shared" si="2"/>
        <v/>
      </c>
      <c r="O28" s="67" t="str">
        <f>IF(M28="","",VLOOKUP(N28,Table1[],2,TRUE))</f>
        <v/>
      </c>
      <c r="P28" s="74" t="str">
        <f t="shared" si="1"/>
        <v/>
      </c>
      <c r="Q28" s="80" t="str">
        <f t="shared" si="4"/>
        <v/>
      </c>
      <c r="R28" s="68" t="str">
        <f>IF(P28="","",VLOOKUP(Q28,Table1[],2,TRUE))</f>
        <v/>
      </c>
      <c r="S28" s="76" t="str">
        <f>IF(AND(N28="",Q28=""),"",IF(OR(N28="-",Q28="-"),"-",IF(AND(N$3&lt;&gt;0,Q$3&lt;&gt;0),VLOOKUP(AVERAGE(N28,Q28),Table1[],2,TRUE),IF(AND(N$3&lt;&gt;0,Q$3=0),O28,R28))))</f>
        <v/>
      </c>
      <c r="T28" s="56"/>
      <c r="U28" s="56" t="str">
        <f t="shared" si="3"/>
        <v/>
      </c>
      <c r="V28" s="58" t="s">
        <v>18</v>
      </c>
    </row>
    <row r="29" spans="1:22" x14ac:dyDescent="0.25">
      <c r="A29" s="55"/>
      <c r="B29" s="55"/>
      <c r="C29" s="55"/>
      <c r="D29" s="55"/>
      <c r="E29" s="55"/>
      <c r="F29" s="63"/>
      <c r="G29" s="55"/>
      <c r="H29" s="55"/>
      <c r="I29" s="55"/>
      <c r="J29" s="55"/>
      <c r="K29" s="63"/>
      <c r="L29" s="55"/>
      <c r="M29" s="90" t="str">
        <f t="shared" si="0"/>
        <v/>
      </c>
      <c r="N29" s="78" t="str">
        <f t="shared" si="2"/>
        <v/>
      </c>
      <c r="O29" s="67" t="str">
        <f>IF(M29="","",VLOOKUP(N29,Table1[],2,TRUE))</f>
        <v/>
      </c>
      <c r="P29" s="74" t="str">
        <f t="shared" si="1"/>
        <v/>
      </c>
      <c r="Q29" s="80" t="str">
        <f t="shared" si="4"/>
        <v/>
      </c>
      <c r="R29" s="68" t="str">
        <f>IF(P29="","",VLOOKUP(Q29,Table1[],2,TRUE))</f>
        <v/>
      </c>
      <c r="S29" s="76" t="str">
        <f>IF(AND(N29="",Q29=""),"",IF(OR(N29="-",Q29="-"),"-",IF(AND(N$3&lt;&gt;0,Q$3&lt;&gt;0),VLOOKUP(AVERAGE(N29,Q29),Table1[],2,TRUE),IF(AND(N$3&lt;&gt;0,Q$3=0),O29,R29))))</f>
        <v/>
      </c>
      <c r="T29" s="56"/>
      <c r="U29" s="56" t="str">
        <f t="shared" si="3"/>
        <v/>
      </c>
      <c r="V29" s="58" t="s">
        <v>18</v>
      </c>
    </row>
    <row r="30" spans="1:22" x14ac:dyDescent="0.25">
      <c r="A30" s="55"/>
      <c r="B30" s="55"/>
      <c r="C30" s="55"/>
      <c r="D30" s="55"/>
      <c r="E30" s="55"/>
      <c r="F30" s="63"/>
      <c r="G30" s="55"/>
      <c r="H30" s="55"/>
      <c r="I30" s="55"/>
      <c r="J30" s="55"/>
      <c r="K30" s="63"/>
      <c r="L30" s="55"/>
      <c r="M30" s="90" t="str">
        <f t="shared" si="0"/>
        <v/>
      </c>
      <c r="N30" s="78" t="str">
        <f t="shared" si="2"/>
        <v/>
      </c>
      <c r="O30" s="67" t="str">
        <f>IF(M30="","",VLOOKUP(N30,Table1[],2,TRUE))</f>
        <v/>
      </c>
      <c r="P30" s="74" t="str">
        <f t="shared" si="1"/>
        <v/>
      </c>
      <c r="Q30" s="80" t="str">
        <f t="shared" si="4"/>
        <v/>
      </c>
      <c r="R30" s="68" t="str">
        <f>IF(P30="","",VLOOKUP(Q30,Table1[],2,TRUE))</f>
        <v/>
      </c>
      <c r="S30" s="76" t="str">
        <f>IF(AND(N30="",Q30=""),"",IF(OR(N30="-",Q30="-"),"-",IF(AND(N$3&lt;&gt;0,Q$3&lt;&gt;0),VLOOKUP(AVERAGE(N30,Q30),Table1[],2,TRUE),IF(AND(N$3&lt;&gt;0,Q$3=0),O30,R30))))</f>
        <v/>
      </c>
      <c r="T30" s="56"/>
      <c r="U30" s="56" t="str">
        <f t="shared" si="3"/>
        <v/>
      </c>
      <c r="V30" s="58" t="s">
        <v>18</v>
      </c>
    </row>
    <row r="31" spans="1:22" x14ac:dyDescent="0.25">
      <c r="A31" s="55"/>
      <c r="B31" s="55"/>
      <c r="C31" s="55"/>
      <c r="D31" s="55"/>
      <c r="E31" s="55"/>
      <c r="F31" s="63"/>
      <c r="G31" s="55"/>
      <c r="H31" s="55"/>
      <c r="I31" s="55"/>
      <c r="J31" s="55"/>
      <c r="K31" s="63"/>
      <c r="L31" s="55"/>
      <c r="M31" s="90" t="str">
        <f t="shared" si="0"/>
        <v/>
      </c>
      <c r="N31" s="78" t="str">
        <f t="shared" si="2"/>
        <v/>
      </c>
      <c r="O31" s="67" t="str">
        <f>IF(M31="","",VLOOKUP(N31,Table1[],2,TRUE))</f>
        <v/>
      </c>
      <c r="P31" s="74" t="str">
        <f t="shared" si="1"/>
        <v/>
      </c>
      <c r="Q31" s="80" t="str">
        <f t="shared" si="4"/>
        <v/>
      </c>
      <c r="R31" s="68" t="str">
        <f>IF(P31="","",VLOOKUP(Q31,Table1[],2,TRUE))</f>
        <v/>
      </c>
      <c r="S31" s="76" t="str">
        <f>IF(AND(N31="",Q31=""),"",IF(OR(N31="-",Q31="-"),"-",IF(AND(N$3&lt;&gt;0,Q$3&lt;&gt;0),VLOOKUP(AVERAGE(N31,Q31),Table1[],2,TRUE),IF(AND(N$3&lt;&gt;0,Q$3=0),O31,R31))))</f>
        <v/>
      </c>
      <c r="T31" s="56"/>
      <c r="U31" s="56" t="str">
        <f t="shared" si="3"/>
        <v/>
      </c>
      <c r="V31" s="58" t="s">
        <v>18</v>
      </c>
    </row>
    <row r="32" spans="1:22" x14ac:dyDescent="0.25">
      <c r="A32" s="55"/>
      <c r="B32" s="55"/>
      <c r="C32" s="55"/>
      <c r="D32" s="55"/>
      <c r="E32" s="55"/>
      <c r="F32" s="63"/>
      <c r="G32" s="55"/>
      <c r="H32" s="55"/>
      <c r="I32" s="55"/>
      <c r="J32" s="55"/>
      <c r="K32" s="63"/>
      <c r="L32" s="55"/>
      <c r="M32" s="90" t="str">
        <f t="shared" si="0"/>
        <v/>
      </c>
      <c r="N32" s="78" t="str">
        <f t="shared" si="2"/>
        <v/>
      </c>
      <c r="O32" s="67" t="str">
        <f>IF(M32="","",VLOOKUP(N32,Table1[],2,TRUE))</f>
        <v/>
      </c>
      <c r="P32" s="74" t="str">
        <f t="shared" si="1"/>
        <v/>
      </c>
      <c r="Q32" s="80" t="str">
        <f t="shared" si="4"/>
        <v/>
      </c>
      <c r="R32" s="68" t="str">
        <f>IF(P32="","",VLOOKUP(Q32,Table1[],2,TRUE))</f>
        <v/>
      </c>
      <c r="S32" s="76" t="str">
        <f>IF(AND(N32="",Q32=""),"",IF(OR(N32="-",Q32="-"),"-",IF(AND(N$3&lt;&gt;0,Q$3&lt;&gt;0),VLOOKUP(AVERAGE(N32,Q32),Table1[],2,TRUE),IF(AND(N$3&lt;&gt;0,Q$3=0),O32,R32))))</f>
        <v/>
      </c>
      <c r="T32" s="56"/>
      <c r="U32" s="56" t="str">
        <f t="shared" si="3"/>
        <v/>
      </c>
      <c r="V32" s="58" t="s">
        <v>18</v>
      </c>
    </row>
    <row r="33" spans="1:22" x14ac:dyDescent="0.25">
      <c r="A33" s="55"/>
      <c r="B33" s="55"/>
      <c r="C33" s="55"/>
      <c r="D33" s="55"/>
      <c r="E33" s="55"/>
      <c r="F33" s="63"/>
      <c r="G33" s="55"/>
      <c r="H33" s="55"/>
      <c r="I33" s="55"/>
      <c r="J33" s="55"/>
      <c r="K33" s="63"/>
      <c r="L33" s="55"/>
      <c r="M33" s="90" t="str">
        <f t="shared" si="0"/>
        <v/>
      </c>
      <c r="N33" s="78" t="str">
        <f t="shared" si="2"/>
        <v/>
      </c>
      <c r="O33" s="67" t="str">
        <f>IF(M33="","",VLOOKUP(N33,Table1[],2,TRUE))</f>
        <v/>
      </c>
      <c r="P33" s="74" t="str">
        <f t="shared" si="1"/>
        <v/>
      </c>
      <c r="Q33" s="80" t="str">
        <f t="shared" si="4"/>
        <v/>
      </c>
      <c r="R33" s="68" t="str">
        <f>IF(P33="","",VLOOKUP(Q33,Table1[],2,TRUE))</f>
        <v/>
      </c>
      <c r="S33" s="76" t="str">
        <f>IF(AND(N33="",Q33=""),"",IF(OR(N33="-",Q33="-"),"-",IF(AND(N$3&lt;&gt;0,Q$3&lt;&gt;0),VLOOKUP(AVERAGE(N33,Q33),Table1[],2,TRUE),IF(AND(N$3&lt;&gt;0,Q$3=0),O33,R33))))</f>
        <v/>
      </c>
      <c r="T33" s="56"/>
      <c r="U33" s="56" t="str">
        <f t="shared" si="3"/>
        <v/>
      </c>
      <c r="V33" s="58" t="s">
        <v>18</v>
      </c>
    </row>
    <row r="34" spans="1:22" x14ac:dyDescent="0.25">
      <c r="A34" s="55"/>
      <c r="B34" s="55"/>
      <c r="C34" s="55"/>
      <c r="D34" s="55"/>
      <c r="E34" s="55"/>
      <c r="F34" s="63"/>
      <c r="G34" s="55"/>
      <c r="H34" s="55"/>
      <c r="I34" s="55"/>
      <c r="J34" s="55"/>
      <c r="K34" s="63"/>
      <c r="L34" s="55"/>
      <c r="M34" s="90" t="str">
        <f t="shared" si="0"/>
        <v/>
      </c>
      <c r="N34" s="78" t="str">
        <f t="shared" si="2"/>
        <v/>
      </c>
      <c r="O34" s="67" t="str">
        <f>IF(M34="","",VLOOKUP(N34,Table1[],2,TRUE))</f>
        <v/>
      </c>
      <c r="P34" s="74" t="str">
        <f t="shared" si="1"/>
        <v/>
      </c>
      <c r="Q34" s="80" t="str">
        <f t="shared" si="4"/>
        <v/>
      </c>
      <c r="R34" s="68" t="str">
        <f>IF(P34="","",VLOOKUP(Q34,Table1[],2,TRUE))</f>
        <v/>
      </c>
      <c r="S34" s="76" t="str">
        <f>IF(AND(N34="",Q34=""),"",IF(OR(N34="-",Q34="-"),"-",IF(AND(N$3&lt;&gt;0,Q$3&lt;&gt;0),VLOOKUP(AVERAGE(N34,Q34),Table1[],2,TRUE),IF(AND(N$3&lt;&gt;0,Q$3=0),O34,R34))))</f>
        <v/>
      </c>
      <c r="T34" s="56"/>
      <c r="U34" s="56" t="str">
        <f t="shared" si="3"/>
        <v/>
      </c>
      <c r="V34" s="58" t="s">
        <v>18</v>
      </c>
    </row>
    <row r="35" spans="1:22" x14ac:dyDescent="0.25">
      <c r="A35" s="55"/>
      <c r="B35" s="55"/>
      <c r="C35" s="55"/>
      <c r="D35" s="55"/>
      <c r="E35" s="55"/>
      <c r="F35" s="63"/>
      <c r="G35" s="55"/>
      <c r="H35" s="55"/>
      <c r="I35" s="55"/>
      <c r="J35" s="55"/>
      <c r="K35" s="63"/>
      <c r="L35" s="55"/>
      <c r="M35" s="90" t="str">
        <f t="shared" si="0"/>
        <v/>
      </c>
      <c r="N35" s="78" t="str">
        <f t="shared" si="2"/>
        <v/>
      </c>
      <c r="O35" s="67" t="str">
        <f>IF(M35="","",VLOOKUP(N35,Table1[],2,TRUE))</f>
        <v/>
      </c>
      <c r="P35" s="74" t="str">
        <f t="shared" si="1"/>
        <v/>
      </c>
      <c r="Q35" s="80" t="str">
        <f t="shared" si="4"/>
        <v/>
      </c>
      <c r="R35" s="68" t="str">
        <f>IF(P35="","",VLOOKUP(Q35,Table1[],2,TRUE))</f>
        <v/>
      </c>
      <c r="S35" s="76" t="str">
        <f>IF(AND(N35="",Q35=""),"",IF(OR(N35="-",Q35="-"),"-",IF(AND(N$3&lt;&gt;0,Q$3&lt;&gt;0),VLOOKUP(AVERAGE(N35,Q35),Table1[],2,TRUE),IF(AND(N$3&lt;&gt;0,Q$3=0),O35,R35))))</f>
        <v/>
      </c>
      <c r="T35" s="56"/>
      <c r="U35" s="56" t="str">
        <f t="shared" si="3"/>
        <v/>
      </c>
      <c r="V35" s="58" t="s">
        <v>18</v>
      </c>
    </row>
    <row r="36" spans="1:22" x14ac:dyDescent="0.25">
      <c r="A36" s="55"/>
      <c r="B36" s="55"/>
      <c r="C36" s="55"/>
      <c r="D36" s="55"/>
      <c r="E36" s="55"/>
      <c r="F36" s="63"/>
      <c r="G36" s="55"/>
      <c r="H36" s="55"/>
      <c r="I36" s="55"/>
      <c r="J36" s="55"/>
      <c r="K36" s="63"/>
      <c r="L36" s="55"/>
      <c r="M36" s="90" t="str">
        <f t="shared" si="0"/>
        <v/>
      </c>
      <c r="N36" s="78" t="str">
        <f t="shared" si="2"/>
        <v/>
      </c>
      <c r="O36" s="67" t="str">
        <f>IF(M36="","",VLOOKUP(N36,Table1[],2,TRUE))</f>
        <v/>
      </c>
      <c r="P36" s="74" t="str">
        <f t="shared" si="1"/>
        <v/>
      </c>
      <c r="Q36" s="80" t="str">
        <f t="shared" si="4"/>
        <v/>
      </c>
      <c r="R36" s="68" t="str">
        <f>IF(P36="","",VLOOKUP(Q36,Table1[],2,TRUE))</f>
        <v/>
      </c>
      <c r="S36" s="76" t="str">
        <f>IF(AND(N36="",Q36=""),"",IF(OR(N36="-",Q36="-"),"-",IF(AND(N$3&lt;&gt;0,Q$3&lt;&gt;0),VLOOKUP(AVERAGE(N36,Q36),Table1[],2,TRUE),IF(AND(N$3&lt;&gt;0,Q$3=0),O36,R36))))</f>
        <v/>
      </c>
      <c r="T36" s="56"/>
      <c r="U36" s="56" t="str">
        <f t="shared" si="3"/>
        <v/>
      </c>
      <c r="V36" s="58" t="s">
        <v>18</v>
      </c>
    </row>
    <row r="37" spans="1:22" x14ac:dyDescent="0.25">
      <c r="A37" s="55"/>
      <c r="B37" s="55"/>
      <c r="C37" s="55"/>
      <c r="D37" s="55"/>
      <c r="E37" s="55"/>
      <c r="F37" s="63"/>
      <c r="G37" s="55"/>
      <c r="H37" s="55"/>
      <c r="I37" s="55"/>
      <c r="J37" s="55"/>
      <c r="K37" s="63"/>
      <c r="L37" s="55"/>
      <c r="M37" s="90" t="str">
        <f t="shared" si="0"/>
        <v/>
      </c>
      <c r="N37" s="78" t="str">
        <f t="shared" si="2"/>
        <v/>
      </c>
      <c r="O37" s="67" t="str">
        <f>IF(M37="","",VLOOKUP(N37,Table1[],2,TRUE))</f>
        <v/>
      </c>
      <c r="P37" s="74" t="str">
        <f t="shared" si="1"/>
        <v/>
      </c>
      <c r="Q37" s="80" t="str">
        <f t="shared" si="4"/>
        <v/>
      </c>
      <c r="R37" s="68" t="str">
        <f>IF(P37="","",VLOOKUP(Q37,Table1[],2,TRUE))</f>
        <v/>
      </c>
      <c r="S37" s="76" t="str">
        <f>IF(AND(N37="",Q37=""),"",IF(OR(N37="-",Q37="-"),"-",IF(AND(N$3&lt;&gt;0,Q$3&lt;&gt;0),VLOOKUP(AVERAGE(N37,Q37),Table1[],2,TRUE),IF(AND(N$3&lt;&gt;0,Q$3=0),O37,R37))))</f>
        <v/>
      </c>
      <c r="T37" s="56"/>
      <c r="U37" s="56" t="str">
        <f t="shared" si="3"/>
        <v/>
      </c>
      <c r="V37" s="58" t="s">
        <v>18</v>
      </c>
    </row>
    <row r="38" spans="1:22" x14ac:dyDescent="0.25">
      <c r="A38" s="55"/>
      <c r="B38" s="55"/>
      <c r="C38" s="55"/>
      <c r="D38" s="55"/>
      <c r="E38" s="55"/>
      <c r="F38" s="63"/>
      <c r="G38" s="55"/>
      <c r="H38" s="55"/>
      <c r="I38" s="55"/>
      <c r="J38" s="55"/>
      <c r="K38" s="63"/>
      <c r="L38" s="55"/>
      <c r="M38" s="90" t="str">
        <f t="shared" si="0"/>
        <v/>
      </c>
      <c r="N38" s="78" t="str">
        <f t="shared" si="2"/>
        <v/>
      </c>
      <c r="O38" s="67" t="str">
        <f>IF(M38="","",VLOOKUP(N38,Table1[],2,TRUE))</f>
        <v/>
      </c>
      <c r="P38" s="74" t="str">
        <f t="shared" si="1"/>
        <v/>
      </c>
      <c r="Q38" s="80" t="str">
        <f t="shared" si="4"/>
        <v/>
      </c>
      <c r="R38" s="68" t="str">
        <f>IF(P38="","",VLOOKUP(Q38,Table1[],2,TRUE))</f>
        <v/>
      </c>
      <c r="S38" s="76" t="str">
        <f>IF(AND(N38="",Q38=""),"",IF(OR(N38="-",Q38="-"),"-",IF(AND(N$3&lt;&gt;0,Q$3&lt;&gt;0),VLOOKUP(AVERAGE(N38,Q38),Table1[],2,TRUE),IF(AND(N$3&lt;&gt;0,Q$3=0),O38,R38))))</f>
        <v/>
      </c>
      <c r="T38" s="56"/>
      <c r="U38" s="56" t="str">
        <f t="shared" si="3"/>
        <v/>
      </c>
      <c r="V38" s="58" t="s">
        <v>18</v>
      </c>
    </row>
    <row r="39" spans="1:22" x14ac:dyDescent="0.25">
      <c r="A39" s="55"/>
      <c r="B39" s="55"/>
      <c r="C39" s="55"/>
      <c r="D39" s="55"/>
      <c r="E39" s="55"/>
      <c r="F39" s="63"/>
      <c r="G39" s="55"/>
      <c r="H39" s="55"/>
      <c r="I39" s="55"/>
      <c r="J39" s="55"/>
      <c r="K39" s="63"/>
      <c r="L39" s="55"/>
      <c r="M39" s="90" t="str">
        <f t="shared" si="0"/>
        <v/>
      </c>
      <c r="N39" s="78" t="str">
        <f t="shared" si="2"/>
        <v/>
      </c>
      <c r="O39" s="67" t="str">
        <f>IF(M39="","",VLOOKUP(N39,Table1[],2,TRUE))</f>
        <v/>
      </c>
      <c r="P39" s="74" t="str">
        <f t="shared" si="1"/>
        <v/>
      </c>
      <c r="Q39" s="80" t="str">
        <f t="shared" si="4"/>
        <v/>
      </c>
      <c r="R39" s="68" t="str">
        <f>IF(P39="","",VLOOKUP(Q39,Table1[],2,TRUE))</f>
        <v/>
      </c>
      <c r="S39" s="76" t="str">
        <f>IF(AND(N39="",Q39=""),"",IF(OR(N39="-",Q39="-"),"-",IF(AND(N$3&lt;&gt;0,Q$3&lt;&gt;0),VLOOKUP(AVERAGE(N39,Q39),Table1[],2,TRUE),IF(AND(N$3&lt;&gt;0,Q$3=0),O39,R39))))</f>
        <v/>
      </c>
      <c r="T39" s="56"/>
      <c r="U39" s="56" t="str">
        <f t="shared" si="3"/>
        <v/>
      </c>
      <c r="V39" s="58" t="s">
        <v>18</v>
      </c>
    </row>
    <row r="40" spans="1:22" ht="15.75" thickBot="1" x14ac:dyDescent="0.3">
      <c r="A40" s="64"/>
      <c r="B40" s="64"/>
      <c r="C40" s="64"/>
      <c r="D40" s="64"/>
      <c r="E40" s="64"/>
      <c r="F40" s="65"/>
      <c r="G40" s="64"/>
      <c r="H40" s="64"/>
      <c r="I40" s="64"/>
      <c r="J40" s="64"/>
      <c r="K40" s="65"/>
      <c r="L40" s="88"/>
      <c r="M40" s="91" t="str">
        <f t="shared" si="0"/>
        <v/>
      </c>
      <c r="N40" s="79" t="str">
        <f>IF(M40="","",IF(M40="-","-",M40/N$3))</f>
        <v/>
      </c>
      <c r="O40" s="69" t="str">
        <f>IF(M40="","",VLOOKUP(N40,Table1[],2,TRUE))</f>
        <v/>
      </c>
      <c r="P40" s="75" t="str">
        <f t="shared" si="1"/>
        <v/>
      </c>
      <c r="Q40" s="81" t="str">
        <f>IF(P40="","",IF(P40="-", "-",P40/Q$3))</f>
        <v/>
      </c>
      <c r="R40" s="70" t="str">
        <f>IF(P40="","",VLOOKUP(Q40,Table1[],2,TRUE))</f>
        <v/>
      </c>
      <c r="S40" s="77" t="str">
        <f>IF(AND(N40="",Q40=""),"",IF(OR(N40="-",Q40="-"),"-",IF(AND(N$3&lt;&gt;0,Q$3&lt;&gt;0),VLOOKUP(AVERAGE(N40,Q40),Table1[],2,TRUE),IF(AND(N$3&lt;&gt;0,Q$3=0),O40,R40))))</f>
        <v/>
      </c>
      <c r="T40" s="71"/>
      <c r="U40" s="72" t="str">
        <f t="shared" si="3"/>
        <v/>
      </c>
      <c r="V40" s="62" t="s">
        <v>18</v>
      </c>
    </row>
    <row r="41" spans="1:22" x14ac:dyDescent="0.25">
      <c r="F41"/>
      <c r="G41"/>
      <c r="H41"/>
      <c r="I41"/>
      <c r="J41"/>
      <c r="L41"/>
      <c r="N41"/>
      <c r="Q41"/>
      <c r="T41"/>
    </row>
    <row r="42" spans="1:22" x14ac:dyDescent="0.25">
      <c r="F42"/>
      <c r="G42"/>
      <c r="H42"/>
      <c r="I42"/>
      <c r="J42"/>
      <c r="L42"/>
      <c r="N42"/>
      <c r="Q42"/>
      <c r="T42"/>
    </row>
    <row r="43" spans="1:22" x14ac:dyDescent="0.25">
      <c r="F43"/>
      <c r="G43"/>
      <c r="H43"/>
      <c r="I43"/>
      <c r="J43"/>
      <c r="L43"/>
      <c r="N43"/>
      <c r="Q43"/>
      <c r="T43"/>
    </row>
    <row r="44" spans="1:22" x14ac:dyDescent="0.25">
      <c r="F44"/>
      <c r="G44"/>
      <c r="H44"/>
      <c r="I44"/>
      <c r="J44"/>
      <c r="L44"/>
      <c r="N44"/>
      <c r="Q44"/>
      <c r="T44"/>
    </row>
    <row r="45" spans="1:22" x14ac:dyDescent="0.25">
      <c r="F45"/>
      <c r="G45"/>
      <c r="H45"/>
      <c r="I45"/>
      <c r="J45"/>
      <c r="L45"/>
      <c r="N45"/>
      <c r="Q45"/>
      <c r="T45"/>
    </row>
    <row r="46" spans="1:22" x14ac:dyDescent="0.25">
      <c r="F46"/>
      <c r="G46"/>
      <c r="H46"/>
      <c r="I46"/>
      <c r="J46"/>
      <c r="L46"/>
      <c r="N46"/>
      <c r="Q46"/>
      <c r="T46"/>
    </row>
    <row r="47" spans="1:22" x14ac:dyDescent="0.25">
      <c r="F47"/>
      <c r="G47"/>
      <c r="H47"/>
      <c r="I47"/>
      <c r="J47"/>
      <c r="L47"/>
      <c r="N47"/>
      <c r="Q47"/>
      <c r="T47"/>
    </row>
    <row r="48" spans="1:22" x14ac:dyDescent="0.25">
      <c r="F48"/>
      <c r="G48"/>
      <c r="H48"/>
      <c r="I48"/>
      <c r="J48"/>
      <c r="L48"/>
      <c r="N48"/>
      <c r="Q48"/>
      <c r="T48"/>
    </row>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sheetData>
  <mergeCells count="7">
    <mergeCell ref="F2:J2"/>
    <mergeCell ref="K2:L2"/>
    <mergeCell ref="B1:V1"/>
    <mergeCell ref="M2:U2"/>
    <mergeCell ref="N3:O3"/>
    <mergeCell ref="Q3:R3"/>
    <mergeCell ref="A2:E2"/>
  </mergeCells>
  <conditionalFormatting sqref="R5:U40 O5:O40">
    <cfRule type="expression" dxfId="6" priority="3" stopIfTrue="1">
      <formula>OR(ISNUMBER(SEARCH("D",O5)),ISNUMBER(SEARCH("E",O5)))</formula>
    </cfRule>
  </conditionalFormatting>
  <conditionalFormatting sqref="A5:J40">
    <cfRule type="expression" dxfId="5" priority="1" stopIfTrue="1">
      <formula>NOT(ISBLANK(A5))</formula>
    </cfRule>
  </conditionalFormatting>
  <conditionalFormatting sqref="A5:J7">
    <cfRule type="expression" dxfId="4"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I29"/>
  <sheetViews>
    <sheetView zoomScaleNormal="100" workbookViewId="0">
      <selection activeCell="O23" sqref="O23"/>
    </sheetView>
  </sheetViews>
  <sheetFormatPr defaultRowHeight="15" x14ac:dyDescent="0.25"/>
  <cols>
    <col min="1" max="1" width="11" bestFit="1" customWidth="1"/>
    <col min="2" max="3" width="11.5703125" bestFit="1" customWidth="1"/>
    <col min="5" max="5" width="14.28515625" customWidth="1"/>
    <col min="6" max="6" width="20.7109375" bestFit="1" customWidth="1"/>
    <col min="7" max="7" width="9.140625" customWidth="1"/>
    <col min="8" max="8" width="14.28515625" customWidth="1"/>
    <col min="9" max="9" width="16.28515625" customWidth="1"/>
  </cols>
  <sheetData>
    <row r="1" spans="1:9" x14ac:dyDescent="0.25">
      <c r="A1" s="4" t="s">
        <v>0</v>
      </c>
      <c r="B1" s="5" t="s">
        <v>1</v>
      </c>
      <c r="C1" s="6" t="s">
        <v>2</v>
      </c>
      <c r="E1" t="s">
        <v>122</v>
      </c>
      <c r="F1" t="s">
        <v>123</v>
      </c>
      <c r="H1" t="s">
        <v>122</v>
      </c>
      <c r="I1" t="s">
        <v>126</v>
      </c>
    </row>
    <row r="2" spans="1:9" x14ac:dyDescent="0.25">
      <c r="A2" s="20"/>
      <c r="B2" s="2"/>
      <c r="C2" s="15"/>
      <c r="E2" t="s">
        <v>17</v>
      </c>
      <c r="F2">
        <v>0.94</v>
      </c>
      <c r="H2" t="s">
        <v>17</v>
      </c>
      <c r="I2">
        <v>15</v>
      </c>
    </row>
    <row r="3" spans="1:9" x14ac:dyDescent="0.25">
      <c r="A3" s="21">
        <v>0</v>
      </c>
      <c r="B3" s="1" t="s">
        <v>3</v>
      </c>
      <c r="C3" s="3">
        <v>1</v>
      </c>
      <c r="E3" t="s">
        <v>16</v>
      </c>
      <c r="F3">
        <v>0.87</v>
      </c>
      <c r="H3" t="s">
        <v>16</v>
      </c>
      <c r="I3">
        <v>14</v>
      </c>
    </row>
    <row r="4" spans="1:9" x14ac:dyDescent="0.25">
      <c r="A4" s="21">
        <v>0.09</v>
      </c>
      <c r="B4" s="1" t="s">
        <v>4</v>
      </c>
      <c r="C4" s="3">
        <v>2</v>
      </c>
      <c r="E4" s="24" t="s">
        <v>15</v>
      </c>
      <c r="F4">
        <v>0.8</v>
      </c>
      <c r="H4" t="s">
        <v>15</v>
      </c>
      <c r="I4">
        <v>13</v>
      </c>
    </row>
    <row r="5" spans="1:9" x14ac:dyDescent="0.25">
      <c r="A5" s="21">
        <v>0.17</v>
      </c>
      <c r="B5" s="1" t="s">
        <v>5</v>
      </c>
      <c r="C5" s="3">
        <v>3</v>
      </c>
      <c r="E5" t="s">
        <v>14</v>
      </c>
      <c r="F5">
        <v>0.75</v>
      </c>
      <c r="H5" t="s">
        <v>14</v>
      </c>
      <c r="I5">
        <v>12</v>
      </c>
    </row>
    <row r="6" spans="1:9" x14ac:dyDescent="0.25">
      <c r="A6" s="21">
        <v>0.25</v>
      </c>
      <c r="B6" s="1" t="s">
        <v>6</v>
      </c>
      <c r="C6" s="3">
        <v>4</v>
      </c>
      <c r="E6" t="s">
        <v>13</v>
      </c>
      <c r="F6">
        <v>0.7</v>
      </c>
      <c r="H6" t="s">
        <v>13</v>
      </c>
      <c r="I6">
        <v>11</v>
      </c>
    </row>
    <row r="7" spans="1:9" x14ac:dyDescent="0.25">
      <c r="A7" s="21">
        <v>0.32</v>
      </c>
      <c r="B7" s="1" t="s">
        <v>7</v>
      </c>
      <c r="C7" s="3">
        <v>5</v>
      </c>
      <c r="E7" t="s">
        <v>12</v>
      </c>
      <c r="F7">
        <v>0.65</v>
      </c>
      <c r="H7" t="s">
        <v>12</v>
      </c>
      <c r="I7">
        <v>10</v>
      </c>
    </row>
    <row r="8" spans="1:9" x14ac:dyDescent="0.25">
      <c r="A8" s="21">
        <v>0.38</v>
      </c>
      <c r="B8" s="1" t="s">
        <v>8</v>
      </c>
      <c r="C8" s="3">
        <v>6</v>
      </c>
      <c r="E8" t="s">
        <v>11</v>
      </c>
      <c r="F8">
        <v>0.59</v>
      </c>
      <c r="H8" t="s">
        <v>11</v>
      </c>
      <c r="I8">
        <v>9</v>
      </c>
    </row>
    <row r="9" spans="1:9" x14ac:dyDescent="0.25">
      <c r="A9" s="21">
        <v>0.45</v>
      </c>
      <c r="B9" s="1" t="s">
        <v>9</v>
      </c>
      <c r="C9" s="3">
        <v>7</v>
      </c>
      <c r="E9" t="s">
        <v>10</v>
      </c>
      <c r="F9">
        <v>0.52</v>
      </c>
      <c r="H9" t="s">
        <v>10</v>
      </c>
      <c r="I9">
        <v>8</v>
      </c>
    </row>
    <row r="10" spans="1:9" x14ac:dyDescent="0.25">
      <c r="A10" s="21">
        <v>0.52</v>
      </c>
      <c r="B10" s="1" t="s">
        <v>10</v>
      </c>
      <c r="C10" s="3">
        <v>8</v>
      </c>
      <c r="E10" t="s">
        <v>9</v>
      </c>
      <c r="F10">
        <v>0.45</v>
      </c>
      <c r="H10" t="s">
        <v>9</v>
      </c>
      <c r="I10">
        <v>7</v>
      </c>
    </row>
    <row r="11" spans="1:9" x14ac:dyDescent="0.25">
      <c r="A11" s="21">
        <v>0.59</v>
      </c>
      <c r="B11" s="1" t="s">
        <v>11</v>
      </c>
      <c r="C11" s="3">
        <v>9</v>
      </c>
      <c r="E11" t="s">
        <v>8</v>
      </c>
      <c r="F11">
        <v>0.38</v>
      </c>
      <c r="H11" t="s">
        <v>8</v>
      </c>
      <c r="I11">
        <v>6</v>
      </c>
    </row>
    <row r="12" spans="1:9" x14ac:dyDescent="0.25">
      <c r="A12" s="21">
        <v>0.65</v>
      </c>
      <c r="B12" s="1" t="s">
        <v>12</v>
      </c>
      <c r="C12" s="3">
        <v>10</v>
      </c>
      <c r="E12" t="s">
        <v>7</v>
      </c>
      <c r="F12">
        <v>0.32</v>
      </c>
      <c r="H12" t="s">
        <v>7</v>
      </c>
      <c r="I12">
        <v>5</v>
      </c>
    </row>
    <row r="13" spans="1:9" x14ac:dyDescent="0.25">
      <c r="A13" s="21">
        <v>0.7</v>
      </c>
      <c r="B13" s="1" t="s">
        <v>13</v>
      </c>
      <c r="C13" s="3">
        <v>11</v>
      </c>
      <c r="E13" t="s">
        <v>6</v>
      </c>
      <c r="F13">
        <v>0.25</v>
      </c>
      <c r="H13" t="s">
        <v>6</v>
      </c>
      <c r="I13">
        <v>4</v>
      </c>
    </row>
    <row r="14" spans="1:9" x14ac:dyDescent="0.25">
      <c r="A14" s="21">
        <v>0.75</v>
      </c>
      <c r="B14" s="1" t="s">
        <v>14</v>
      </c>
      <c r="C14" s="3">
        <v>12</v>
      </c>
      <c r="E14" t="s">
        <v>5</v>
      </c>
      <c r="F14">
        <v>0.17</v>
      </c>
      <c r="H14" t="s">
        <v>5</v>
      </c>
      <c r="I14">
        <v>3</v>
      </c>
    </row>
    <row r="15" spans="1:9" x14ac:dyDescent="0.25">
      <c r="A15" s="21">
        <v>0.8</v>
      </c>
      <c r="B15" s="1" t="s">
        <v>15</v>
      </c>
      <c r="C15" s="3">
        <v>13</v>
      </c>
      <c r="E15" t="s">
        <v>4</v>
      </c>
      <c r="F15">
        <v>0.09</v>
      </c>
      <c r="H15" t="s">
        <v>4</v>
      </c>
      <c r="I15">
        <v>2</v>
      </c>
    </row>
    <row r="16" spans="1:9" x14ac:dyDescent="0.25">
      <c r="A16" s="21">
        <v>0.87</v>
      </c>
      <c r="B16" s="1" t="s">
        <v>16</v>
      </c>
      <c r="C16" s="3">
        <v>14</v>
      </c>
      <c r="E16" t="s">
        <v>3</v>
      </c>
      <c r="F16">
        <v>0</v>
      </c>
      <c r="H16" t="s">
        <v>3</v>
      </c>
      <c r="I16">
        <v>1</v>
      </c>
    </row>
    <row r="17" spans="1:5" x14ac:dyDescent="0.25">
      <c r="A17" s="21">
        <v>0.94</v>
      </c>
      <c r="B17" s="1" t="s">
        <v>17</v>
      </c>
      <c r="C17" s="3">
        <v>15</v>
      </c>
    </row>
    <row r="18" spans="1:5" x14ac:dyDescent="0.25">
      <c r="A18" s="22" t="s">
        <v>18</v>
      </c>
      <c r="B18" s="7" t="s">
        <v>18</v>
      </c>
      <c r="C18" s="8" t="s">
        <v>18</v>
      </c>
    </row>
    <row r="29" spans="1:5" x14ac:dyDescent="0.25">
      <c r="E29" s="169"/>
    </row>
  </sheetData>
  <pageMargins left="0.7" right="0.7" top="0.75" bottom="0.75" header="0.3" footer="0.3"/>
  <drawing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7"/>
  <sheetViews>
    <sheetView zoomScale="85" zoomScaleNormal="85" workbookViewId="0">
      <selection activeCell="E4" sqref="E4"/>
    </sheetView>
  </sheetViews>
  <sheetFormatPr defaultColWidth="9.140625" defaultRowHeight="15" x14ac:dyDescent="0.25"/>
  <cols>
    <col min="1" max="1" width="9.140625" style="29"/>
    <col min="2" max="2" width="16.42578125" style="30" bestFit="1" customWidth="1"/>
    <col min="3" max="3" width="9.28515625" style="30" bestFit="1" customWidth="1"/>
    <col min="4" max="4" width="11.5703125" style="30" bestFit="1" customWidth="1"/>
    <col min="5" max="5" width="63.5703125" style="31" customWidth="1"/>
    <col min="6" max="6" width="9.140625" style="29"/>
    <col min="7" max="7" width="20.28515625" style="29" bestFit="1" customWidth="1"/>
    <col min="8" max="8" width="1.5703125" style="29" customWidth="1"/>
    <col min="9" max="16384" width="9.140625" style="29"/>
  </cols>
  <sheetData>
    <row r="1" spans="2:7" ht="15.75" thickBot="1" x14ac:dyDescent="0.3"/>
    <row r="2" spans="2:7" ht="15.75" thickBot="1" x14ac:dyDescent="0.3">
      <c r="B2" s="32" t="s">
        <v>39</v>
      </c>
      <c r="C2" s="33" t="s">
        <v>42</v>
      </c>
      <c r="D2" s="33" t="s">
        <v>40</v>
      </c>
      <c r="E2" s="34" t="s">
        <v>41</v>
      </c>
      <c r="G2" s="35"/>
    </row>
    <row r="3" spans="2:7" ht="75" x14ac:dyDescent="0.25">
      <c r="B3" s="30" t="s">
        <v>124</v>
      </c>
      <c r="C3" s="30" t="s">
        <v>43</v>
      </c>
      <c r="D3" s="41">
        <v>44987</v>
      </c>
      <c r="E3" s="31" t="s">
        <v>140</v>
      </c>
      <c r="G3" s="35"/>
    </row>
    <row r="4" spans="2:7" x14ac:dyDescent="0.25">
      <c r="B4" s="40" t="s">
        <v>120</v>
      </c>
      <c r="C4" s="40" t="s">
        <v>43</v>
      </c>
      <c r="D4" s="41">
        <v>44369</v>
      </c>
      <c r="E4" s="40" t="s">
        <v>121</v>
      </c>
      <c r="G4" s="35"/>
    </row>
    <row r="5" spans="2:7" ht="30" x14ac:dyDescent="0.25">
      <c r="B5" s="40" t="s">
        <v>118</v>
      </c>
      <c r="C5" s="40" t="s">
        <v>43</v>
      </c>
      <c r="D5" s="41">
        <v>44368</v>
      </c>
      <c r="E5" s="42" t="s">
        <v>119</v>
      </c>
      <c r="G5" s="35"/>
    </row>
    <row r="6" spans="2:7" x14ac:dyDescent="0.25">
      <c r="B6" s="40" t="s">
        <v>116</v>
      </c>
      <c r="C6" s="40" t="s">
        <v>43</v>
      </c>
      <c r="D6" s="41">
        <v>44368</v>
      </c>
      <c r="E6" s="42" t="s">
        <v>117</v>
      </c>
      <c r="G6" s="35"/>
    </row>
    <row r="7" spans="2:7" x14ac:dyDescent="0.25">
      <c r="B7" s="40" t="s">
        <v>114</v>
      </c>
      <c r="C7" s="40" t="s">
        <v>43</v>
      </c>
      <c r="D7" s="41">
        <v>44368</v>
      </c>
      <c r="E7" s="42" t="s">
        <v>115</v>
      </c>
      <c r="G7" s="35"/>
    </row>
    <row r="8" spans="2:7" ht="30" x14ac:dyDescent="0.25">
      <c r="B8" s="40" t="s">
        <v>107</v>
      </c>
      <c r="C8" s="40" t="s">
        <v>43</v>
      </c>
      <c r="D8" s="41">
        <v>44367</v>
      </c>
      <c r="E8" s="42" t="s">
        <v>108</v>
      </c>
      <c r="G8" s="35"/>
    </row>
    <row r="9" spans="2:7" x14ac:dyDescent="0.25">
      <c r="B9" s="40" t="s">
        <v>105</v>
      </c>
      <c r="C9" s="40" t="s">
        <v>43</v>
      </c>
      <c r="D9" s="41">
        <v>44366</v>
      </c>
      <c r="E9" s="42" t="s">
        <v>106</v>
      </c>
      <c r="G9" s="35"/>
    </row>
    <row r="10" spans="2:7" x14ac:dyDescent="0.25">
      <c r="B10" s="40" t="s">
        <v>101</v>
      </c>
      <c r="C10" s="40" t="s">
        <v>43</v>
      </c>
      <c r="D10" s="41">
        <v>44284</v>
      </c>
      <c r="E10" s="42" t="s">
        <v>102</v>
      </c>
      <c r="G10" s="35"/>
    </row>
    <row r="11" spans="2:7" x14ac:dyDescent="0.25">
      <c r="B11" s="40" t="s">
        <v>99</v>
      </c>
      <c r="C11" s="40" t="s">
        <v>43</v>
      </c>
      <c r="D11" s="41">
        <v>44107</v>
      </c>
      <c r="E11" s="42" t="s">
        <v>100</v>
      </c>
    </row>
    <row r="12" spans="2:7" x14ac:dyDescent="0.25">
      <c r="B12" s="40" t="s">
        <v>97</v>
      </c>
      <c r="C12" s="40" t="s">
        <v>43</v>
      </c>
      <c r="D12" s="41">
        <v>44103</v>
      </c>
      <c r="E12" s="42" t="s">
        <v>98</v>
      </c>
    </row>
    <row r="13" spans="2:7" x14ac:dyDescent="0.25">
      <c r="B13" s="40" t="s">
        <v>92</v>
      </c>
      <c r="C13" s="40" t="s">
        <v>43</v>
      </c>
      <c r="D13" s="41">
        <v>44099</v>
      </c>
      <c r="E13" s="42" t="s">
        <v>93</v>
      </c>
    </row>
    <row r="14" spans="2:7" ht="30" x14ac:dyDescent="0.25">
      <c r="B14" s="40" t="s">
        <v>88</v>
      </c>
      <c r="C14" s="40" t="s">
        <v>43</v>
      </c>
      <c r="D14" s="41">
        <v>44099</v>
      </c>
      <c r="E14" s="42" t="s">
        <v>91</v>
      </c>
    </row>
    <row r="15" spans="2:7" x14ac:dyDescent="0.25">
      <c r="B15" s="40" t="s">
        <v>89</v>
      </c>
      <c r="C15" s="40" t="s">
        <v>43</v>
      </c>
      <c r="D15" s="41">
        <v>44099</v>
      </c>
      <c r="E15" s="42" t="s">
        <v>90</v>
      </c>
    </row>
    <row r="16" spans="2:7" x14ac:dyDescent="0.25">
      <c r="B16" s="40" t="s">
        <v>86</v>
      </c>
      <c r="C16" s="40" t="s">
        <v>43</v>
      </c>
      <c r="D16" s="41">
        <v>43898</v>
      </c>
      <c r="E16" s="42" t="s">
        <v>87</v>
      </c>
    </row>
    <row r="17" spans="2:5" ht="90" x14ac:dyDescent="0.25">
      <c r="B17" s="40" t="s">
        <v>84</v>
      </c>
      <c r="C17" s="40" t="s">
        <v>43</v>
      </c>
      <c r="D17" s="41">
        <v>43896</v>
      </c>
      <c r="E17" s="42" t="s">
        <v>83</v>
      </c>
    </row>
    <row r="18" spans="2:5" x14ac:dyDescent="0.25">
      <c r="B18" s="40" t="s">
        <v>76</v>
      </c>
      <c r="C18" s="40" t="s">
        <v>43</v>
      </c>
      <c r="D18" s="41">
        <v>43895</v>
      </c>
      <c r="E18" s="42" t="s">
        <v>82</v>
      </c>
    </row>
    <row r="19" spans="2:5" ht="45" x14ac:dyDescent="0.25">
      <c r="B19" s="40" t="s">
        <v>77</v>
      </c>
      <c r="C19" s="40" t="s">
        <v>43</v>
      </c>
      <c r="D19" s="41">
        <v>43895</v>
      </c>
      <c r="E19" s="42" t="s">
        <v>81</v>
      </c>
    </row>
    <row r="20" spans="2:5" ht="60" x14ac:dyDescent="0.25">
      <c r="B20" s="40" t="s">
        <v>73</v>
      </c>
      <c r="C20" s="40" t="s">
        <v>43</v>
      </c>
      <c r="D20" s="41">
        <v>43811</v>
      </c>
      <c r="E20" s="42" t="s">
        <v>74</v>
      </c>
    </row>
    <row r="21" spans="2:5" ht="30" x14ac:dyDescent="0.25">
      <c r="B21" s="40" t="s">
        <v>68</v>
      </c>
      <c r="C21" s="40" t="s">
        <v>43</v>
      </c>
      <c r="D21" s="41">
        <v>43810</v>
      </c>
      <c r="E21" s="42" t="s">
        <v>69</v>
      </c>
    </row>
    <row r="22" spans="2:5" x14ac:dyDescent="0.25">
      <c r="B22" s="40" t="s">
        <v>66</v>
      </c>
      <c r="C22" s="40" t="s">
        <v>43</v>
      </c>
      <c r="D22" s="40" t="s">
        <v>67</v>
      </c>
      <c r="E22" s="42" t="s">
        <v>67</v>
      </c>
    </row>
    <row r="23" spans="2:5" ht="45" x14ac:dyDescent="0.25">
      <c r="B23" s="40" t="s">
        <v>63</v>
      </c>
      <c r="C23" s="40" t="s">
        <v>43</v>
      </c>
      <c r="D23" s="41">
        <v>43742</v>
      </c>
      <c r="E23" s="42" t="s">
        <v>64</v>
      </c>
    </row>
    <row r="24" spans="2:5" ht="30" x14ac:dyDescent="0.25">
      <c r="B24" s="40" t="s">
        <v>61</v>
      </c>
      <c r="C24" s="40" t="s">
        <v>43</v>
      </c>
      <c r="D24" s="41">
        <v>43738</v>
      </c>
      <c r="E24" s="42" t="s">
        <v>62</v>
      </c>
    </row>
    <row r="25" spans="2:5" x14ac:dyDescent="0.25">
      <c r="B25" s="40" t="s">
        <v>59</v>
      </c>
      <c r="C25" s="40" t="s">
        <v>43</v>
      </c>
      <c r="D25" s="41">
        <v>43684</v>
      </c>
      <c r="E25" s="42" t="s">
        <v>60</v>
      </c>
    </row>
    <row r="26" spans="2:5" x14ac:dyDescent="0.25">
      <c r="B26" s="40" t="s">
        <v>57</v>
      </c>
      <c r="C26" s="40" t="s">
        <v>43</v>
      </c>
      <c r="D26" s="41">
        <v>43679</v>
      </c>
      <c r="E26" s="42" t="s">
        <v>58</v>
      </c>
    </row>
    <row r="27" spans="2:5" ht="60" x14ac:dyDescent="0.25">
      <c r="B27" s="40" t="s">
        <v>55</v>
      </c>
      <c r="C27" s="40" t="s">
        <v>43</v>
      </c>
      <c r="D27" s="41">
        <v>43678</v>
      </c>
      <c r="E27" s="42" t="s">
        <v>56</v>
      </c>
    </row>
    <row r="28" spans="2:5" x14ac:dyDescent="0.25">
      <c r="B28" s="40" t="s">
        <v>53</v>
      </c>
      <c r="C28" s="40" t="s">
        <v>43</v>
      </c>
      <c r="D28" s="41">
        <v>43663</v>
      </c>
      <c r="E28" s="42" t="s">
        <v>54</v>
      </c>
    </row>
    <row r="29" spans="2:5" ht="135" x14ac:dyDescent="0.25">
      <c r="B29" s="40" t="s">
        <v>52</v>
      </c>
      <c r="C29" s="40" t="s">
        <v>43</v>
      </c>
      <c r="D29" s="41">
        <v>43655</v>
      </c>
      <c r="E29" s="42" t="s">
        <v>51</v>
      </c>
    </row>
    <row r="30" spans="2:5" ht="45" x14ac:dyDescent="0.25">
      <c r="B30" s="40" t="s">
        <v>44</v>
      </c>
      <c r="C30" s="40" t="s">
        <v>43</v>
      </c>
      <c r="D30" s="41">
        <v>43643</v>
      </c>
      <c r="E30" s="42" t="s">
        <v>47</v>
      </c>
    </row>
    <row r="31" spans="2:5" ht="75" x14ac:dyDescent="0.25">
      <c r="B31" s="36" t="s">
        <v>45</v>
      </c>
      <c r="C31" s="37" t="s">
        <v>43</v>
      </c>
      <c r="D31" s="38">
        <v>43641</v>
      </c>
      <c r="E31" s="39" t="s">
        <v>46</v>
      </c>
    </row>
    <row r="32" spans="2:5" x14ac:dyDescent="0.25">
      <c r="B32" s="40"/>
      <c r="C32" s="40"/>
      <c r="D32" s="40"/>
      <c r="E32" s="42"/>
    </row>
    <row r="33" spans="2:5" x14ac:dyDescent="0.25">
      <c r="B33" s="40"/>
      <c r="C33" s="40"/>
      <c r="D33" s="40"/>
      <c r="E33" s="42"/>
    </row>
    <row r="34" spans="2:5" x14ac:dyDescent="0.25">
      <c r="B34" s="40"/>
      <c r="C34" s="40"/>
      <c r="D34" s="40"/>
      <c r="E34" s="42"/>
    </row>
    <row r="35" spans="2:5" x14ac:dyDescent="0.25">
      <c r="B35" s="40"/>
      <c r="C35" s="40"/>
      <c r="D35" s="40"/>
      <c r="E35" s="42"/>
    </row>
    <row r="36" spans="2:5" x14ac:dyDescent="0.25">
      <c r="B36" s="40"/>
      <c r="C36" s="40"/>
      <c r="D36" s="40"/>
      <c r="E36" s="42"/>
    </row>
    <row r="37" spans="2:5" x14ac:dyDescent="0.25">
      <c r="B37" s="40"/>
      <c r="C37" s="40"/>
      <c r="D37" s="40"/>
      <c r="E37" s="42"/>
    </row>
    <row r="38" spans="2:5" x14ac:dyDescent="0.25">
      <c r="B38" s="40"/>
      <c r="C38" s="40"/>
      <c r="D38" s="40"/>
      <c r="E38" s="42"/>
    </row>
    <row r="39" spans="2:5" x14ac:dyDescent="0.25">
      <c r="B39" s="40"/>
      <c r="C39" s="40"/>
      <c r="D39" s="40"/>
      <c r="E39" s="42"/>
    </row>
    <row r="40" spans="2:5" x14ac:dyDescent="0.25">
      <c r="B40" s="40"/>
      <c r="C40" s="40"/>
      <c r="D40" s="40"/>
      <c r="E40" s="42"/>
    </row>
    <row r="41" spans="2:5" x14ac:dyDescent="0.25">
      <c r="B41" s="40"/>
      <c r="C41" s="40"/>
      <c r="D41" s="40"/>
      <c r="E41" s="42"/>
    </row>
    <row r="42" spans="2:5" x14ac:dyDescent="0.25">
      <c r="B42" s="40"/>
      <c r="C42" s="40"/>
      <c r="D42" s="40"/>
      <c r="E42" s="42"/>
    </row>
    <row r="43" spans="2:5" x14ac:dyDescent="0.25">
      <c r="B43" s="40"/>
      <c r="C43" s="40"/>
      <c r="D43" s="40"/>
      <c r="E43" s="42"/>
    </row>
    <row r="44" spans="2:5" x14ac:dyDescent="0.25">
      <c r="B44" s="40"/>
      <c r="C44" s="40"/>
      <c r="D44" s="40"/>
      <c r="E44" s="42"/>
    </row>
    <row r="45" spans="2:5" x14ac:dyDescent="0.25">
      <c r="B45" s="40"/>
      <c r="C45" s="40"/>
      <c r="D45" s="40"/>
      <c r="E45" s="42"/>
    </row>
    <row r="107" spans="1:1" x14ac:dyDescent="0.25">
      <c r="A107" s="28"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ClassInformation</vt:lpstr>
      <vt:lpstr>Semester1</vt:lpstr>
      <vt:lpstr>Semester2</vt:lpstr>
      <vt:lpstr>StudentProfile</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cp:lastPrinted>2023-03-02T10:28:33Z</cp:lastPrinted>
  <dcterms:created xsi:type="dcterms:W3CDTF">2019-06-24T12:42:24Z</dcterms:created>
  <dcterms:modified xsi:type="dcterms:W3CDTF">2023-03-02T14:15:45Z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