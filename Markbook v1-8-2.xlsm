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8_{99CFAFE8-14FF-4F25-AE44-5CB6B00ABABA}" xr6:coauthVersionLast="31" xr6:coauthVersionMax="31" xr10:uidLastSave="{00000000-0000-0000-0000-000000000000}"/>
  <bookViews>
    <workbookView xWindow="1170" yWindow="1170" windowWidth="12825" windowHeight="11055" tabRatio="723" activeTab="1" xr2:uid="{819FE5EB-A8BE-46E7-8C57-623FF87BA6E9}"/>
  </bookViews>
  <sheets>
    <sheet name="ClassInformation" sheetId="3" r:id="rId1"/>
    <sheet name="Semester1" sheetId="4" r:id="rId2"/>
    <sheet name="Semester2" sheetId="17" r:id="rId3"/>
    <sheet name="AssessmentTemplate" sheetId="14" r:id="rId4"/>
    <sheet name="TemplateInstruction" sheetId="9" r:id="rId5"/>
    <sheet name="GradeScheme" sheetId="2" r:id="rId6"/>
    <sheet name="Changelog" sheetId="11" r:id="rId7"/>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40" i="14" l="1"/>
  <c r="S39" i="14"/>
  <c r="S38" i="14"/>
  <c r="S37" i="14"/>
  <c r="S36" i="14"/>
  <c r="S35" i="14"/>
  <c r="S34" i="14"/>
  <c r="S33" i="14"/>
  <c r="S32" i="14"/>
  <c r="S31" i="14"/>
  <c r="S30" i="14"/>
  <c r="S29" i="14"/>
  <c r="S28" i="14"/>
  <c r="S27" i="14"/>
  <c r="S26" i="14"/>
  <c r="S25" i="14"/>
  <c r="S24" i="14"/>
  <c r="S23" i="14"/>
  <c r="S22" i="14"/>
  <c r="S21" i="14"/>
  <c r="S20" i="14"/>
  <c r="S19" i="14"/>
  <c r="S18" i="14"/>
  <c r="S17" i="14"/>
  <c r="S16" i="14"/>
  <c r="S15" i="14"/>
  <c r="S14" i="14"/>
  <c r="S13" i="14"/>
  <c r="S12" i="14"/>
  <c r="S11" i="14"/>
  <c r="S10" i="14"/>
  <c r="S9" i="14"/>
  <c r="S8" i="14"/>
  <c r="S7" i="14"/>
  <c r="S6" i="14"/>
  <c r="S5" i="14"/>
  <c r="Q40" i="14"/>
  <c r="Q39" i="14"/>
  <c r="Q38" i="14"/>
  <c r="Q37" i="14"/>
  <c r="Q36" i="14"/>
  <c r="Q35" i="14"/>
  <c r="Q34" i="14"/>
  <c r="Q33" i="14"/>
  <c r="Q32" i="14"/>
  <c r="Q31" i="14"/>
  <c r="Q30" i="14"/>
  <c r="Q29" i="14"/>
  <c r="Q28" i="14"/>
  <c r="Q27" i="14"/>
  <c r="Q26" i="14"/>
  <c r="Q25" i="14"/>
  <c r="Q24" i="14"/>
  <c r="Q23" i="14"/>
  <c r="Q22" i="14"/>
  <c r="Q21" i="14"/>
  <c r="Q20" i="14"/>
  <c r="Q19" i="14"/>
  <c r="Q18" i="14"/>
  <c r="Q17" i="14"/>
  <c r="Q16" i="14"/>
  <c r="Q15" i="14"/>
  <c r="Q14" i="14"/>
  <c r="Q13" i="14"/>
  <c r="Q12" i="14"/>
  <c r="Q11" i="14"/>
  <c r="Q10" i="14"/>
  <c r="Q9" i="14"/>
  <c r="Q8" i="14"/>
  <c r="Q7" i="14"/>
  <c r="Q6" i="14"/>
  <c r="Q5" i="14"/>
  <c r="P40" i="14"/>
  <c r="P39" i="14"/>
  <c r="P38" i="14"/>
  <c r="P37" i="14"/>
  <c r="P36" i="14"/>
  <c r="P35" i="14"/>
  <c r="P34" i="14"/>
  <c r="P33" i="14"/>
  <c r="P32" i="14"/>
  <c r="P31" i="14"/>
  <c r="P30" i="14"/>
  <c r="P29" i="14"/>
  <c r="P28" i="14"/>
  <c r="P27" i="14"/>
  <c r="P26" i="14"/>
  <c r="P25" i="14"/>
  <c r="P24" i="14"/>
  <c r="P23" i="14"/>
  <c r="P22" i="14"/>
  <c r="P21" i="14"/>
  <c r="P20" i="14"/>
  <c r="P19" i="14"/>
  <c r="P18" i="14"/>
  <c r="P17" i="14"/>
  <c r="P16" i="14"/>
  <c r="P15" i="14"/>
  <c r="P14" i="14"/>
  <c r="P13" i="14"/>
  <c r="P12" i="14"/>
  <c r="P11" i="14"/>
  <c r="P10" i="14"/>
  <c r="P9" i="14"/>
  <c r="P8" i="14"/>
  <c r="P7" i="14"/>
  <c r="P6" i="14"/>
  <c r="P5" i="14"/>
  <c r="N41" i="14"/>
  <c r="A1" i="17" l="1"/>
  <c r="XFD40" i="17" l="1"/>
  <c r="B40" i="17"/>
  <c r="A40" i="17"/>
  <c r="XFD39" i="17"/>
  <c r="B39" i="17"/>
  <c r="A39" i="17"/>
  <c r="XFD38" i="17"/>
  <c r="B38" i="17"/>
  <c r="A38" i="17"/>
  <c r="XFD37" i="17"/>
  <c r="B37" i="17"/>
  <c r="A37" i="17"/>
  <c r="XFD36" i="17"/>
  <c r="B36" i="17"/>
  <c r="A36" i="17"/>
  <c r="XFD35" i="17"/>
  <c r="B35" i="17"/>
  <c r="A35" i="17"/>
  <c r="XFD34" i="17"/>
  <c r="B34" i="17"/>
  <c r="A34" i="17"/>
  <c r="XFD33" i="17"/>
  <c r="B33" i="17"/>
  <c r="A33" i="17"/>
  <c r="XFD32" i="17"/>
  <c r="B32" i="17"/>
  <c r="A32" i="17"/>
  <c r="XFD31" i="17"/>
  <c r="B31" i="17"/>
  <c r="A31" i="17"/>
  <c r="XFD30" i="17"/>
  <c r="B30" i="17"/>
  <c r="A30" i="17"/>
  <c r="XFD29" i="17"/>
  <c r="B29" i="17"/>
  <c r="A29" i="17"/>
  <c r="XFD28" i="17"/>
  <c r="B28" i="17"/>
  <c r="A28" i="17"/>
  <c r="XFD27" i="17"/>
  <c r="B27" i="17"/>
  <c r="A27" i="17"/>
  <c r="XFD26" i="17"/>
  <c r="B26" i="17"/>
  <c r="A26" i="17"/>
  <c r="XFD25" i="17"/>
  <c r="B25" i="17"/>
  <c r="A25" i="17"/>
  <c r="XFD24" i="17"/>
  <c r="B24" i="17"/>
  <c r="A24" i="17"/>
  <c r="XFD23" i="17"/>
  <c r="B23" i="17"/>
  <c r="A23" i="17"/>
  <c r="XFD22" i="17"/>
  <c r="B22" i="17"/>
  <c r="A22" i="17"/>
  <c r="XFD21" i="17"/>
  <c r="B21" i="17"/>
  <c r="A21" i="17"/>
  <c r="XFD20" i="17"/>
  <c r="B20" i="17"/>
  <c r="A20" i="17"/>
  <c r="XFD19" i="17"/>
  <c r="B19" i="17"/>
  <c r="A19" i="17"/>
  <c r="XFD18" i="17"/>
  <c r="B18" i="17"/>
  <c r="A18" i="17"/>
  <c r="XFD17" i="17"/>
  <c r="B17" i="17"/>
  <c r="A17" i="17"/>
  <c r="XFD16" i="17"/>
  <c r="B16" i="17"/>
  <c r="A16" i="17"/>
  <c r="XFD15" i="17"/>
  <c r="B15" i="17"/>
  <c r="A15" i="17"/>
  <c r="XFD14" i="17"/>
  <c r="B14" i="17"/>
  <c r="A14" i="17"/>
  <c r="XFD13" i="17"/>
  <c r="B13" i="17"/>
  <c r="A13" i="17"/>
  <c r="XFD12" i="17"/>
  <c r="B12" i="17"/>
  <c r="A12" i="17"/>
  <c r="XFD11" i="17"/>
  <c r="B11" i="17"/>
  <c r="A11" i="17"/>
  <c r="XFD10" i="17"/>
  <c r="B10" i="17"/>
  <c r="A10" i="17"/>
  <c r="XFD9" i="17"/>
  <c r="B9" i="17"/>
  <c r="A9" i="17"/>
  <c r="XFD8" i="17"/>
  <c r="B8" i="17"/>
  <c r="A8" i="17"/>
  <c r="XFD7" i="17"/>
  <c r="B7" i="17"/>
  <c r="A7" i="17"/>
  <c r="XFD6" i="17"/>
  <c r="B6" i="17"/>
  <c r="A6" i="17"/>
  <c r="XFD5" i="17"/>
  <c r="B5" i="17"/>
  <c r="A5" i="17"/>
  <c r="B4" i="17"/>
  <c r="A4" i="17"/>
  <c r="Q40" i="9" l="1"/>
  <c r="P40" i="9"/>
  <c r="R40" i="9" s="1"/>
  <c r="M40" i="9"/>
  <c r="P39" i="9"/>
  <c r="R39" i="9" s="1"/>
  <c r="M39" i="9"/>
  <c r="Q38" i="9"/>
  <c r="P38" i="9"/>
  <c r="R38" i="9" s="1"/>
  <c r="M38" i="9"/>
  <c r="P37" i="9"/>
  <c r="R37" i="9" s="1"/>
  <c r="M37" i="9"/>
  <c r="P36" i="9"/>
  <c r="R36" i="9" s="1"/>
  <c r="M36" i="9"/>
  <c r="P35" i="9"/>
  <c r="R35" i="9" s="1"/>
  <c r="M35" i="9"/>
  <c r="Q34"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R26" i="9"/>
  <c r="P26" i="9"/>
  <c r="Q26" i="9" s="1"/>
  <c r="M26" i="9"/>
  <c r="O26" i="9" s="1"/>
  <c r="Q25" i="9"/>
  <c r="P25" i="9"/>
  <c r="R25" i="9" s="1"/>
  <c r="M25" i="9"/>
  <c r="O25" i="9" s="1"/>
  <c r="R24" i="9"/>
  <c r="P24" i="9"/>
  <c r="Q24" i="9" s="1"/>
  <c r="M24" i="9"/>
  <c r="O24" i="9" s="1"/>
  <c r="P23" i="9"/>
  <c r="R23" i="9" s="1"/>
  <c r="M23" i="9"/>
  <c r="O23" i="9" s="1"/>
  <c r="Q22" i="9"/>
  <c r="P22" i="9"/>
  <c r="R22" i="9" s="1"/>
  <c r="M22" i="9"/>
  <c r="O22" i="9" s="1"/>
  <c r="Q21" i="9"/>
  <c r="P21" i="9"/>
  <c r="R21" i="9" s="1"/>
  <c r="M21" i="9"/>
  <c r="O21" i="9" s="1"/>
  <c r="P20" i="9"/>
  <c r="Q20" i="9" s="1"/>
  <c r="M20" i="9"/>
  <c r="O20" i="9" s="1"/>
  <c r="P19" i="9"/>
  <c r="R19" i="9" s="1"/>
  <c r="M19" i="9"/>
  <c r="O19" i="9" s="1"/>
  <c r="Q18" i="9"/>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R10" i="9"/>
  <c r="P10" i="9"/>
  <c r="Q10" i="9" s="1"/>
  <c r="M10" i="9"/>
  <c r="O10" i="9" s="1"/>
  <c r="Q9" i="9"/>
  <c r="P9" i="9"/>
  <c r="R9" i="9" s="1"/>
  <c r="M9" i="9"/>
  <c r="R8" i="9"/>
  <c r="P8" i="9"/>
  <c r="Q8" i="9" s="1"/>
  <c r="M8" i="9"/>
  <c r="O8" i="9" s="1"/>
  <c r="P7" i="9"/>
  <c r="M7" i="9"/>
  <c r="Q6" i="9"/>
  <c r="P6" i="9"/>
  <c r="M6" i="9"/>
  <c r="P5" i="9"/>
  <c r="Q5" i="9" s="1"/>
  <c r="R5" i="9" s="1"/>
  <c r="P4" i="9"/>
  <c r="M4" i="9"/>
  <c r="Q3" i="9"/>
  <c r="P3" i="9"/>
  <c r="N3" i="9"/>
  <c r="M5" i="9" s="1"/>
  <c r="N5" i="9" s="1"/>
  <c r="M3" i="9"/>
  <c r="XBT6" i="4"/>
  <c r="XBT7" i="4"/>
  <c r="XBT8" i="4"/>
  <c r="XBT9" i="4"/>
  <c r="XBT10" i="4"/>
  <c r="XBT11" i="4"/>
  <c r="XBT12" i="4"/>
  <c r="XBT13" i="4"/>
  <c r="XBT14" i="4"/>
  <c r="XBT15" i="4"/>
  <c r="XBT16" i="4"/>
  <c r="XBT17" i="4"/>
  <c r="XBT18" i="4"/>
  <c r="XBT19" i="4"/>
  <c r="XBT20" i="4"/>
  <c r="XBT21" i="4"/>
  <c r="XBT22" i="4"/>
  <c r="XBT23" i="4"/>
  <c r="XBT24" i="4"/>
  <c r="XBT25" i="4"/>
  <c r="XBT26" i="4"/>
  <c r="XBT27" i="4"/>
  <c r="XBT28" i="4"/>
  <c r="XBT29" i="4"/>
  <c r="XBT30" i="4"/>
  <c r="XBT31" i="4"/>
  <c r="XBT32" i="4"/>
  <c r="XBT33" i="4"/>
  <c r="XBT34" i="4"/>
  <c r="XBT35" i="4"/>
  <c r="XBT36" i="4"/>
  <c r="XBT37" i="4"/>
  <c r="XBT38" i="4"/>
  <c r="XBT39" i="4"/>
  <c r="XBT40" i="4"/>
  <c r="XBT5" i="4"/>
  <c r="A1" i="4"/>
  <c r="B30" i="4"/>
  <c r="O9" i="9" l="1"/>
  <c r="R6" i="9"/>
  <c r="Q14" i="9"/>
  <c r="Q17" i="9"/>
  <c r="Q30" i="9"/>
  <c r="Q33" i="9"/>
  <c r="Q36" i="9"/>
  <c r="Q13" i="9"/>
  <c r="R16" i="9"/>
  <c r="Q29" i="9"/>
  <c r="N26" i="9"/>
  <c r="S26" i="9" s="1"/>
  <c r="U26" i="9" s="1"/>
  <c r="N33" i="9"/>
  <c r="N34" i="9"/>
  <c r="N9" i="9"/>
  <c r="S9" i="9" s="1"/>
  <c r="U9" i="9" s="1"/>
  <c r="N10" i="9"/>
  <c r="S10" i="9" s="1"/>
  <c r="U10" i="9" s="1"/>
  <c r="N17" i="9"/>
  <c r="N18" i="9"/>
  <c r="N25" i="9"/>
  <c r="N13" i="9"/>
  <c r="N14" i="9"/>
  <c r="S14" i="9" s="1"/>
  <c r="U14" i="9" s="1"/>
  <c r="N29" i="9"/>
  <c r="N30" i="9"/>
  <c r="S30" i="9" s="1"/>
  <c r="U30" i="9" s="1"/>
  <c r="N6" i="9"/>
  <c r="S6" i="9" s="1"/>
  <c r="U6" i="9" s="1"/>
  <c r="N21" i="9"/>
  <c r="S21" i="9" s="1"/>
  <c r="U21" i="9" s="1"/>
  <c r="N22" i="9"/>
  <c r="R12" i="9"/>
  <c r="S17" i="9"/>
  <c r="U17" i="9" s="1"/>
  <c r="R20" i="9"/>
  <c r="S25" i="9"/>
  <c r="U25" i="9" s="1"/>
  <c r="R28" i="9"/>
  <c r="S33" i="9"/>
  <c r="U33" i="9" s="1"/>
  <c r="Q7" i="9"/>
  <c r="R7" i="9" s="1"/>
  <c r="N11" i="9"/>
  <c r="N12" i="9"/>
  <c r="S12" i="9" s="1"/>
  <c r="U12" i="9" s="1"/>
  <c r="Q15" i="9"/>
  <c r="N19" i="9"/>
  <c r="S19" i="9" s="1"/>
  <c r="U19" i="9" s="1"/>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S18" i="9"/>
  <c r="U18" i="9" s="1"/>
  <c r="S22" i="9"/>
  <c r="U22" i="9" s="1"/>
  <c r="S34" i="9"/>
  <c r="U34" i="9" s="1"/>
  <c r="O35" i="9"/>
  <c r="N35" i="9"/>
  <c r="O36" i="9"/>
  <c r="N36" i="9"/>
  <c r="S36" i="9" s="1"/>
  <c r="U36" i="9" s="1"/>
  <c r="O37" i="9"/>
  <c r="N37" i="9"/>
  <c r="O38" i="9"/>
  <c r="N38" i="9"/>
  <c r="S38" i="9" s="1"/>
  <c r="U38" i="9" s="1"/>
  <c r="O39" i="9"/>
  <c r="N39" i="9"/>
  <c r="O40" i="9"/>
  <c r="N40" i="9"/>
  <c r="S40" i="9" s="1"/>
  <c r="U40" i="9" s="1"/>
  <c r="Q3" i="14"/>
  <c r="R5" i="14" s="1"/>
  <c r="N3" i="14"/>
  <c r="P4" i="14"/>
  <c r="M4" i="14"/>
  <c r="P3" i="14"/>
  <c r="M3" i="14"/>
  <c r="M38" i="14" l="1"/>
  <c r="N38" i="14" s="1"/>
  <c r="M34" i="14"/>
  <c r="N34" i="14" s="1"/>
  <c r="M30" i="14"/>
  <c r="N30" i="14" s="1"/>
  <c r="M26" i="14"/>
  <c r="N26" i="14" s="1"/>
  <c r="M18" i="14"/>
  <c r="N18" i="14" s="1"/>
  <c r="M14" i="14"/>
  <c r="N14" i="14" s="1"/>
  <c r="M6" i="14"/>
  <c r="N6" i="14" s="1"/>
  <c r="M32" i="14"/>
  <c r="N32" i="14" s="1"/>
  <c r="M24" i="14"/>
  <c r="N24" i="14" s="1"/>
  <c r="M16" i="14"/>
  <c r="N16" i="14" s="1"/>
  <c r="M8" i="14"/>
  <c r="N8" i="14" s="1"/>
  <c r="M37" i="14"/>
  <c r="N37" i="14" s="1"/>
  <c r="M33" i="14"/>
  <c r="N33" i="14" s="1"/>
  <c r="M29" i="14"/>
  <c r="N29" i="14" s="1"/>
  <c r="M25" i="14"/>
  <c r="N25" i="14" s="1"/>
  <c r="M21" i="14"/>
  <c r="N21" i="14" s="1"/>
  <c r="M17" i="14"/>
  <c r="N17" i="14" s="1"/>
  <c r="M13" i="14"/>
  <c r="N13" i="14" s="1"/>
  <c r="M9" i="14"/>
  <c r="N9" i="14" s="1"/>
  <c r="M5" i="14"/>
  <c r="N5" i="14" s="1"/>
  <c r="M36" i="14"/>
  <c r="N36" i="14" s="1"/>
  <c r="M28" i="14"/>
  <c r="N28" i="14" s="1"/>
  <c r="M20" i="14"/>
  <c r="N20" i="14" s="1"/>
  <c r="M39" i="14"/>
  <c r="N39" i="14" s="1"/>
  <c r="M35" i="14"/>
  <c r="N35" i="14" s="1"/>
  <c r="M31" i="14"/>
  <c r="N31" i="14" s="1"/>
  <c r="M27" i="14"/>
  <c r="N27" i="14" s="1"/>
  <c r="M23" i="14"/>
  <c r="N23" i="14" s="1"/>
  <c r="M19" i="14"/>
  <c r="N19" i="14" s="1"/>
  <c r="M15" i="14"/>
  <c r="N15" i="14" s="1"/>
  <c r="M11" i="14"/>
  <c r="N11" i="14" s="1"/>
  <c r="M7" i="14"/>
  <c r="N7" i="14" s="1"/>
  <c r="M40" i="14"/>
  <c r="N40" i="14" s="1"/>
  <c r="M22" i="14"/>
  <c r="N22" i="14" s="1"/>
  <c r="M10" i="14"/>
  <c r="N10" i="14" s="1"/>
  <c r="M12" i="14"/>
  <c r="N12" i="14" s="1"/>
  <c r="O7" i="9"/>
  <c r="S35" i="9"/>
  <c r="U35" i="9" s="1"/>
  <c r="S11" i="9"/>
  <c r="U11" i="9" s="1"/>
  <c r="S29" i="9"/>
  <c r="U29" i="9" s="1"/>
  <c r="S13" i="9"/>
  <c r="U13" i="9" s="1"/>
  <c r="O6" i="9"/>
  <c r="S39" i="9"/>
  <c r="U39" i="9" s="1"/>
  <c r="S37" i="9"/>
  <c r="U37" i="9" s="1"/>
  <c r="S27" i="9"/>
  <c r="U27" i="9" s="1"/>
  <c r="R16" i="14"/>
  <c r="R28" i="14"/>
  <c r="R32" i="14"/>
  <c r="R36" i="14"/>
  <c r="R7" i="14"/>
  <c r="R11" i="14"/>
  <c r="R15" i="14"/>
  <c r="R23" i="14"/>
  <c r="R27" i="14"/>
  <c r="R31" i="14"/>
  <c r="R39" i="14"/>
  <c r="R20" i="14"/>
  <c r="R19" i="14"/>
  <c r="R35" i="14"/>
  <c r="R8" i="14"/>
  <c r="R6" i="14"/>
  <c r="R10" i="14"/>
  <c r="R14" i="14"/>
  <c r="R18" i="14"/>
  <c r="R22" i="14"/>
  <c r="R26" i="14"/>
  <c r="R30" i="14"/>
  <c r="R34" i="14"/>
  <c r="R38" i="14"/>
  <c r="R24" i="14"/>
  <c r="R9" i="14"/>
  <c r="R13" i="14"/>
  <c r="R17" i="14"/>
  <c r="R21" i="14"/>
  <c r="R25" i="14"/>
  <c r="R29" i="14"/>
  <c r="R33" i="14"/>
  <c r="R37" i="14"/>
  <c r="R40" i="14"/>
  <c r="O9" i="14"/>
  <c r="O12" i="14"/>
  <c r="U22" i="14"/>
  <c r="O31" i="14"/>
  <c r="O35" i="14"/>
  <c r="U38" i="14" l="1"/>
  <c r="O33" i="14"/>
  <c r="O19" i="14"/>
  <c r="O39" i="14"/>
  <c r="O18" i="14"/>
  <c r="O7" i="14"/>
  <c r="O24" i="14"/>
  <c r="O17" i="14"/>
  <c r="O5" i="14"/>
  <c r="U5" i="14" s="1"/>
  <c r="O25" i="14"/>
  <c r="O8" i="14"/>
  <c r="U14" i="14"/>
  <c r="R12" i="14"/>
  <c r="U28" i="14"/>
  <c r="U32" i="14"/>
  <c r="U27" i="14"/>
  <c r="U34" i="14"/>
  <c r="U26" i="14"/>
  <c r="U10" i="14"/>
  <c r="U30" i="14"/>
  <c r="U6" i="14"/>
  <c r="U23" i="14"/>
  <c r="U15" i="14"/>
  <c r="U11" i="14"/>
  <c r="O27" i="14"/>
  <c r="O11" i="14"/>
  <c r="O23" i="14"/>
  <c r="U40" i="14"/>
  <c r="U36" i="14"/>
  <c r="U20" i="14"/>
  <c r="U16" i="14"/>
  <c r="O15" i="14"/>
  <c r="U39" i="14"/>
  <c r="U35" i="14"/>
  <c r="U31" i="14"/>
  <c r="U19" i="14"/>
  <c r="U7" i="14"/>
  <c r="O32" i="14"/>
  <c r="O16" i="14"/>
  <c r="O34" i="14"/>
  <c r="O28" i="14"/>
  <c r="O30" i="14"/>
  <c r="O14" i="14"/>
  <c r="U37" i="14"/>
  <c r="U33" i="14"/>
  <c r="U29" i="14"/>
  <c r="U25" i="14"/>
  <c r="U21" i="14"/>
  <c r="U17" i="14"/>
  <c r="U13" i="14"/>
  <c r="U9" i="14"/>
  <c r="O37" i="14"/>
  <c r="O29" i="14"/>
  <c r="O21" i="14"/>
  <c r="O13" i="14"/>
  <c r="O38" i="14"/>
  <c r="O26" i="14"/>
  <c r="O10" i="14"/>
  <c r="O36" i="14"/>
  <c r="O20" i="14"/>
  <c r="O40" i="14"/>
  <c r="O22" i="14"/>
  <c r="O6" i="14"/>
  <c r="U18" i="14"/>
  <c r="U24" i="14"/>
  <c r="U12" i="14"/>
  <c r="U8"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<sst xmlns="http://schemas.openxmlformats.org/spreadsheetml/2006/main" count="223" uniqueCount="88">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</sst>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s>
  <fills count="11">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s>
  <borders count="7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164">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0" fontId="4" fillId="0" borderId="0" xfId="0" applyFont="1" applyAlignment="1">
      <alignment horizontal="center"/>
    </xf>
    <xf numFmtId="0" fontId="0" fillId="0" borderId="0" xfId="0" applyAlignment="1">
      <alignment horizontal="center" wrapText="1"/>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5"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39" xfId="5" applyBorder="1" applyAlignment="1" applyProtection="1">
      <alignment horizontal="center"/>
    </xf>
    <xf numFmtId="0" fontId="2" fillId="0" borderId="37" xfId="5" applyBorder="1" applyAlignment="1" applyProtection="1">
      <alignment horizontal="center"/>
    </xf>
    <xf numFmtId="0" fontId="2" fillId="0" borderId="5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4">
    <dxf>
      <fill>
        <patternFill>
          <bgColor rgb="FFFFCCFF"/>
        </patternFill>
      </fill>
    </dxf>
    <dxf>
      <fill>
        <patternFill patternType="none">
          <bgColor auto="1"/>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16384</xdr:col>
          <xdr:colOff>342900</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540109</xdr:colOff>
      <xdr:row>43</xdr:row>
      <xdr:rowOff>125167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558018"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928687</xdr:colOff>
      <xdr:row>43</xdr:row>
      <xdr:rowOff>122552</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1</xdr:col>
      <xdr:colOff>343061</xdr:colOff>
      <xdr:row>43</xdr:row>
      <xdr:rowOff>124960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453113</xdr:colOff>
      <xdr:row>43</xdr:row>
      <xdr:rowOff>126475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540109</xdr:colOff>
      <xdr:row>43</xdr:row>
      <xdr:rowOff>125167</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29493"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928687</xdr:colOff>
      <xdr:row>43</xdr:row>
      <xdr:rowOff>122552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1019336</xdr:colOff>
      <xdr:row>43</xdr:row>
      <xdr:rowOff>124960</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453113</xdr:colOff>
      <xdr:row>43</xdr:row>
      <xdr:rowOff>126475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182217</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4848" y="372717"/>
          <a:ext cx="4141304" cy="405848"/>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4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4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4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4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4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4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3">
  <autoFilter ref="A1:C18" xr:uid="{498E8186-74A7-4E6E-AE4A-D794E9C8B595}"/>
  <tableColumns count="3">
    <tableColumn id="1" xr3:uid="{5861E389-9F05-4056-B978-22BEA3DA1355}" name="Score" dataDxfId="12" dataCellStyle="Percent"/>
    <tableColumn id="2" xr3:uid="{9526CEDD-EB3F-43D3-A6D9-A4B81BDDC393}" name="Grade" dataDxfId="11"/>
    <tableColumn id="3" xr3:uid="{63910571-226F-4D3A-AE65-3CF97BD66F23}" name="Points" dataDxfId="1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zoomScaleNormal="100" workbookViewId="0">
      <selection activeCell="E18" sqref="E18"/>
    </sheetView>
  </sheetViews>
  <sheetFormatPr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x14ac:dyDescent="0.25">
      <c r="B2" s="127"/>
      <c r="C2" s="128"/>
      <c r="D2" s="128"/>
      <c r="E2" s="128"/>
      <c r="F2" s="129"/>
      <c r="H2" s="132"/>
      <c r="I2" s="132"/>
      <c r="J2" s="132"/>
      <c r="K2" s="132"/>
    </row>
    <row r="3" spans="2:11" ht="20.25" customHeight="1" thickBot="1" x14ac:dyDescent="0.35">
      <c r="B3" s="10"/>
      <c r="C3" s="142" t="s">
        <v>26</v>
      </c>
      <c r="D3" s="142"/>
      <c r="E3" s="142"/>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136" t="s">
        <v>66</v>
      </c>
      <c r="E5" s="137"/>
      <c r="F5" s="11"/>
      <c r="H5" s="26"/>
      <c r="I5" s="26"/>
      <c r="J5" s="26"/>
      <c r="K5" s="26"/>
    </row>
    <row r="6" spans="2:11" x14ac:dyDescent="0.25">
      <c r="B6" s="10"/>
      <c r="C6" s="14" t="s">
        <v>29</v>
      </c>
      <c r="D6" s="138">
        <v>2020</v>
      </c>
      <c r="E6" s="139"/>
      <c r="F6" s="11"/>
      <c r="H6" s="26"/>
      <c r="I6" s="26"/>
      <c r="J6" s="26"/>
      <c r="K6" s="26"/>
    </row>
    <row r="7" spans="2:11" x14ac:dyDescent="0.25">
      <c r="B7" s="10"/>
      <c r="C7" s="14" t="s">
        <v>25</v>
      </c>
      <c r="D7" s="140" t="s">
        <v>67</v>
      </c>
      <c r="E7" s="141"/>
      <c r="F7" s="11"/>
      <c r="H7" s="26"/>
      <c r="I7" s="26"/>
      <c r="J7" s="26"/>
      <c r="K7" s="26"/>
    </row>
    <row r="8" spans="2:11" x14ac:dyDescent="0.25">
      <c r="B8" s="10"/>
      <c r="C8" s="133" t="s">
        <v>22</v>
      </c>
      <c r="D8" s="134"/>
      <c r="E8" s="135"/>
      <c r="F8" s="11"/>
      <c r="H8" s="26"/>
      <c r="I8" s="26"/>
      <c r="J8" s="26"/>
      <c r="K8" s="26"/>
    </row>
    <row r="9" spans="2:11" x14ac:dyDescent="0.25">
      <c r="B9" s="10"/>
      <c r="C9" s="15" t="s">
        <v>19</v>
      </c>
      <c r="D9" s="15" t="s">
        <v>20</v>
      </c>
      <c r="E9" s="12" t="s">
        <v>23</v>
      </c>
      <c r="F9" s="11"/>
      <c r="H9" s="26"/>
      <c r="I9" s="26"/>
      <c r="J9" s="26"/>
      <c r="K9" s="26"/>
    </row>
    <row r="10" spans="2:11" x14ac:dyDescent="0.25">
      <c r="B10" s="10"/>
      <c r="C10" s="69"/>
      <c r="D10" s="70"/>
      <c r="E10" s="69"/>
      <c r="F10" s="11"/>
      <c r="H10" s="26"/>
      <c r="I10" s="26"/>
      <c r="J10" s="26"/>
      <c r="K10" s="26"/>
    </row>
    <row r="11" spans="2:11" x14ac:dyDescent="0.25">
      <c r="B11" s="10"/>
      <c r="C11" s="69"/>
      <c r="D11" s="70"/>
      <c r="E11" s="69"/>
      <c r="F11" s="11"/>
      <c r="H11" s="26"/>
      <c r="I11" s="26"/>
      <c r="J11" s="26"/>
      <c r="K11" s="26"/>
    </row>
    <row r="12" spans="2:11" x14ac:dyDescent="0.25">
      <c r="B12" s="10"/>
      <c r="C12" s="69"/>
      <c r="D12" s="70"/>
      <c r="E12" s="69"/>
      <c r="F12" s="11"/>
      <c r="H12" s="26"/>
      <c r="I12" s="26"/>
      <c r="J12" s="26"/>
      <c r="K12" s="26"/>
    </row>
    <row r="13" spans="2:11" x14ac:dyDescent="0.25">
      <c r="B13" s="10"/>
      <c r="C13" s="69"/>
      <c r="D13" s="70"/>
      <c r="E13" s="69"/>
      <c r="F13" s="11"/>
      <c r="H13" s="26"/>
      <c r="I13" s="26"/>
      <c r="J13" s="26"/>
      <c r="K13" s="26"/>
    </row>
    <row r="14" spans="2:11" x14ac:dyDescent="0.25">
      <c r="B14" s="10"/>
      <c r="C14" s="69"/>
      <c r="D14" s="70"/>
      <c r="E14" s="69"/>
      <c r="F14" s="11"/>
      <c r="H14" s="26"/>
      <c r="I14" s="26"/>
      <c r="J14" s="26"/>
      <c r="K14" s="26"/>
    </row>
    <row r="15" spans="2:11" x14ac:dyDescent="0.25">
      <c r="B15" s="10"/>
      <c r="C15" s="69"/>
      <c r="D15" s="70"/>
      <c r="E15" s="69"/>
      <c r="F15" s="11"/>
      <c r="H15" s="26"/>
      <c r="I15" s="26"/>
      <c r="J15" s="26"/>
      <c r="K15" s="26"/>
    </row>
    <row r="16" spans="2:11" x14ac:dyDescent="0.25">
      <c r="B16" s="10"/>
      <c r="C16" s="69"/>
      <c r="D16" s="70"/>
      <c r="E16" s="69"/>
      <c r="F16" s="11"/>
      <c r="H16" s="26"/>
      <c r="I16" s="26"/>
      <c r="J16" s="26"/>
      <c r="K16" s="26"/>
    </row>
    <row r="17" spans="2:11" x14ac:dyDescent="0.25">
      <c r="B17" s="10"/>
      <c r="C17" s="69"/>
      <c r="D17" s="70"/>
      <c r="E17" s="69"/>
      <c r="F17" s="11"/>
      <c r="H17" s="26"/>
      <c r="I17" s="26"/>
      <c r="J17" s="26"/>
      <c r="K17" s="26"/>
    </row>
    <row r="18" spans="2:11" x14ac:dyDescent="0.25">
      <c r="B18" s="10"/>
      <c r="C18" s="69"/>
      <c r="D18" s="70"/>
      <c r="E18" s="69"/>
      <c r="F18" s="11"/>
      <c r="H18" s="26"/>
      <c r="I18" s="26"/>
      <c r="J18" s="26"/>
      <c r="K18" s="26"/>
    </row>
    <row r="19" spans="2:11" x14ac:dyDescent="0.25">
      <c r="B19" s="10"/>
      <c r="C19" s="69"/>
      <c r="D19" s="70"/>
      <c r="E19" s="69"/>
      <c r="F19" s="11"/>
      <c r="H19" s="26"/>
      <c r="I19" s="26"/>
      <c r="J19" s="26"/>
      <c r="K19" s="26"/>
    </row>
    <row r="20" spans="2:11" x14ac:dyDescent="0.25">
      <c r="B20" s="10"/>
      <c r="C20" s="69"/>
      <c r="D20" s="70"/>
      <c r="E20" s="69"/>
      <c r="F20" s="11"/>
      <c r="H20" s="26"/>
      <c r="I20" s="26"/>
      <c r="J20" s="26"/>
      <c r="K20" s="26"/>
    </row>
    <row r="21" spans="2:11" x14ac:dyDescent="0.25">
      <c r="B21" s="10"/>
      <c r="C21" s="69"/>
      <c r="D21" s="70"/>
      <c r="E21" s="69"/>
      <c r="F21" s="11"/>
      <c r="H21" s="26"/>
      <c r="I21" s="26"/>
      <c r="J21" s="26"/>
      <c r="K21" s="26"/>
    </row>
    <row r="22" spans="2:11" x14ac:dyDescent="0.25">
      <c r="B22" s="10"/>
      <c r="C22" s="69"/>
      <c r="D22" s="70"/>
      <c r="E22" s="69"/>
      <c r="F22" s="11"/>
      <c r="H22" s="26"/>
      <c r="I22" s="26"/>
      <c r="J22" s="26"/>
      <c r="K22" s="26"/>
    </row>
    <row r="23" spans="2:11" x14ac:dyDescent="0.25">
      <c r="B23" s="10"/>
      <c r="C23" s="69"/>
      <c r="D23" s="70"/>
      <c r="E23" s="69"/>
      <c r="F23" s="11"/>
      <c r="H23" s="26"/>
      <c r="I23" s="26"/>
      <c r="J23" s="26"/>
      <c r="K23" s="26"/>
    </row>
    <row r="24" spans="2:11" x14ac:dyDescent="0.25">
      <c r="B24" s="10"/>
      <c r="C24" s="69"/>
      <c r="D24" s="70"/>
      <c r="E24" s="69"/>
      <c r="F24" s="11"/>
      <c r="H24" s="26"/>
      <c r="I24" s="26"/>
      <c r="J24" s="26"/>
      <c r="K24" s="26"/>
    </row>
    <row r="25" spans="2:11" x14ac:dyDescent="0.25">
      <c r="B25" s="10"/>
      <c r="C25" s="69"/>
      <c r="D25" s="70"/>
      <c r="E25" s="69"/>
      <c r="F25" s="11"/>
      <c r="H25" s="49"/>
      <c r="I25" s="131"/>
      <c r="J25" s="131"/>
      <c r="K25" s="131"/>
    </row>
    <row r="26" spans="2:11" x14ac:dyDescent="0.25">
      <c r="B26" s="10"/>
      <c r="C26" s="69"/>
      <c r="D26" s="70"/>
      <c r="E26" s="69"/>
      <c r="F26" s="11"/>
      <c r="H26" s="50"/>
      <c r="I26" s="132"/>
      <c r="J26" s="132"/>
      <c r="K26" s="132"/>
    </row>
    <row r="27" spans="2:11" ht="15" customHeight="1" x14ac:dyDescent="0.25">
      <c r="B27" s="10"/>
      <c r="C27" s="69"/>
      <c r="D27" s="70"/>
      <c r="E27" s="69"/>
      <c r="F27" s="11"/>
      <c r="H27" s="130"/>
      <c r="I27" s="48"/>
      <c r="J27" s="48"/>
      <c r="K27" s="48"/>
    </row>
    <row r="28" spans="2:11" x14ac:dyDescent="0.25">
      <c r="B28" s="10"/>
      <c r="C28" s="69"/>
      <c r="D28" s="70"/>
      <c r="E28" s="69"/>
      <c r="F28" s="11"/>
      <c r="H28" s="130"/>
      <c r="I28" s="48"/>
      <c r="J28" s="48"/>
      <c r="K28" s="48"/>
    </row>
    <row r="29" spans="2:11" x14ac:dyDescent="0.25">
      <c r="B29" s="10"/>
      <c r="C29" s="69"/>
      <c r="D29" s="70"/>
      <c r="E29" s="69"/>
      <c r="F29" s="11"/>
      <c r="H29" s="130"/>
      <c r="I29" s="48"/>
      <c r="J29" s="48"/>
      <c r="K29" s="48"/>
    </row>
    <row r="30" spans="2:11" x14ac:dyDescent="0.25">
      <c r="B30" s="10"/>
      <c r="C30" s="69"/>
      <c r="D30" s="70"/>
      <c r="E30" s="69"/>
      <c r="F30" s="11"/>
      <c r="H30" s="26"/>
      <c r="I30" s="26"/>
      <c r="J30" s="26"/>
      <c r="K30" s="26"/>
    </row>
    <row r="31" spans="2:11" x14ac:dyDescent="0.25">
      <c r="B31" s="10"/>
      <c r="C31" s="69"/>
      <c r="D31" s="70"/>
      <c r="E31" s="69"/>
      <c r="F31" s="11"/>
      <c r="H31" s="26"/>
      <c r="I31" s="26"/>
      <c r="J31" s="26"/>
      <c r="K31" s="26"/>
    </row>
    <row r="32" spans="2:11" x14ac:dyDescent="0.25">
      <c r="B32" s="10"/>
      <c r="C32" s="69"/>
      <c r="D32" s="70"/>
      <c r="E32" s="69"/>
      <c r="F32" s="11"/>
    </row>
    <row r="33" spans="2:11" x14ac:dyDescent="0.25">
      <c r="B33" s="10"/>
      <c r="C33" s="69"/>
      <c r="D33" s="70"/>
      <c r="E33" s="69"/>
      <c r="F33" s="11"/>
      <c r="H33" s="51" t="s">
        <v>27</v>
      </c>
      <c r="I33" s="143" t="s">
        <v>35</v>
      </c>
      <c r="J33" s="144"/>
      <c r="K33" s="145"/>
    </row>
    <row r="34" spans="2:11" ht="15.75" customHeight="1" x14ac:dyDescent="0.25">
      <c r="B34" s="10"/>
      <c r="C34" s="69"/>
      <c r="D34" s="70"/>
      <c r="E34" s="69"/>
      <c r="F34" s="11"/>
      <c r="H34" s="20" t="s">
        <v>28</v>
      </c>
      <c r="I34" s="146" t="s">
        <v>37</v>
      </c>
      <c r="J34" s="147"/>
      <c r="K34" s="148"/>
    </row>
    <row r="35" spans="2:11" x14ac:dyDescent="0.25">
      <c r="B35" s="10"/>
      <c r="C35" s="69"/>
      <c r="D35" s="52"/>
      <c r="E35" s="29"/>
      <c r="F35" s="11"/>
      <c r="H35" s="115" t="s">
        <v>36</v>
      </c>
      <c r="I35" s="118" t="s">
        <v>38</v>
      </c>
      <c r="J35" s="119"/>
      <c r="K35" s="120"/>
    </row>
    <row r="36" spans="2:11" x14ac:dyDescent="0.25">
      <c r="B36" s="10"/>
      <c r="C36" s="69"/>
      <c r="D36" s="30"/>
      <c r="E36" s="29"/>
      <c r="F36" s="11"/>
      <c r="H36" s="116"/>
      <c r="I36" s="121"/>
      <c r="J36" s="122"/>
      <c r="K36" s="123"/>
    </row>
    <row r="37" spans="2:11" x14ac:dyDescent="0.25">
      <c r="B37" s="10"/>
      <c r="C37" s="69"/>
      <c r="D37" s="53"/>
      <c r="E37" s="29"/>
      <c r="F37" s="11"/>
      <c r="H37" s="117"/>
      <c r="I37" s="124"/>
      <c r="J37" s="125"/>
      <c r="K37" s="126"/>
    </row>
    <row r="38" spans="2:11" x14ac:dyDescent="0.25">
      <c r="B38" s="10"/>
      <c r="C38" s="69"/>
      <c r="D38" s="53"/>
      <c r="E38" s="29"/>
      <c r="F38" s="11"/>
      <c r="H38" s="26"/>
      <c r="I38" s="26"/>
      <c r="J38" s="26"/>
      <c r="K38" s="26"/>
    </row>
    <row r="39" spans="2:11" x14ac:dyDescent="0.25">
      <c r="B39" s="10"/>
      <c r="C39" s="69"/>
      <c r="D39" s="53"/>
      <c r="E39" s="29"/>
      <c r="F39" s="11"/>
      <c r="H39" s="26"/>
      <c r="I39" s="26"/>
      <c r="J39" s="26"/>
      <c r="K39" s="26"/>
    </row>
    <row r="40" spans="2:11" x14ac:dyDescent="0.25">
      <c r="B40" s="10"/>
      <c r="C40" s="69"/>
      <c r="D40" s="53"/>
      <c r="E40" s="69"/>
      <c r="F40" s="11"/>
      <c r="H40" s="26"/>
      <c r="I40" s="26"/>
      <c r="J40" s="26"/>
      <c r="K40" s="26"/>
    </row>
    <row r="41" spans="2:11" x14ac:dyDescent="0.25">
      <c r="B41" s="10"/>
      <c r="C41" s="69"/>
      <c r="D41" s="53"/>
      <c r="E41" s="69"/>
      <c r="F41" s="11"/>
      <c r="H41" s="26"/>
      <c r="I41" s="26"/>
      <c r="J41" s="26"/>
      <c r="K41" s="26"/>
    </row>
    <row r="42" spans="2:11" x14ac:dyDescent="0.25">
      <c r="B42" s="10"/>
      <c r="C42" s="69"/>
      <c r="D42" s="53"/>
      <c r="E42" s="69"/>
      <c r="F42" s="11"/>
    </row>
    <row r="43" spans="2:11" x14ac:dyDescent="0.25">
      <c r="B43" s="10"/>
      <c r="C43" s="69"/>
      <c r="D43" s="53"/>
      <c r="E43" s="69"/>
      <c r="F43" s="11"/>
    </row>
    <row r="44" spans="2:11" x14ac:dyDescent="0.25">
      <c r="B44" s="10"/>
      <c r="C44" s="69"/>
      <c r="D44" s="53"/>
      <c r="E44" s="69"/>
      <c r="F44" s="11"/>
    </row>
    <row r="45" spans="2:11" x14ac:dyDescent="0.25">
      <c r="B45" s="10"/>
      <c r="C45" s="69"/>
      <c r="D45" s="53"/>
      <c r="E45" s="69"/>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XBT81"/>
  <sheetViews>
    <sheetView tabSelected="1" zoomScaleNormal="100" workbookViewId="0">
      <pane xSplit="2" ySplit="4" topLeftCell="C5" activePane="bottomRight" state="frozenSplit"/>
      <selection pane="topRight" activeCell="AE1" sqref="AE1"/>
      <selection pane="bottomLeft" activeCell="A23" sqref="A23"/>
      <selection pane="bottomRight" activeCell="A24" sqref="A24"/>
    </sheetView>
  </sheetViews>
  <sheetFormatPr defaultColWidth="0" defaultRowHeight="15" zeroHeight="1" x14ac:dyDescent="0.25"/>
  <cols>
    <col min="1" max="1" width="10.140625" style="61" bestFit="1" customWidth="1"/>
    <col min="2" max="2" width="15.7109375" style="61" customWidth="1"/>
    <col min="3" max="16252" width="0" style="62" hidden="1"/>
    <col min="16253" max="16384" width="9.140625" style="62" hidden="1"/>
  </cols>
  <sheetData>
    <row r="1" spans="1:2 16296:16296" s="60" customFormat="1" x14ac:dyDescent="0.25">
      <c r="A1" s="149" t="str">
        <f>_xlfn.CONCAT("Year ",ClassInformation!D4,ClassInformation!E4," ",ClassInformation!D5," - ","Semester 1 ",ClassInformation!D6)</f>
        <v>Year 7A [Subject] - Semester 1 2020</v>
      </c>
      <c r="B1" s="150"/>
    </row>
    <row r="2" spans="1:2 16296:16296" s="60" customFormat="1" x14ac:dyDescent="0.25">
      <c r="A2" s="149"/>
      <c r="B2" s="150"/>
    </row>
    <row r="3" spans="1:2 16296:16296" s="60" customFormat="1" x14ac:dyDescent="0.25">
      <c r="A3" s="151" t="s">
        <v>21</v>
      </c>
      <c r="B3" s="152"/>
    </row>
    <row r="4" spans="1:2 16296:16296" s="60" customFormat="1" ht="15.75" thickBot="1" x14ac:dyDescent="0.3">
      <c r="A4" s="107" t="str">
        <f>ClassInformation!C9</f>
        <v>Last Name</v>
      </c>
      <c r="B4" s="57" t="str">
        <f>ClassInformation!D9</f>
        <v>First Name</v>
      </c>
    </row>
    <row r="5" spans="1:2 16296:16296" s="28" customFormat="1" x14ac:dyDescent="0.25">
      <c r="A5" s="112" t="str">
        <f>IF(ISBLANK(ClassInformation!C10),"ZZZZZ",ClassInformation!C10)</f>
        <v>ZZZZZ</v>
      </c>
      <c r="B5" s="59" t="str">
        <f>IF(ISBLANK(ClassInformation!D10),"ZZZZZ",ClassInformation!D10)</f>
        <v>ZZZZZ</v>
      </c>
      <c r="XBT5" s="28">
        <f>ClassInformation!E10</f>
        <v>0</v>
      </c>
    </row>
    <row r="6" spans="1:2 16296:16296" s="28" customFormat="1" x14ac:dyDescent="0.25">
      <c r="A6" s="58" t="str">
        <f>IF(ISBLANK(ClassInformation!C11),"ZZZZZ",ClassInformation!C11)</f>
        <v>ZZZZZ</v>
      </c>
      <c r="B6" s="59" t="str">
        <f>IF(ISBLANK(ClassInformation!D11),"ZZZZZ",ClassInformation!D11)</f>
        <v>ZZZZZ</v>
      </c>
      <c r="XBT6" s="28">
        <f>ClassInformation!E11</f>
        <v>0</v>
      </c>
    </row>
    <row r="7" spans="1:2 16296:16296" s="28" customFormat="1" x14ac:dyDescent="0.25">
      <c r="A7" s="58" t="str">
        <f>IF(ISBLANK(ClassInformation!C12),"ZZZZZ",ClassInformation!C12)</f>
        <v>ZZZZZ</v>
      </c>
      <c r="B7" s="59" t="str">
        <f>IF(ISBLANK(ClassInformation!D12),"ZZZZZ",ClassInformation!D12)</f>
        <v>ZZZZZ</v>
      </c>
      <c r="XBT7" s="28">
        <f>ClassInformation!E12</f>
        <v>0</v>
      </c>
    </row>
    <row r="8" spans="1:2 16296:16296" s="28" customFormat="1" x14ac:dyDescent="0.25">
      <c r="A8" s="58" t="str">
        <f>IF(ISBLANK(ClassInformation!C13),"ZZZZZ",ClassInformation!C13)</f>
        <v>ZZZZZ</v>
      </c>
      <c r="B8" s="59" t="str">
        <f>IF(ISBLANK(ClassInformation!D13),"ZZZZZ",ClassInformation!D13)</f>
        <v>ZZZZZ</v>
      </c>
      <c r="XBT8" s="28">
        <f>ClassInformation!E13</f>
        <v>0</v>
      </c>
    </row>
    <row r="9" spans="1:2 16296:16296" s="28" customFormat="1" x14ac:dyDescent="0.25">
      <c r="A9" s="58" t="str">
        <f>IF(ISBLANK(ClassInformation!C14),"ZZZZZ",ClassInformation!C14)</f>
        <v>ZZZZZ</v>
      </c>
      <c r="B9" s="59" t="str">
        <f>IF(ISBLANK(ClassInformation!D14),"ZZZZZ",ClassInformation!D14)</f>
        <v>ZZZZZ</v>
      </c>
      <c r="XBT9" s="28">
        <f>ClassInformation!E14</f>
        <v>0</v>
      </c>
    </row>
    <row r="10" spans="1:2 16296:16296" s="28" customFormat="1" x14ac:dyDescent="0.25">
      <c r="A10" s="58" t="str">
        <f>IF(ISBLANK(ClassInformation!C15),"ZZZZZ",ClassInformation!C15)</f>
        <v>ZZZZZ</v>
      </c>
      <c r="B10" s="59" t="str">
        <f>IF(ISBLANK(ClassInformation!D15),"ZZZZZ",ClassInformation!D15)</f>
        <v>ZZZZZ</v>
      </c>
      <c r="XBT10" s="28">
        <f>ClassInformation!E15</f>
        <v>0</v>
      </c>
    </row>
    <row r="11" spans="1:2 16296:16296" s="28" customFormat="1" x14ac:dyDescent="0.25">
      <c r="A11" s="58" t="str">
        <f>IF(ISBLANK(ClassInformation!C16),"ZZZZZ",ClassInformation!C16)</f>
        <v>ZZZZZ</v>
      </c>
      <c r="B11" s="59" t="str">
        <f>IF(ISBLANK(ClassInformation!D16),"ZZZZZ",ClassInformation!D16)</f>
        <v>ZZZZZ</v>
      </c>
      <c r="XBT11" s="28">
        <f>ClassInformation!E16</f>
        <v>0</v>
      </c>
    </row>
    <row r="12" spans="1:2 16296:16296" s="28" customFormat="1" x14ac:dyDescent="0.25">
      <c r="A12" s="58" t="str">
        <f>IF(ISBLANK(ClassInformation!C17),"ZZZZZ",ClassInformation!C17)</f>
        <v>ZZZZZ</v>
      </c>
      <c r="B12" s="59" t="str">
        <f>IF(ISBLANK(ClassInformation!D17),"ZZZZZ",ClassInformation!D17)</f>
        <v>ZZZZZ</v>
      </c>
      <c r="XBT12" s="28">
        <f>ClassInformation!E17</f>
        <v>0</v>
      </c>
    </row>
    <row r="13" spans="1:2 16296:16296" s="28" customFormat="1" x14ac:dyDescent="0.25">
      <c r="A13" s="58" t="str">
        <f>IF(ISBLANK(ClassInformation!C18),"ZZZZZ",ClassInformation!C18)</f>
        <v>ZZZZZ</v>
      </c>
      <c r="B13" s="59" t="str">
        <f>IF(ISBLANK(ClassInformation!D18),"ZZZZZ",ClassInformation!D18)</f>
        <v>ZZZZZ</v>
      </c>
      <c r="XBT13" s="28">
        <f>ClassInformation!E18</f>
        <v>0</v>
      </c>
    </row>
    <row r="14" spans="1:2 16296:16296" s="28" customFormat="1" x14ac:dyDescent="0.25">
      <c r="A14" s="58" t="str">
        <f>IF(ISBLANK(ClassInformation!C19),"ZZZZZ",ClassInformation!C19)</f>
        <v>ZZZZZ</v>
      </c>
      <c r="B14" s="59" t="str">
        <f>IF(ISBLANK(ClassInformation!D19),"ZZZZZ",ClassInformation!D19)</f>
        <v>ZZZZZ</v>
      </c>
      <c r="XBT14" s="28">
        <f>ClassInformation!E19</f>
        <v>0</v>
      </c>
    </row>
    <row r="15" spans="1:2 16296:16296" s="28" customFormat="1" x14ac:dyDescent="0.25">
      <c r="A15" s="58" t="str">
        <f>IF(ISBLANK(ClassInformation!C20),"ZZZZZ",ClassInformation!C20)</f>
        <v>ZZZZZ</v>
      </c>
      <c r="B15" s="59" t="str">
        <f>IF(ISBLANK(ClassInformation!D20),"ZZZZZ",ClassInformation!D20)</f>
        <v>ZZZZZ</v>
      </c>
      <c r="XBT15" s="28">
        <f>ClassInformation!E20</f>
        <v>0</v>
      </c>
    </row>
    <row r="16" spans="1:2 16296:16296" s="28" customFormat="1" x14ac:dyDescent="0.25">
      <c r="A16" s="58" t="str">
        <f>IF(ISBLANK(ClassInformation!C21),"ZZZZZ",ClassInformation!C21)</f>
        <v>ZZZZZ</v>
      </c>
      <c r="B16" s="59" t="str">
        <f>IF(ISBLANK(ClassInformation!D21),"ZZZZZ",ClassInformation!D21)</f>
        <v>ZZZZZ</v>
      </c>
      <c r="XBT16" s="28">
        <f>ClassInformation!E21</f>
        <v>0</v>
      </c>
    </row>
    <row r="17" spans="1:2 16296:16296" s="28" customFormat="1" x14ac:dyDescent="0.25">
      <c r="A17" s="58" t="str">
        <f>IF(ISBLANK(ClassInformation!C22),"ZZZZZ",ClassInformation!C22)</f>
        <v>ZZZZZ</v>
      </c>
      <c r="B17" s="59" t="str">
        <f>IF(ISBLANK(ClassInformation!D22),"ZZZZZ",ClassInformation!D22)</f>
        <v>ZZZZZ</v>
      </c>
      <c r="XBT17" s="28">
        <f>ClassInformation!E22</f>
        <v>0</v>
      </c>
    </row>
    <row r="18" spans="1:2 16296:16296" s="28" customFormat="1" x14ac:dyDescent="0.25">
      <c r="A18" s="58" t="str">
        <f>IF(ISBLANK(ClassInformation!C23),"ZZZZZ",ClassInformation!C23)</f>
        <v>ZZZZZ</v>
      </c>
      <c r="B18" s="59" t="str">
        <f>IF(ISBLANK(ClassInformation!D23),"ZZZZZ",ClassInformation!D23)</f>
        <v>ZZZZZ</v>
      </c>
      <c r="XBT18" s="28">
        <f>ClassInformation!E23</f>
        <v>0</v>
      </c>
    </row>
    <row r="19" spans="1:2 16296:16296" s="28" customFormat="1" x14ac:dyDescent="0.25">
      <c r="A19" s="58" t="str">
        <f>IF(ISBLANK(ClassInformation!C24),"ZZZZZ",ClassInformation!C24)</f>
        <v>ZZZZZ</v>
      </c>
      <c r="B19" s="59" t="str">
        <f>IF(ISBLANK(ClassInformation!D24),"ZZZZZ",ClassInformation!D24)</f>
        <v>ZZZZZ</v>
      </c>
      <c r="XBT19" s="28">
        <f>ClassInformation!E24</f>
        <v>0</v>
      </c>
    </row>
    <row r="20" spans="1:2 16296:16296" s="28" customFormat="1" x14ac:dyDescent="0.25">
      <c r="A20" s="58" t="str">
        <f>IF(ISBLANK(ClassInformation!C25),"ZZZZZ",ClassInformation!C25)</f>
        <v>ZZZZZ</v>
      </c>
      <c r="B20" s="59" t="str">
        <f>IF(ISBLANK(ClassInformation!D25),"ZZZZZ",ClassInformation!D25)</f>
        <v>ZZZZZ</v>
      </c>
      <c r="XBT20" s="28">
        <f>ClassInformation!E25</f>
        <v>0</v>
      </c>
    </row>
    <row r="21" spans="1:2 16296:16296" s="28" customFormat="1" x14ac:dyDescent="0.25">
      <c r="A21" s="58" t="str">
        <f>IF(ISBLANK(ClassInformation!C26),"ZZZZZ",ClassInformation!C26)</f>
        <v>ZZZZZ</v>
      </c>
      <c r="B21" s="59" t="str">
        <f>IF(ISBLANK(ClassInformation!D26),"ZZZZZ",ClassInformation!D26)</f>
        <v>ZZZZZ</v>
      </c>
      <c r="XBT21" s="28">
        <f>ClassInformation!E26</f>
        <v>0</v>
      </c>
    </row>
    <row r="22" spans="1:2 16296:16296" s="28" customFormat="1" x14ac:dyDescent="0.25">
      <c r="A22" s="58" t="str">
        <f>IF(ISBLANK(ClassInformation!C27),"ZZZZZ",ClassInformation!C27)</f>
        <v>ZZZZZ</v>
      </c>
      <c r="B22" s="59" t="str">
        <f>IF(ISBLANK(ClassInformation!D27),"ZZZZZ",ClassInformation!D27)</f>
        <v>ZZZZZ</v>
      </c>
      <c r="XBT22" s="28">
        <f>ClassInformation!E27</f>
        <v>0</v>
      </c>
    </row>
    <row r="23" spans="1:2 16296:16296" s="28" customFormat="1" x14ac:dyDescent="0.25">
      <c r="A23" s="58" t="str">
        <f>IF(ISBLANK(ClassInformation!C28),"ZZZZZ",ClassInformation!C28)</f>
        <v>ZZZZZ</v>
      </c>
      <c r="B23" s="59" t="str">
        <f>IF(ISBLANK(ClassInformation!D28),"ZZZZZ",ClassInformation!D28)</f>
        <v>ZZZZZ</v>
      </c>
      <c r="XBT23" s="28">
        <f>ClassInformation!E28</f>
        <v>0</v>
      </c>
    </row>
    <row r="24" spans="1:2 16296:16296" s="28" customFormat="1" x14ac:dyDescent="0.25">
      <c r="A24" s="58" t="str">
        <f>IF(ISBLANK(ClassInformation!C29),"ZZZZZ",ClassInformation!C29)</f>
        <v>ZZZZZ</v>
      </c>
      <c r="B24" s="59" t="str">
        <f>IF(ISBLANK(ClassInformation!D29),"ZZZZZ",ClassInformation!D29)</f>
        <v>ZZZZZ</v>
      </c>
      <c r="XBT24" s="28">
        <f>ClassInformation!E29</f>
        <v>0</v>
      </c>
    </row>
    <row r="25" spans="1:2 16296:16296" s="28" customFormat="1" x14ac:dyDescent="0.25">
      <c r="A25" s="58" t="str">
        <f>IF(ISBLANK(ClassInformation!C30),"ZZZZZ",ClassInformation!C30)</f>
        <v>ZZZZZ</v>
      </c>
      <c r="B25" s="59" t="str">
        <f>IF(ISBLANK(ClassInformation!D30),"ZZZZZ",ClassInformation!D30)</f>
        <v>ZZZZZ</v>
      </c>
      <c r="XBT25" s="28">
        <f>ClassInformation!E30</f>
        <v>0</v>
      </c>
    </row>
    <row r="26" spans="1:2 16296:16296" s="28" customFormat="1" x14ac:dyDescent="0.25">
      <c r="A26" s="58" t="str">
        <f>IF(ISBLANK(ClassInformation!C31),"ZZZZZ",ClassInformation!C31)</f>
        <v>ZZZZZ</v>
      </c>
      <c r="B26" s="59" t="str">
        <f>IF(ISBLANK(ClassInformation!D31),"ZZZZZ",ClassInformation!D31)</f>
        <v>ZZZZZ</v>
      </c>
      <c r="XBT26" s="28">
        <f>ClassInformation!E31</f>
        <v>0</v>
      </c>
    </row>
    <row r="27" spans="1:2 16296:16296" s="28" customFormat="1" x14ac:dyDescent="0.25">
      <c r="A27" s="58" t="str">
        <f>IF(ISBLANK(ClassInformation!C32),"ZZZZZ",ClassInformation!C32)</f>
        <v>ZZZZZ</v>
      </c>
      <c r="B27" s="59" t="str">
        <f>IF(ISBLANK(ClassInformation!D32),"ZZZZZ",ClassInformation!D32)</f>
        <v>ZZZZZ</v>
      </c>
      <c r="XBT27" s="28">
        <f>ClassInformation!E32</f>
        <v>0</v>
      </c>
    </row>
    <row r="28" spans="1:2 16296:16296" s="28" customFormat="1" x14ac:dyDescent="0.25">
      <c r="A28" s="58" t="str">
        <f>IF(ISBLANK(ClassInformation!C33),"ZZZZZ",ClassInformation!C33)</f>
        <v>ZZZZZ</v>
      </c>
      <c r="B28" s="59" t="str">
        <f>IF(ISBLANK(ClassInformation!D33),"ZZZZZ",ClassInformation!D33)</f>
        <v>ZZZZZ</v>
      </c>
      <c r="XBT28" s="28">
        <f>ClassInformation!E33</f>
        <v>0</v>
      </c>
    </row>
    <row r="29" spans="1:2 16296:16296" s="28" customFormat="1" x14ac:dyDescent="0.25">
      <c r="A29" s="58" t="str">
        <f>IF(ISBLANK(ClassInformation!C34),"ZZZZZ",ClassInformation!C34)</f>
        <v>ZZZZZ</v>
      </c>
      <c r="B29" s="59" t="str">
        <f>IF(ISBLANK(ClassInformation!D34),"ZZZZZ",ClassInformation!D34)</f>
        <v>ZZZZZ</v>
      </c>
      <c r="XBT29" s="28">
        <f>ClassInformation!E34</f>
        <v>0</v>
      </c>
    </row>
    <row r="30" spans="1:2 16296:16296" s="28" customFormat="1" x14ac:dyDescent="0.25">
      <c r="A30" s="58" t="str">
        <f>IF(ISBLANK(ClassInformation!C35),"ZZZZZ",ClassInformation!C35)</f>
        <v>ZZZZZ</v>
      </c>
      <c r="B30" s="59" t="str">
        <f>IF(ISBLANK(ClassInformation!D35),"ZZZZZ",ClassInformation!D35)</f>
        <v>ZZZZZ</v>
      </c>
      <c r="XBT30" s="28">
        <f>ClassInformation!E35</f>
        <v>0</v>
      </c>
    </row>
    <row r="31" spans="1:2 16296:16296" s="28" customFormat="1" x14ac:dyDescent="0.25">
      <c r="A31" s="58" t="str">
        <f>IF(ISBLANK(ClassInformation!C36),"ZZZZZ",ClassInformation!C36)</f>
        <v>ZZZZZ</v>
      </c>
      <c r="B31" s="59" t="str">
        <f>IF(ISBLANK(ClassInformation!D36),"ZZZZZ",ClassInformation!D36)</f>
        <v>ZZZZZ</v>
      </c>
      <c r="XBT31" s="28">
        <f>ClassInformation!E36</f>
        <v>0</v>
      </c>
    </row>
    <row r="32" spans="1:2 16296:16296" s="28" customFormat="1" x14ac:dyDescent="0.25">
      <c r="A32" s="58" t="str">
        <f>IF(ISBLANK(ClassInformation!C37),"ZZZZZ",ClassInformation!C37)</f>
        <v>ZZZZZ</v>
      </c>
      <c r="B32" s="59" t="str">
        <f>IF(ISBLANK(ClassInformation!D37),"ZZZZZ",ClassInformation!D37)</f>
        <v>ZZZZZ</v>
      </c>
      <c r="XBT32" s="28">
        <f>ClassInformation!E37</f>
        <v>0</v>
      </c>
    </row>
    <row r="33" spans="1:2 16098:16296" s="28" customFormat="1" x14ac:dyDescent="0.25">
      <c r="A33" s="58" t="str">
        <f>IF(ISBLANK(ClassInformation!C38),"ZZZZZ",ClassInformation!C38)</f>
        <v>ZZZZZ</v>
      </c>
      <c r="B33" s="59" t="str">
        <f>IF(ISBLANK(ClassInformation!D38),"ZZZZZ",ClassInformation!D38)</f>
        <v>ZZZZZ</v>
      </c>
      <c r="XBT33" s="28">
        <f>ClassInformation!E38</f>
        <v>0</v>
      </c>
    </row>
    <row r="34" spans="1:2 16098:16296" s="28" customFormat="1" x14ac:dyDescent="0.25">
      <c r="A34" s="58" t="str">
        <f>IF(ISBLANK(ClassInformation!C39),"ZZZZZ",ClassInformation!C39)</f>
        <v>ZZZZZ</v>
      </c>
      <c r="B34" s="59" t="str">
        <f>IF(ISBLANK(ClassInformation!D39),"ZZZZZ",ClassInformation!D39)</f>
        <v>ZZZZZ</v>
      </c>
      <c r="XBT34" s="28">
        <f>ClassInformation!E39</f>
        <v>0</v>
      </c>
    </row>
    <row r="35" spans="1:2 16098:16296" s="28" customFormat="1" x14ac:dyDescent="0.25">
      <c r="A35" s="58" t="str">
        <f>IF(ISBLANK(ClassInformation!C40),"ZZZZZ",ClassInformation!C40)</f>
        <v>ZZZZZ</v>
      </c>
      <c r="B35" s="59" t="str">
        <f>IF(ISBLANK(ClassInformation!D40),"ZZZZZ",ClassInformation!D40)</f>
        <v>ZZZZZ</v>
      </c>
      <c r="XBT35" s="28">
        <f>ClassInformation!E40</f>
        <v>0</v>
      </c>
    </row>
    <row r="36" spans="1:2 16098:16296" s="28" customFormat="1" x14ac:dyDescent="0.25">
      <c r="A36" s="58" t="str">
        <f>IF(ISBLANK(ClassInformation!C41),"ZZZZZ",ClassInformation!C41)</f>
        <v>ZZZZZ</v>
      </c>
      <c r="B36" s="59" t="str">
        <f>IF(ISBLANK(ClassInformation!D41),"ZZZZZ",ClassInformation!D41)</f>
        <v>ZZZZZ</v>
      </c>
      <c r="XBT36" s="28">
        <f>ClassInformation!E41</f>
        <v>0</v>
      </c>
    </row>
    <row r="37" spans="1:2 16098:16296" s="28" customFormat="1" x14ac:dyDescent="0.25">
      <c r="A37" s="58" t="str">
        <f>IF(ISBLANK(ClassInformation!C42),"ZZZZZ",ClassInformation!C42)</f>
        <v>ZZZZZ</v>
      </c>
      <c r="B37" s="59" t="str">
        <f>IF(ISBLANK(ClassInformation!D42),"ZZZZZ",ClassInformation!D42)</f>
        <v>ZZZZZ</v>
      </c>
      <c r="XBT37" s="28">
        <f>ClassInformation!E42</f>
        <v>0</v>
      </c>
    </row>
    <row r="38" spans="1:2 16098:16296" s="28" customFormat="1" x14ac:dyDescent="0.25">
      <c r="A38" s="58" t="str">
        <f>IF(ISBLANK(ClassInformation!C43),"ZZZZZ",ClassInformation!C43)</f>
        <v>ZZZZZ</v>
      </c>
      <c r="B38" s="59" t="str">
        <f>IF(ISBLANK(ClassInformation!D43),"ZZZZZ",ClassInformation!D43)</f>
        <v>ZZZZZ</v>
      </c>
      <c r="XBT38" s="28">
        <f>ClassInformation!E43</f>
        <v>0</v>
      </c>
    </row>
    <row r="39" spans="1:2 16098:16296" s="28" customFormat="1" x14ac:dyDescent="0.25">
      <c r="A39" s="58" t="str">
        <f>IF(ISBLANK(ClassInformation!C44),"ZZZZZ",ClassInformation!C44)</f>
        <v>ZZZZZ</v>
      </c>
      <c r="B39" s="59" t="str">
        <f>IF(ISBLANK(ClassInformation!D44),"ZZZZZ",ClassInformation!D44)</f>
        <v>ZZZZZ</v>
      </c>
      <c r="XBT39" s="28">
        <f>ClassInformation!E44</f>
        <v>0</v>
      </c>
    </row>
    <row r="40" spans="1:2 16098:16296" s="28" customFormat="1" ht="15.75" thickBot="1" x14ac:dyDescent="0.3">
      <c r="A40" s="105" t="str">
        <f>IF(ISBLANK(ClassInformation!C45),"ZZZZZ",ClassInformation!C45)</f>
        <v>ZZZZZ</v>
      </c>
      <c r="B40" s="106" t="str">
        <f>IF(ISBLANK(ClassInformation!D45),"ZZZZZ",ClassInformation!D45)</f>
        <v>ZZZZZ</v>
      </c>
      <c r="XBT40" s="28">
        <f>ClassInformation!E45</f>
        <v>0</v>
      </c>
    </row>
    <row r="41" spans="1:2 16098:16296" x14ac:dyDescent="0.25">
      <c r="WUD41" s="28"/>
    </row>
    <row r="42" spans="1:2 16098:16296" x14ac:dyDescent="0.25"/>
    <row r="43" spans="1:2 16098:16296" x14ac:dyDescent="0.25"/>
    <row r="44" spans="1:2 16098:16296" x14ac:dyDescent="0.25"/>
    <row r="45" spans="1:2 16098:16296" hidden="1" x14ac:dyDescent="0.25"/>
    <row r="46" spans="1:2 16098:16296" hidden="1" x14ac:dyDescent="0.25">
      <c r="A46" s="28"/>
    </row>
    <row r="47" spans="1:2 16098:16296" hidden="1" x14ac:dyDescent="0.25">
      <c r="A47" s="28"/>
    </row>
    <row r="48" spans="1:2 16098:16296" hidden="1" x14ac:dyDescent="0.25">
      <c r="A48" s="28"/>
    </row>
    <row r="49" spans="1:1" hidden="1" x14ac:dyDescent="0.25">
      <c r="A49" s="28"/>
    </row>
    <row r="50" spans="1:1" hidden="1" x14ac:dyDescent="0.25">
      <c r="A50" s="28"/>
    </row>
    <row r="51" spans="1:1" hidden="1" x14ac:dyDescent="0.25">
      <c r="A51" s="28"/>
    </row>
    <row r="52" spans="1:1" hidden="1" x14ac:dyDescent="0.25">
      <c r="A52" s="28"/>
    </row>
    <row r="53" spans="1:1" hidden="1" x14ac:dyDescent="0.25">
      <c r="A53" s="28"/>
    </row>
    <row r="54" spans="1:1" hidden="1" x14ac:dyDescent="0.25">
      <c r="A54" s="28"/>
    </row>
    <row r="55" spans="1:1" hidden="1" x14ac:dyDescent="0.25">
      <c r="A55" s="28"/>
    </row>
    <row r="56" spans="1:1" hidden="1" x14ac:dyDescent="0.25">
      <c r="A56" s="28"/>
    </row>
    <row r="57" spans="1:1" hidden="1" x14ac:dyDescent="0.25">
      <c r="A57" s="28"/>
    </row>
    <row r="58" spans="1:1" hidden="1" x14ac:dyDescent="0.25">
      <c r="A58" s="28"/>
    </row>
    <row r="59" spans="1:1" hidden="1" x14ac:dyDescent="0.25">
      <c r="A59" s="28"/>
    </row>
    <row r="60" spans="1:1" hidden="1" x14ac:dyDescent="0.25">
      <c r="A60" s="28"/>
    </row>
    <row r="61" spans="1:1" hidden="1" x14ac:dyDescent="0.25">
      <c r="A61" s="28"/>
    </row>
    <row r="62" spans="1:1" hidden="1" x14ac:dyDescent="0.25">
      <c r="A62" s="28"/>
    </row>
    <row r="63" spans="1:1" hidden="1" x14ac:dyDescent="0.25">
      <c r="A63" s="28"/>
    </row>
    <row r="64" spans="1:1" hidden="1" x14ac:dyDescent="0.25">
      <c r="A64" s="28"/>
    </row>
    <row r="65" spans="1:1" hidden="1" x14ac:dyDescent="0.25">
      <c r="A65" s="28"/>
    </row>
    <row r="66" spans="1:1" hidden="1" x14ac:dyDescent="0.25">
      <c r="A66" s="28"/>
    </row>
    <row r="67" spans="1:1" hidden="1" x14ac:dyDescent="0.25">
      <c r="A67" s="28"/>
    </row>
    <row r="68" spans="1:1" hidden="1" x14ac:dyDescent="0.25">
      <c r="A68" s="28"/>
    </row>
    <row r="69" spans="1:1" hidden="1" x14ac:dyDescent="0.25">
      <c r="A69" s="28"/>
    </row>
    <row r="70" spans="1:1" hidden="1" x14ac:dyDescent="0.25">
      <c r="A70" s="28"/>
    </row>
    <row r="71" spans="1:1" hidden="1" x14ac:dyDescent="0.25">
      <c r="A71" s="28"/>
    </row>
    <row r="72" spans="1:1" hidden="1" x14ac:dyDescent="0.25">
      <c r="A72" s="28"/>
    </row>
    <row r="73" spans="1:1" hidden="1" x14ac:dyDescent="0.25">
      <c r="A73" s="28"/>
    </row>
    <row r="74" spans="1:1" hidden="1" x14ac:dyDescent="0.25">
      <c r="A74" s="28"/>
    </row>
    <row r="75" spans="1:1" hidden="1" x14ac:dyDescent="0.25">
      <c r="A75" s="28"/>
    </row>
    <row r="76" spans="1:1" hidden="1" x14ac:dyDescent="0.25">
      <c r="A76" s="28"/>
    </row>
    <row r="77" spans="1:1" hidden="1" x14ac:dyDescent="0.25">
      <c r="A77" s="28"/>
    </row>
    <row r="78" spans="1:1" hidden="1" x14ac:dyDescent="0.25">
      <c r="A78" s="28"/>
    </row>
    <row r="79" spans="1:1" hidden="1" x14ac:dyDescent="0.25">
      <c r="A79" s="28"/>
    </row>
    <row r="80" spans="1:1" hidden="1" x14ac:dyDescent="0.25">
      <c r="A80" s="28"/>
    </row>
    <row r="81" spans="1:1" hidden="1" x14ac:dyDescent="0.25">
      <c r="A81" s="28"/>
    </row>
  </sheetData>
  <sheetProtection sheet="1" formatCells="0" formatColumns="0" formatRows="0" insertColumns="0" deleteColumns="0"/>
  <sortState ref="A5:XBT40">
    <sortCondition ref="A5"/>
  </sortState>
  <mergeCells count="2">
    <mergeCell ref="A1:B2"/>
    <mergeCell ref="A3:B3"/>
  </mergeCells>
  <conditionalFormatting sqref="A5:B40">
    <cfRule type="expression" dxfId="9" priority="966">
      <formula>$XBT5="N"</formula>
    </cfRule>
    <cfRule type="expression" dxfId="8" priority="967">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2</xdr:col>
                    <xdr:colOff>0</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FD81"/>
  <sheetViews>
    <sheetView zoomScaleNormal="100" workbookViewId="0">
      <pane xSplit="2" ySplit="4" topLeftCell="C11" activePane="bottomRight" state="frozenSplit"/>
      <selection pane="topRight" activeCell="AE1" sqref="AE1"/>
      <selection pane="bottomLeft" activeCell="A23" sqref="A23"/>
      <selection pane="bottomRight" activeCell="B26" sqref="B26"/>
    </sheetView>
  </sheetViews>
  <sheetFormatPr defaultColWidth="0" defaultRowHeight="15" customHeight="1" zeroHeight="1" x14ac:dyDescent="0.25"/>
  <cols>
    <col min="1" max="2" width="15.7109375" style="61" customWidth="1"/>
    <col min="3" max="46" width="9.140625" style="62" hidden="1"/>
    <col min="47" max="16340" width="0" style="62" hidden="1"/>
    <col min="16341" max="16384" width="9.140625" style="62" hidden="1"/>
  </cols>
  <sheetData>
    <row r="1" spans="1:2 16384:16384" s="60" customFormat="1" x14ac:dyDescent="0.25">
      <c r="A1" s="149" t="str">
        <f>_xlfn.CONCAT("Year ",ClassInformation!D4,ClassInformation!E4," ",ClassInformation!D5," - ","Semester 2 ",ClassInformation!D6)</f>
        <v>Year 7A [Subject] - Semester 2 2020</v>
      </c>
      <c r="B1" s="150"/>
    </row>
    <row r="2" spans="1:2 16384:16384" s="60" customFormat="1" x14ac:dyDescent="0.25">
      <c r="A2" s="149"/>
      <c r="B2" s="150"/>
    </row>
    <row r="3" spans="1:2 16384:16384" s="60" customFormat="1" x14ac:dyDescent="0.25">
      <c r="A3" s="151" t="s">
        <v>21</v>
      </c>
      <c r="B3" s="152"/>
    </row>
    <row r="4" spans="1:2 16384:16384" s="60" customFormat="1" ht="15.75" thickBot="1" x14ac:dyDescent="0.3">
      <c r="A4" s="107" t="str">
        <f>ClassInformation!C9</f>
        <v>Last Name</v>
      </c>
      <c r="B4" s="57" t="str">
        <f>ClassInformation!D9</f>
        <v>First Name</v>
      </c>
    </row>
    <row r="5" spans="1:2 16384:16384" s="28" customFormat="1" x14ac:dyDescent="0.25">
      <c r="A5" s="112" t="str">
        <f>IF(ISBLANK(ClassInformation!C10),"ZZZZZ",ClassInformation!C10)</f>
        <v>ZZZZZ</v>
      </c>
      <c r="B5" s="59" t="str">
        <f>IF(ISBLANK(ClassInformation!D10),"ZZZZZ",ClassInformation!D10)</f>
        <v>ZZZZZ</v>
      </c>
      <c r="XFD5" s="28">
        <f>ClassInformation!E10</f>
        <v>0</v>
      </c>
    </row>
    <row r="6" spans="1:2 16384:16384" s="28" customFormat="1" x14ac:dyDescent="0.25">
      <c r="A6" s="58" t="str">
        <f>IF(ISBLANK(ClassInformation!C11),"ZZZZZ",ClassInformation!C11)</f>
        <v>ZZZZZ</v>
      </c>
      <c r="B6" s="59" t="str">
        <f>IF(ISBLANK(ClassInformation!D11),"ZZZZZ",ClassInformation!D11)</f>
        <v>ZZZZZ</v>
      </c>
      <c r="XFD6" s="28">
        <f>ClassInformation!E11</f>
        <v>0</v>
      </c>
    </row>
    <row r="7" spans="1:2 16384:16384" s="28" customFormat="1" x14ac:dyDescent="0.25">
      <c r="A7" s="58" t="str">
        <f>IF(ISBLANK(ClassInformation!C12),"ZZZZZ",ClassInformation!C12)</f>
        <v>ZZZZZ</v>
      </c>
      <c r="B7" s="59" t="str">
        <f>IF(ISBLANK(ClassInformation!D12),"ZZZZZ",ClassInformation!D12)</f>
        <v>ZZZZZ</v>
      </c>
      <c r="XFD7" s="28">
        <f>ClassInformation!E12</f>
        <v>0</v>
      </c>
    </row>
    <row r="8" spans="1:2 16384:16384" s="28" customFormat="1" x14ac:dyDescent="0.25">
      <c r="A8" s="58" t="str">
        <f>IF(ISBLANK(ClassInformation!C13),"ZZZZZ",ClassInformation!C13)</f>
        <v>ZZZZZ</v>
      </c>
      <c r="B8" s="59" t="str">
        <f>IF(ISBLANK(ClassInformation!D13),"ZZZZZ",ClassInformation!D13)</f>
        <v>ZZZZZ</v>
      </c>
      <c r="XFD8" s="28">
        <f>ClassInformation!E13</f>
        <v>0</v>
      </c>
    </row>
    <row r="9" spans="1:2 16384:16384" s="28" customFormat="1" x14ac:dyDescent="0.25">
      <c r="A9" s="58" t="str">
        <f>IF(ISBLANK(ClassInformation!C14),"ZZZZZ",ClassInformation!C14)</f>
        <v>ZZZZZ</v>
      </c>
      <c r="B9" s="59" t="str">
        <f>IF(ISBLANK(ClassInformation!D14),"ZZZZZ",ClassInformation!D14)</f>
        <v>ZZZZZ</v>
      </c>
      <c r="XFD9" s="28">
        <f>ClassInformation!E14</f>
        <v>0</v>
      </c>
    </row>
    <row r="10" spans="1:2 16384:16384" s="28" customFormat="1" x14ac:dyDescent="0.25">
      <c r="A10" s="58" t="str">
        <f>IF(ISBLANK(ClassInformation!C15),"ZZZZZ",ClassInformation!C15)</f>
        <v>ZZZZZ</v>
      </c>
      <c r="B10" s="59" t="str">
        <f>IF(ISBLANK(ClassInformation!D15),"ZZZZZ",ClassInformation!D15)</f>
        <v>ZZZZZ</v>
      </c>
      <c r="XFD10" s="28">
        <f>ClassInformation!E15</f>
        <v>0</v>
      </c>
    </row>
    <row r="11" spans="1:2 16384:16384" s="28" customFormat="1" x14ac:dyDescent="0.25">
      <c r="A11" s="58" t="str">
        <f>IF(ISBLANK(ClassInformation!C16),"ZZZZZ",ClassInformation!C16)</f>
        <v>ZZZZZ</v>
      </c>
      <c r="B11" s="59" t="str">
        <f>IF(ISBLANK(ClassInformation!D16),"ZZZZZ",ClassInformation!D16)</f>
        <v>ZZZZZ</v>
      </c>
      <c r="XFD11" s="28">
        <f>ClassInformation!E16</f>
        <v>0</v>
      </c>
    </row>
    <row r="12" spans="1:2 16384:16384" s="28" customFormat="1" x14ac:dyDescent="0.25">
      <c r="A12" s="58" t="str">
        <f>IF(ISBLANK(ClassInformation!C17),"ZZZZZ",ClassInformation!C17)</f>
        <v>ZZZZZ</v>
      </c>
      <c r="B12" s="59" t="str">
        <f>IF(ISBLANK(ClassInformation!D17),"ZZZZZ",ClassInformation!D17)</f>
        <v>ZZZZZ</v>
      </c>
      <c r="XFD12" s="28">
        <f>ClassInformation!E17</f>
        <v>0</v>
      </c>
    </row>
    <row r="13" spans="1:2 16384:16384" s="28" customFormat="1" x14ac:dyDescent="0.25">
      <c r="A13" s="58" t="str">
        <f>IF(ISBLANK(ClassInformation!C18),"ZZZZZ",ClassInformation!C18)</f>
        <v>ZZZZZ</v>
      </c>
      <c r="B13" s="59" t="str">
        <f>IF(ISBLANK(ClassInformation!D18),"ZZZZZ",ClassInformation!D18)</f>
        <v>ZZZZZ</v>
      </c>
      <c r="XFD13" s="28">
        <f>ClassInformation!E18</f>
        <v>0</v>
      </c>
    </row>
    <row r="14" spans="1:2 16384:16384" s="28" customFormat="1" x14ac:dyDescent="0.25">
      <c r="A14" s="58" t="str">
        <f>IF(ISBLANK(ClassInformation!C19),"ZZZZZ",ClassInformation!C19)</f>
        <v>ZZZZZ</v>
      </c>
      <c r="B14" s="59" t="str">
        <f>IF(ISBLANK(ClassInformation!D19),"ZZZZZ",ClassInformation!D19)</f>
        <v>ZZZZZ</v>
      </c>
      <c r="XFD14" s="28">
        <f>ClassInformation!E19</f>
        <v>0</v>
      </c>
    </row>
    <row r="15" spans="1:2 16384:16384" s="28" customFormat="1" x14ac:dyDescent="0.25">
      <c r="A15" s="58" t="str">
        <f>IF(ISBLANK(ClassInformation!C20),"ZZZZZ",ClassInformation!C20)</f>
        <v>ZZZZZ</v>
      </c>
      <c r="B15" s="59" t="str">
        <f>IF(ISBLANK(ClassInformation!D20),"ZZZZZ",ClassInformation!D20)</f>
        <v>ZZZZZ</v>
      </c>
      <c r="XFD15" s="28">
        <f>ClassInformation!E20</f>
        <v>0</v>
      </c>
    </row>
    <row r="16" spans="1:2 16384:16384" s="28" customFormat="1" x14ac:dyDescent="0.25">
      <c r="A16" s="58" t="str">
        <f>IF(ISBLANK(ClassInformation!C21),"ZZZZZ",ClassInformation!C21)</f>
        <v>ZZZZZ</v>
      </c>
      <c r="B16" s="59" t="str">
        <f>IF(ISBLANK(ClassInformation!D21),"ZZZZZ",ClassInformation!D21)</f>
        <v>ZZZZZ</v>
      </c>
      <c r="XFD16" s="28">
        <f>ClassInformation!E21</f>
        <v>0</v>
      </c>
    </row>
    <row r="17" spans="1:2 16384:16384" s="28" customFormat="1" x14ac:dyDescent="0.25">
      <c r="A17" s="58" t="str">
        <f>IF(ISBLANK(ClassInformation!C22),"ZZZZZ",ClassInformation!C22)</f>
        <v>ZZZZZ</v>
      </c>
      <c r="B17" s="59" t="str">
        <f>IF(ISBLANK(ClassInformation!D22),"ZZZZZ",ClassInformation!D22)</f>
        <v>ZZZZZ</v>
      </c>
      <c r="XFD17" s="28">
        <f>ClassInformation!E22</f>
        <v>0</v>
      </c>
    </row>
    <row r="18" spans="1:2 16384:16384" s="28" customFormat="1" x14ac:dyDescent="0.25">
      <c r="A18" s="58" t="str">
        <f>IF(ISBLANK(ClassInformation!C23),"ZZZZZ",ClassInformation!C23)</f>
        <v>ZZZZZ</v>
      </c>
      <c r="B18" s="59" t="str">
        <f>IF(ISBLANK(ClassInformation!D23),"ZZZZZ",ClassInformation!D23)</f>
        <v>ZZZZZ</v>
      </c>
      <c r="XFD18" s="28">
        <f>ClassInformation!E23</f>
        <v>0</v>
      </c>
    </row>
    <row r="19" spans="1:2 16384:16384" s="28" customFormat="1" x14ac:dyDescent="0.25">
      <c r="A19" s="58" t="str">
        <f>IF(ISBLANK(ClassInformation!C24),"ZZZZZ",ClassInformation!C24)</f>
        <v>ZZZZZ</v>
      </c>
      <c r="B19" s="59" t="str">
        <f>IF(ISBLANK(ClassInformation!D24),"ZZZZZ",ClassInformation!D24)</f>
        <v>ZZZZZ</v>
      </c>
      <c r="XFD19" s="28">
        <f>ClassInformation!E24</f>
        <v>0</v>
      </c>
    </row>
    <row r="20" spans="1:2 16384:16384" s="28" customFormat="1" x14ac:dyDescent="0.25">
      <c r="A20" s="58" t="str">
        <f>IF(ISBLANK(ClassInformation!C25),"ZZZZZ",ClassInformation!C25)</f>
        <v>ZZZZZ</v>
      </c>
      <c r="B20" s="59" t="str">
        <f>IF(ISBLANK(ClassInformation!D25),"ZZZZZ",ClassInformation!D25)</f>
        <v>ZZZZZ</v>
      </c>
      <c r="XFD20" s="28">
        <f>ClassInformation!E25</f>
        <v>0</v>
      </c>
    </row>
    <row r="21" spans="1:2 16384:16384" s="28" customFormat="1" x14ac:dyDescent="0.25">
      <c r="A21" s="58" t="str">
        <f>IF(ISBLANK(ClassInformation!C26),"ZZZZZ",ClassInformation!C26)</f>
        <v>ZZZZZ</v>
      </c>
      <c r="B21" s="59" t="str">
        <f>IF(ISBLANK(ClassInformation!D26),"ZZZZZ",ClassInformation!D26)</f>
        <v>ZZZZZ</v>
      </c>
      <c r="XFD21" s="28">
        <f>ClassInformation!E26</f>
        <v>0</v>
      </c>
    </row>
    <row r="22" spans="1:2 16384:16384" s="28" customFormat="1" x14ac:dyDescent="0.25">
      <c r="A22" s="58" t="str">
        <f>IF(ISBLANK(ClassInformation!C27),"ZZZZZ",ClassInformation!C27)</f>
        <v>ZZZZZ</v>
      </c>
      <c r="B22" s="59" t="str">
        <f>IF(ISBLANK(ClassInformation!D27),"ZZZZZ",ClassInformation!D27)</f>
        <v>ZZZZZ</v>
      </c>
      <c r="XFD22" s="28">
        <f>ClassInformation!E27</f>
        <v>0</v>
      </c>
    </row>
    <row r="23" spans="1:2 16384:16384" s="28" customFormat="1" x14ac:dyDescent="0.25">
      <c r="A23" s="58" t="str">
        <f>IF(ISBLANK(ClassInformation!C28),"ZZZZZ",ClassInformation!C28)</f>
        <v>ZZZZZ</v>
      </c>
      <c r="B23" s="59" t="str">
        <f>IF(ISBLANK(ClassInformation!D28),"ZZZZZ",ClassInformation!D28)</f>
        <v>ZZZZZ</v>
      </c>
      <c r="XFD23" s="28">
        <f>ClassInformation!E28</f>
        <v>0</v>
      </c>
    </row>
    <row r="24" spans="1:2 16384:16384" s="28" customFormat="1" x14ac:dyDescent="0.25">
      <c r="A24" s="58" t="str">
        <f>IF(ISBLANK(ClassInformation!C29),"ZZZZZ",ClassInformation!C29)</f>
        <v>ZZZZZ</v>
      </c>
      <c r="B24" s="59" t="str">
        <f>IF(ISBLANK(ClassInformation!D29),"ZZZZZ",ClassInformation!D29)</f>
        <v>ZZZZZ</v>
      </c>
      <c r="XFD24" s="28">
        <f>ClassInformation!E29</f>
        <v>0</v>
      </c>
    </row>
    <row r="25" spans="1:2 16384:16384" s="28" customFormat="1" x14ac:dyDescent="0.25">
      <c r="A25" s="58" t="str">
        <f>IF(ISBLANK(ClassInformation!C30),"ZZZZZ",ClassInformation!C30)</f>
        <v>ZZZZZ</v>
      </c>
      <c r="B25" s="59" t="str">
        <f>IF(ISBLANK(ClassInformation!D30),"ZZZZZ",ClassInformation!D30)</f>
        <v>ZZZZZ</v>
      </c>
      <c r="XFD25" s="28">
        <f>ClassInformation!E30</f>
        <v>0</v>
      </c>
    </row>
    <row r="26" spans="1:2 16384:16384" s="28" customFormat="1" x14ac:dyDescent="0.25">
      <c r="A26" s="58" t="str">
        <f>IF(ISBLANK(ClassInformation!C31),"ZZZZZ",ClassInformation!C31)</f>
        <v>ZZZZZ</v>
      </c>
      <c r="B26" s="59" t="str">
        <f>IF(ISBLANK(ClassInformation!D31),"ZZZZZ",ClassInformation!D31)</f>
        <v>ZZZZZ</v>
      </c>
      <c r="XFD26" s="28">
        <f>ClassInformation!E31</f>
        <v>0</v>
      </c>
    </row>
    <row r="27" spans="1:2 16384:16384" s="28" customFormat="1" x14ac:dyDescent="0.25">
      <c r="A27" s="58" t="str">
        <f>IF(ISBLANK(ClassInformation!C32),"ZZZZZ",ClassInformation!C32)</f>
        <v>ZZZZZ</v>
      </c>
      <c r="B27" s="59" t="str">
        <f>IF(ISBLANK(ClassInformation!D32),"ZZZZZ",ClassInformation!D32)</f>
        <v>ZZZZZ</v>
      </c>
      <c r="XFD27" s="28">
        <f>ClassInformation!E32</f>
        <v>0</v>
      </c>
    </row>
    <row r="28" spans="1:2 16384:16384" s="28" customFormat="1" x14ac:dyDescent="0.25">
      <c r="A28" s="58" t="str">
        <f>IF(ISBLANK(ClassInformation!C33),"ZZZZZ",ClassInformation!C33)</f>
        <v>ZZZZZ</v>
      </c>
      <c r="B28" s="59" t="str">
        <f>IF(ISBLANK(ClassInformation!D33),"ZZZZZ",ClassInformation!D33)</f>
        <v>ZZZZZ</v>
      </c>
      <c r="XFD28" s="28">
        <f>ClassInformation!E33</f>
        <v>0</v>
      </c>
    </row>
    <row r="29" spans="1:2 16384:16384" s="28" customFormat="1" x14ac:dyDescent="0.25">
      <c r="A29" s="58" t="str">
        <f>IF(ISBLANK(ClassInformation!C34),"ZZZZZ",ClassInformation!C34)</f>
        <v>ZZZZZ</v>
      </c>
      <c r="B29" s="59" t="str">
        <f>IF(ISBLANK(ClassInformation!D34),"ZZZZZ",ClassInformation!D34)</f>
        <v>ZZZZZ</v>
      </c>
      <c r="XFD29" s="28">
        <f>ClassInformation!E34</f>
        <v>0</v>
      </c>
    </row>
    <row r="30" spans="1:2 16384:16384" s="28" customFormat="1" x14ac:dyDescent="0.25">
      <c r="A30" s="58" t="str">
        <f>IF(ISBLANK(ClassInformation!C35),"ZZZZZ",ClassInformation!C35)</f>
        <v>ZZZZZ</v>
      </c>
      <c r="B30" s="59" t="str">
        <f>IF(ISBLANK(ClassInformation!D35),"ZZZZZ",ClassInformation!D35)</f>
        <v>ZZZZZ</v>
      </c>
      <c r="XFD30" s="28">
        <f>ClassInformation!E35</f>
        <v>0</v>
      </c>
    </row>
    <row r="31" spans="1:2 16384:16384" s="28" customFormat="1" x14ac:dyDescent="0.25">
      <c r="A31" s="58" t="str">
        <f>IF(ISBLANK(ClassInformation!C36),"ZZZZZ",ClassInformation!C36)</f>
        <v>ZZZZZ</v>
      </c>
      <c r="B31" s="59" t="str">
        <f>IF(ISBLANK(ClassInformation!D36),"ZZZZZ",ClassInformation!D36)</f>
        <v>ZZZZZ</v>
      </c>
      <c r="XFD31" s="28">
        <f>ClassInformation!E36</f>
        <v>0</v>
      </c>
    </row>
    <row r="32" spans="1:2 16384:16384" s="28" customFormat="1" x14ac:dyDescent="0.25">
      <c r="A32" s="58" t="str">
        <f>IF(ISBLANK(ClassInformation!C37),"ZZZZZ",ClassInformation!C37)</f>
        <v>ZZZZZ</v>
      </c>
      <c r="B32" s="59" t="str">
        <f>IF(ISBLANK(ClassInformation!D37),"ZZZZZ",ClassInformation!D37)</f>
        <v>ZZZZZ</v>
      </c>
      <c r="XFD32" s="28">
        <f>ClassInformation!E37</f>
        <v>0</v>
      </c>
    </row>
    <row r="33" spans="1:2 16186:16384" s="28" customFormat="1" x14ac:dyDescent="0.25">
      <c r="A33" s="58" t="str">
        <f>IF(ISBLANK(ClassInformation!C38),"ZZZZZ",ClassInformation!C38)</f>
        <v>ZZZZZ</v>
      </c>
      <c r="B33" s="59" t="str">
        <f>IF(ISBLANK(ClassInformation!D38),"ZZZZZ",ClassInformation!D38)</f>
        <v>ZZZZZ</v>
      </c>
      <c r="XFD33" s="28">
        <f>ClassInformation!E38</f>
        <v>0</v>
      </c>
    </row>
    <row r="34" spans="1:2 16186:16384" s="28" customFormat="1" x14ac:dyDescent="0.25">
      <c r="A34" s="58" t="str">
        <f>IF(ISBLANK(ClassInformation!C39),"ZZZZZ",ClassInformation!C39)</f>
        <v>ZZZZZ</v>
      </c>
      <c r="B34" s="59" t="str">
        <f>IF(ISBLANK(ClassInformation!D39),"ZZZZZ",ClassInformation!D39)</f>
        <v>ZZZZZ</v>
      </c>
      <c r="XFD34" s="28">
        <f>ClassInformation!E39</f>
        <v>0</v>
      </c>
    </row>
    <row r="35" spans="1:2 16186:16384" s="28" customFormat="1" x14ac:dyDescent="0.25">
      <c r="A35" s="58" t="str">
        <f>IF(ISBLANK(ClassInformation!C40),"ZZZZZ",ClassInformation!C40)</f>
        <v>ZZZZZ</v>
      </c>
      <c r="B35" s="59" t="str">
        <f>IF(ISBLANK(ClassInformation!D40),"ZZZZZ",ClassInformation!D40)</f>
        <v>ZZZZZ</v>
      </c>
      <c r="XFD35" s="28">
        <f>ClassInformation!E40</f>
        <v>0</v>
      </c>
    </row>
    <row r="36" spans="1:2 16186:16384" s="28" customFormat="1" x14ac:dyDescent="0.25">
      <c r="A36" s="58" t="str">
        <f>IF(ISBLANK(ClassInformation!C41),"ZZZZZ",ClassInformation!C41)</f>
        <v>ZZZZZ</v>
      </c>
      <c r="B36" s="59" t="str">
        <f>IF(ISBLANK(ClassInformation!D41),"ZZZZZ",ClassInformation!D41)</f>
        <v>ZZZZZ</v>
      </c>
      <c r="XFD36" s="28">
        <f>ClassInformation!E41</f>
        <v>0</v>
      </c>
    </row>
    <row r="37" spans="1:2 16186:16384" s="28" customFormat="1" x14ac:dyDescent="0.25">
      <c r="A37" s="58" t="str">
        <f>IF(ISBLANK(ClassInformation!C42),"ZZZZZ",ClassInformation!C42)</f>
        <v>ZZZZZ</v>
      </c>
      <c r="B37" s="59" t="str">
        <f>IF(ISBLANK(ClassInformation!D42),"ZZZZZ",ClassInformation!D42)</f>
        <v>ZZZZZ</v>
      </c>
      <c r="XFD37" s="28">
        <f>ClassInformation!E42</f>
        <v>0</v>
      </c>
    </row>
    <row r="38" spans="1:2 16186:16384" s="28" customFormat="1" x14ac:dyDescent="0.25">
      <c r="A38" s="58" t="str">
        <f>IF(ISBLANK(ClassInformation!C43),"ZZZZZ",ClassInformation!C43)</f>
        <v>ZZZZZ</v>
      </c>
      <c r="B38" s="59" t="str">
        <f>IF(ISBLANK(ClassInformation!D43),"ZZZZZ",ClassInformation!D43)</f>
        <v>ZZZZZ</v>
      </c>
      <c r="XFD38" s="28">
        <f>ClassInformation!E43</f>
        <v>0</v>
      </c>
    </row>
    <row r="39" spans="1:2 16186:16384" s="28" customFormat="1" x14ac:dyDescent="0.25">
      <c r="A39" s="58" t="str">
        <f>IF(ISBLANK(ClassInformation!C44),"ZZZZZ",ClassInformation!C44)</f>
        <v>ZZZZZ</v>
      </c>
      <c r="B39" s="59" t="str">
        <f>IF(ISBLANK(ClassInformation!D44),"ZZZZZ",ClassInformation!D44)</f>
        <v>ZZZZZ</v>
      </c>
      <c r="XFD39" s="28">
        <f>ClassInformation!E44</f>
        <v>0</v>
      </c>
    </row>
    <row r="40" spans="1:2 16186:16384" s="28" customFormat="1" ht="15.75" thickBot="1" x14ac:dyDescent="0.3">
      <c r="A40" s="105" t="str">
        <f>IF(ISBLANK(ClassInformation!C45),"ZZZZZ",ClassInformation!C45)</f>
        <v>ZZZZZ</v>
      </c>
      <c r="B40" s="106" t="str">
        <f>IF(ISBLANK(ClassInformation!D45),"ZZZZZ",ClassInformation!D45)</f>
        <v>ZZZZZ</v>
      </c>
      <c r="XFD40" s="28">
        <f>ClassInformation!E45</f>
        <v>0</v>
      </c>
    </row>
    <row r="41" spans="1:2 16186:16384" x14ac:dyDescent="0.25">
      <c r="WXN41" s="28"/>
    </row>
    <row r="42" spans="1:2 16186:16384" x14ac:dyDescent="0.25"/>
    <row r="43" spans="1:2 16186:16384" x14ac:dyDescent="0.25"/>
    <row r="44" spans="1:2 16186:16384" x14ac:dyDescent="0.25"/>
    <row r="45" spans="1:2 16186:16384" hidden="1" x14ac:dyDescent="0.25"/>
    <row r="46" spans="1:2 16186:16384" hidden="1" x14ac:dyDescent="0.25">
      <c r="A46" s="28"/>
    </row>
    <row r="47" spans="1:2 16186:16384" hidden="1" x14ac:dyDescent="0.25">
      <c r="A47" s="28"/>
    </row>
    <row r="48" spans="1:2 16186:16384" hidden="1" x14ac:dyDescent="0.25">
      <c r="A48" s="28"/>
    </row>
    <row r="49" spans="1:1" hidden="1" x14ac:dyDescent="0.25">
      <c r="A49" s="28"/>
    </row>
    <row r="50" spans="1:1" hidden="1" x14ac:dyDescent="0.25">
      <c r="A50" s="28"/>
    </row>
    <row r="51" spans="1:1" hidden="1" x14ac:dyDescent="0.25">
      <c r="A51" s="28"/>
    </row>
    <row r="52" spans="1:1" hidden="1" x14ac:dyDescent="0.25">
      <c r="A52" s="28"/>
    </row>
    <row r="53" spans="1:1" hidden="1" x14ac:dyDescent="0.25">
      <c r="A53" s="28"/>
    </row>
    <row r="54" spans="1:1" hidden="1" x14ac:dyDescent="0.25">
      <c r="A54" s="28"/>
    </row>
    <row r="55" spans="1:1" hidden="1" x14ac:dyDescent="0.25">
      <c r="A55" s="28"/>
    </row>
    <row r="56" spans="1:1" hidden="1" x14ac:dyDescent="0.25">
      <c r="A56" s="28"/>
    </row>
    <row r="57" spans="1:1" hidden="1" x14ac:dyDescent="0.25">
      <c r="A57" s="28"/>
    </row>
    <row r="58" spans="1:1" hidden="1" x14ac:dyDescent="0.25">
      <c r="A58" s="28"/>
    </row>
    <row r="59" spans="1:1" hidden="1" x14ac:dyDescent="0.25">
      <c r="A59" s="28"/>
    </row>
    <row r="60" spans="1:1" hidden="1" x14ac:dyDescent="0.25">
      <c r="A60" s="28"/>
    </row>
    <row r="61" spans="1:1" hidden="1" x14ac:dyDescent="0.25">
      <c r="A61" s="28"/>
    </row>
    <row r="62" spans="1:1" hidden="1" x14ac:dyDescent="0.25">
      <c r="A62" s="28"/>
    </row>
    <row r="63" spans="1:1" hidden="1" x14ac:dyDescent="0.25">
      <c r="A63" s="28"/>
    </row>
    <row r="64" spans="1:1" hidden="1" x14ac:dyDescent="0.25">
      <c r="A64" s="28"/>
    </row>
    <row r="65" spans="1:1" hidden="1" x14ac:dyDescent="0.25">
      <c r="A65" s="28"/>
    </row>
    <row r="66" spans="1:1" hidden="1" x14ac:dyDescent="0.25">
      <c r="A66" s="28"/>
    </row>
    <row r="67" spans="1:1" hidden="1" x14ac:dyDescent="0.25">
      <c r="A67" s="28"/>
    </row>
    <row r="68" spans="1:1" hidden="1" x14ac:dyDescent="0.25">
      <c r="A68" s="28"/>
    </row>
    <row r="69" spans="1:1" hidden="1" x14ac:dyDescent="0.25">
      <c r="A69" s="28"/>
    </row>
    <row r="70" spans="1:1" hidden="1" x14ac:dyDescent="0.25">
      <c r="A70" s="28"/>
    </row>
    <row r="71" spans="1:1" hidden="1" x14ac:dyDescent="0.25">
      <c r="A71" s="28"/>
    </row>
    <row r="72" spans="1:1" hidden="1" x14ac:dyDescent="0.25">
      <c r="A72" s="28"/>
    </row>
    <row r="73" spans="1:1" hidden="1" x14ac:dyDescent="0.25">
      <c r="A73" s="28"/>
    </row>
    <row r="74" spans="1:1" hidden="1" x14ac:dyDescent="0.25">
      <c r="A74" s="28"/>
    </row>
    <row r="75" spans="1:1" hidden="1" x14ac:dyDescent="0.25">
      <c r="A75" s="28"/>
    </row>
    <row r="76" spans="1:1" hidden="1" x14ac:dyDescent="0.25">
      <c r="A76" s="28"/>
    </row>
    <row r="77" spans="1:1" hidden="1" x14ac:dyDescent="0.25">
      <c r="A77" s="28"/>
    </row>
    <row r="78" spans="1:1" hidden="1" x14ac:dyDescent="0.25">
      <c r="A78" s="28"/>
    </row>
    <row r="79" spans="1:1" hidden="1" x14ac:dyDescent="0.25">
      <c r="A79" s="28"/>
    </row>
    <row r="80" spans="1:1" hidden="1" x14ac:dyDescent="0.25">
      <c r="A80" s="28"/>
    </row>
    <row r="81" spans="1:1" hidden="1" x14ac:dyDescent="0.25">
      <c r="A81" s="28"/>
    </row>
  </sheetData>
  <sheetProtection sheet="1" formatCells="0" formatColumns="0" formatRows="0" insertColumns="0" deleteColumns="0"/>
  <mergeCells count="2">
    <mergeCell ref="A1:B2"/>
    <mergeCell ref="A3:B3"/>
  </mergeCells>
  <conditionalFormatting sqref="A5:B40">
    <cfRule type="expression" dxfId="7" priority="1">
      <formula>$XFD5="N"</formula>
    </cfRule>
    <cfRule type="expression" dxfId="6" priority="2">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A41"/>
  <sheetViews>
    <sheetView zoomScale="85" zoomScaleNormal="85" workbookViewId="0">
      <selection activeCell="M2" sqref="M2:U2"/>
    </sheetView>
  </sheetViews>
  <sheetFormatPr defaultRowHeight="15" x14ac:dyDescent="0.25"/>
  <cols>
    <col min="1" max="1" width="17" style="66" bestFit="1" customWidth="1"/>
    <col min="2" max="5" width="17" style="67" bestFit="1" customWidth="1"/>
    <col min="6" max="9" width="17" style="65" bestFit="1" customWidth="1"/>
    <col min="10" max="10" width="17" style="67" bestFit="1" customWidth="1"/>
    <col min="11" max="12" width="17" style="67" customWidth="1"/>
    <col min="13" max="13" width="13.28515625" style="67" bestFit="1" customWidth="1"/>
    <col min="14" max="14" width="6.7109375" style="65" customWidth="1"/>
    <col min="15" max="15" width="6.7109375" style="67" customWidth="1"/>
    <col min="16" max="16" width="12.85546875" style="67" bestFit="1" customWidth="1"/>
    <col min="17" max="17" width="6.7109375" style="65" customWidth="1"/>
    <col min="18" max="18" width="6.5703125" style="67" customWidth="1"/>
    <col min="19" max="19" width="11" style="67" bestFit="1" customWidth="1"/>
    <col min="20" max="20" width="10.42578125" style="67" bestFit="1" customWidth="1"/>
    <col min="21" max="21" width="13.42578125" style="61" bestFit="1" customWidth="1"/>
    <col min="22" max="22" width="2.85546875" style="61" customWidth="1"/>
    <col min="23" max="16384" width="9.140625" style="61"/>
  </cols>
  <sheetData>
    <row r="1" spans="1:27" x14ac:dyDescent="0.25">
      <c r="A1" s="73" t="s">
        <v>65</v>
      </c>
      <c r="B1" s="159"/>
      <c r="C1" s="159"/>
      <c r="D1" s="159"/>
      <c r="E1" s="159"/>
      <c r="F1" s="159"/>
      <c r="G1" s="159"/>
      <c r="H1" s="159"/>
      <c r="I1" s="159"/>
      <c r="J1" s="159"/>
      <c r="K1" s="159"/>
      <c r="L1" s="159"/>
      <c r="M1" s="159"/>
      <c r="N1" s="159"/>
      <c r="O1" s="159"/>
      <c r="P1" s="159"/>
      <c r="Q1" s="159"/>
      <c r="R1" s="159"/>
      <c r="S1" s="159"/>
      <c r="T1" s="159"/>
      <c r="U1" s="159"/>
      <c r="V1" s="160"/>
      <c r="W1" s="63"/>
      <c r="X1" s="63"/>
      <c r="Y1" s="63"/>
      <c r="Z1" s="63"/>
      <c r="AA1" s="63"/>
    </row>
    <row r="2" spans="1:27" x14ac:dyDescent="0.25">
      <c r="A2" s="161" t="s">
        <v>31</v>
      </c>
      <c r="B2" s="162"/>
      <c r="C2" s="162"/>
      <c r="D2" s="162"/>
      <c r="E2" s="162"/>
      <c r="F2" s="157" t="s">
        <v>33</v>
      </c>
      <c r="G2" s="162"/>
      <c r="H2" s="162"/>
      <c r="I2" s="162"/>
      <c r="J2" s="162"/>
      <c r="K2" s="157" t="s">
        <v>77</v>
      </c>
      <c r="L2" s="158"/>
      <c r="M2" s="157" t="s">
        <v>34</v>
      </c>
      <c r="N2" s="162"/>
      <c r="O2" s="162"/>
      <c r="P2" s="162"/>
      <c r="Q2" s="162"/>
      <c r="R2" s="162"/>
      <c r="S2" s="162"/>
      <c r="T2" s="162"/>
      <c r="U2" s="163"/>
      <c r="V2" s="74" t="s">
        <v>18</v>
      </c>
      <c r="X2" s="64"/>
      <c r="Y2" s="64"/>
      <c r="Z2" s="64"/>
      <c r="AA2" s="64"/>
    </row>
    <row r="3" spans="1:27" x14ac:dyDescent="0.25">
      <c r="A3" s="99" t="s">
        <v>74</v>
      </c>
      <c r="B3" s="99" t="s">
        <v>73</v>
      </c>
      <c r="C3" s="99" t="s">
        <v>73</v>
      </c>
      <c r="D3" s="99" t="s">
        <v>73</v>
      </c>
      <c r="E3" s="99" t="s">
        <v>73</v>
      </c>
      <c r="F3" s="99" t="s">
        <v>73</v>
      </c>
      <c r="G3" s="99" t="s">
        <v>73</v>
      </c>
      <c r="H3" s="99" t="s">
        <v>73</v>
      </c>
      <c r="I3" s="99" t="s">
        <v>73</v>
      </c>
      <c r="J3" s="99" t="s">
        <v>73</v>
      </c>
      <c r="K3" s="99" t="s">
        <v>73</v>
      </c>
      <c r="L3" s="99" t="s">
        <v>73</v>
      </c>
      <c r="M3" s="98" t="str">
        <f>_xlfn.TEXTJOIN(" ",TRUE,"Max",A2,":")</f>
        <v>Max UD :</v>
      </c>
      <c r="N3" s="153">
        <f>IF(OR(A4="-",B4="-",C4="-",D4="-",E4="-"),"-",SUM(A4,B4,C4,D4,E4))</f>
        <v>0</v>
      </c>
      <c r="O3" s="154"/>
      <c r="P3" s="98" t="str">
        <f>_xlfn.TEXTJOIN(" ",TRUE,"Max",F2,":")</f>
        <v>Max SD :</v>
      </c>
      <c r="Q3" s="155">
        <f>IF(OR(F4="-",G4="-",H4="-",I4="-",J4="-"),"-",SUM(F4,G4,H4,I4,J4))</f>
        <v>0</v>
      </c>
      <c r="R3" s="156"/>
      <c r="S3" s="75"/>
      <c r="T3" s="75"/>
      <c r="U3" s="75"/>
      <c r="V3" s="74" t="s">
        <v>18</v>
      </c>
    </row>
    <row r="4" spans="1:27" x14ac:dyDescent="0.25">
      <c r="A4" s="113"/>
      <c r="B4" s="114"/>
      <c r="C4" s="114"/>
      <c r="D4" s="114"/>
      <c r="E4" s="114"/>
      <c r="F4" s="114"/>
      <c r="G4" s="114"/>
      <c r="H4" s="114"/>
      <c r="I4" s="114"/>
      <c r="J4" s="114"/>
      <c r="K4" s="114"/>
      <c r="L4" s="114"/>
      <c r="M4" s="82" t="str">
        <f>_xlfn.TEXTJOIN(" ",TRUE,M2,A2)</f>
        <v>Overall UD</v>
      </c>
      <c r="N4" s="100" t="s">
        <v>87</v>
      </c>
      <c r="O4" s="101" t="s">
        <v>1</v>
      </c>
      <c r="P4" s="76" t="str">
        <f>_xlfn.TEXTJOIN(" ",TRUE,M2,F2)</f>
        <v>Overall SD</v>
      </c>
      <c r="Q4" s="102" t="s">
        <v>87</v>
      </c>
      <c r="R4" s="103" t="s">
        <v>1</v>
      </c>
      <c r="S4" s="77" t="s">
        <v>49</v>
      </c>
      <c r="T4" s="77" t="s">
        <v>50</v>
      </c>
      <c r="U4" s="77" t="s">
        <v>72</v>
      </c>
      <c r="V4" s="74" t="s">
        <v>18</v>
      </c>
    </row>
    <row r="5" spans="1:27" x14ac:dyDescent="0.25">
      <c r="A5" s="68"/>
      <c r="B5" s="68"/>
      <c r="C5" s="68"/>
      <c r="D5" s="68"/>
      <c r="E5" s="68"/>
      <c r="F5" s="79"/>
      <c r="G5" s="68"/>
      <c r="H5" s="68"/>
      <c r="I5" s="68"/>
      <c r="J5" s="68"/>
      <c r="K5" s="79"/>
      <c r="L5" s="68"/>
      <c r="M5" s="108" t="str">
        <f t="shared" ref="M5:M38" si="0">_xlfn.IFS(COUNTIF(A5:E5,"*-*")&gt;0,"-",COUNTBLANK(A5:E5)=5,"",N$3="-","-",TRUE,SUM(A5:E5))</f>
        <v/>
      </c>
      <c r="N5" s="94" t="str">
        <f>_xlfn.IFS(M5="","",M5="-","-",TRUE,M5/N$3)</f>
        <v/>
      </c>
      <c r="O5" s="83" t="str">
        <f>IF(N5="","",VLOOKUP(N5,Table1[],2,TRUE))</f>
        <v/>
      </c>
      <c r="P5" s="89" t="str">
        <f t="shared" ref="P5:P40" si="1">_xlfn.IFS(COUNTIF(D5:H5,"*-*")&gt;0,"-",COUNTBLANK(D5:H5)=5,"",Q$3="-","-",TRUE,SUM(D5:H5))</f>
        <v/>
      </c>
      <c r="Q5" s="96" t="str">
        <f t="shared" ref="Q5:Q40" si="2">_xlfn.IFS(P5="","",P5="-","-",TRUE,P5/Q$3)</f>
        <v/>
      </c>
      <c r="R5" s="84" t="str">
        <f>IF(Q5="","",VLOOKUP(Q5,Table1[],2,TRUE))</f>
        <v/>
      </c>
      <c r="S5" s="92" t="str">
        <f>_xlfn.IFS(AND(N5="",Q5=""),"",OR(N5="-",Q5="-"),"-",AND(N$3&lt;&gt;0,Q$3&lt;&gt;0),VLOOKUP(AVERAGE(N5,Q5),Table1[],2,TRUE),AND(N$3&lt;&gt;0,Q$3=0),O5,TRUE,R5)</f>
        <v/>
      </c>
      <c r="T5" s="72"/>
      <c r="U5" s="72" t="str">
        <f>IF(ISBLANK(T5),S5,T5)</f>
        <v/>
      </c>
      <c r="V5" s="74" t="s">
        <v>18</v>
      </c>
    </row>
    <row r="6" spans="1:27" x14ac:dyDescent="0.25">
      <c r="A6" s="68"/>
      <c r="B6" s="68"/>
      <c r="C6" s="68"/>
      <c r="D6" s="68"/>
      <c r="E6" s="68"/>
      <c r="F6" s="79"/>
      <c r="G6" s="68"/>
      <c r="H6" s="68"/>
      <c r="I6" s="68"/>
      <c r="J6" s="68"/>
      <c r="K6" s="79"/>
      <c r="L6" s="68"/>
      <c r="M6" s="108" t="str">
        <f t="shared" si="0"/>
        <v/>
      </c>
      <c r="N6" s="94" t="str">
        <f t="shared" ref="N6:N40" si="3">_xlfn.IFS(M6="","",M6="-","-",TRUE,M6/N$3)</f>
        <v/>
      </c>
      <c r="O6" s="83" t="str">
        <f>IF(M6="","",VLOOKUP(N6,Table1[],2,TRUE))</f>
        <v/>
      </c>
      <c r="P6" s="90" t="str">
        <f t="shared" si="1"/>
        <v/>
      </c>
      <c r="Q6" s="96" t="str">
        <f t="shared" si="2"/>
        <v/>
      </c>
      <c r="R6" s="84" t="str">
        <f>IF(P6="","",VLOOKUP(Q6,Table1[],2,TRUE))</f>
        <v/>
      </c>
      <c r="S6" s="92" t="str">
        <f>_xlfn.IFS(AND(N6="",Q6=""),"",OR(N6="-",Q6="-"),"-",AND(N$3&lt;&gt;0,Q$3&lt;&gt;0),VLOOKUP(AVERAGE(N6,Q6),Table1[],2,TRUE),AND(N$3&lt;&gt;0,Q$3=0),O6,TRUE,R6)</f>
        <v/>
      </c>
      <c r="T6" s="72"/>
      <c r="U6" s="72" t="str">
        <f t="shared" ref="U6:U40" si="4">IF(ISBLANK(T6),S6,T6)</f>
        <v/>
      </c>
      <c r="V6" s="74" t="s">
        <v>18</v>
      </c>
    </row>
    <row r="7" spans="1:27" x14ac:dyDescent="0.25">
      <c r="A7" s="68"/>
      <c r="B7" s="68"/>
      <c r="C7" s="68"/>
      <c r="D7" s="68"/>
      <c r="E7" s="68"/>
      <c r="F7" s="79"/>
      <c r="G7" s="68"/>
      <c r="H7" s="68"/>
      <c r="I7" s="68"/>
      <c r="J7" s="68"/>
      <c r="K7" s="79"/>
      <c r="L7" s="68"/>
      <c r="M7" s="108" t="str">
        <f t="shared" si="0"/>
        <v/>
      </c>
      <c r="N7" s="94" t="str">
        <f t="shared" si="3"/>
        <v/>
      </c>
      <c r="O7" s="83" t="str">
        <f>IF(M7="","",VLOOKUP(N7,Table1[],2,TRUE))</f>
        <v/>
      </c>
      <c r="P7" s="90" t="str">
        <f t="shared" si="1"/>
        <v/>
      </c>
      <c r="Q7" s="96" t="str">
        <f t="shared" si="2"/>
        <v/>
      </c>
      <c r="R7" s="84" t="str">
        <f>IF(P7="","",VLOOKUP(Q7,Table1[],2,TRUE))</f>
        <v/>
      </c>
      <c r="S7" s="92" t="str">
        <f>_xlfn.IFS(AND(N7="",Q7=""),"",OR(N7="-",Q7="-"),"-",AND(N$3&lt;&gt;0,Q$3&lt;&gt;0),VLOOKUP(AVERAGE(N7,Q7),Table1[],2,TRUE),AND(N$3&lt;&gt;0,Q$3=0),O7,TRUE,R7)</f>
        <v/>
      </c>
      <c r="T7" s="72"/>
      <c r="U7" s="72" t="str">
        <f t="shared" si="4"/>
        <v/>
      </c>
      <c r="V7" s="74" t="s">
        <v>18</v>
      </c>
    </row>
    <row r="8" spans="1:27" x14ac:dyDescent="0.25">
      <c r="A8" s="68"/>
      <c r="B8" s="68"/>
      <c r="C8" s="68"/>
      <c r="D8" s="68"/>
      <c r="E8" s="68"/>
      <c r="F8" s="79"/>
      <c r="G8" s="68"/>
      <c r="H8" s="68"/>
      <c r="I8" s="68"/>
      <c r="J8" s="68"/>
      <c r="K8" s="79"/>
      <c r="L8" s="68"/>
      <c r="M8" s="108" t="str">
        <f t="shared" si="0"/>
        <v/>
      </c>
      <c r="N8" s="94" t="str">
        <f t="shared" si="3"/>
        <v/>
      </c>
      <c r="O8" s="83" t="str">
        <f>IF(M8="","",VLOOKUP(N8,Table1[],2,TRUE))</f>
        <v/>
      </c>
      <c r="P8" s="90" t="str">
        <f t="shared" si="1"/>
        <v/>
      </c>
      <c r="Q8" s="96" t="str">
        <f t="shared" si="2"/>
        <v/>
      </c>
      <c r="R8" s="84" t="str">
        <f>IF(P8="","",VLOOKUP(Q8,Table1[],2,TRUE))</f>
        <v/>
      </c>
      <c r="S8" s="92" t="str">
        <f>_xlfn.IFS(AND(N8="",Q8=""),"",OR(N8="-",Q8="-"),"-",AND(N$3&lt;&gt;0,Q$3&lt;&gt;0),VLOOKUP(AVERAGE(N8,Q8),Table1[],2,TRUE),AND(N$3&lt;&gt;0,Q$3=0),O8,TRUE,R8)</f>
        <v/>
      </c>
      <c r="T8" s="72"/>
      <c r="U8" s="72" t="str">
        <f t="shared" si="4"/>
        <v/>
      </c>
      <c r="V8" s="74" t="s">
        <v>18</v>
      </c>
    </row>
    <row r="9" spans="1:27" x14ac:dyDescent="0.25">
      <c r="A9" s="68"/>
      <c r="B9" s="68"/>
      <c r="C9" s="68"/>
      <c r="D9" s="68"/>
      <c r="E9" s="68"/>
      <c r="F9" s="79"/>
      <c r="G9" s="68"/>
      <c r="H9" s="68"/>
      <c r="I9" s="68"/>
      <c r="J9" s="68"/>
      <c r="K9" s="79"/>
      <c r="L9" s="68"/>
      <c r="M9" s="108" t="str">
        <f t="shared" si="0"/>
        <v/>
      </c>
      <c r="N9" s="94" t="str">
        <f t="shared" si="3"/>
        <v/>
      </c>
      <c r="O9" s="83" t="str">
        <f>IF(M9="","",VLOOKUP(N9,Table1[],2,TRUE))</f>
        <v/>
      </c>
      <c r="P9" s="90" t="str">
        <f t="shared" si="1"/>
        <v/>
      </c>
      <c r="Q9" s="96" t="str">
        <f t="shared" si="2"/>
        <v/>
      </c>
      <c r="R9" s="84" t="str">
        <f>IF(P9="","",VLOOKUP(Q9,Table1[],2,TRUE))</f>
        <v/>
      </c>
      <c r="S9" s="92" t="str">
        <f>_xlfn.IFS(AND(N9="",Q9=""),"",OR(N9="-",Q9="-"),"-",AND(N$3&lt;&gt;0,Q$3&lt;&gt;0),VLOOKUP(AVERAGE(N9,Q9),Table1[],2,TRUE),AND(N$3&lt;&gt;0,Q$3=0),O9,TRUE,R9)</f>
        <v/>
      </c>
      <c r="T9" s="72"/>
      <c r="U9" s="72" t="str">
        <f t="shared" si="4"/>
        <v/>
      </c>
      <c r="V9" s="74" t="s">
        <v>18</v>
      </c>
    </row>
    <row r="10" spans="1:27" x14ac:dyDescent="0.25">
      <c r="A10" s="68"/>
      <c r="B10" s="68"/>
      <c r="C10" s="68"/>
      <c r="D10" s="68"/>
      <c r="E10" s="68"/>
      <c r="F10" s="79"/>
      <c r="G10" s="68"/>
      <c r="H10" s="68"/>
      <c r="I10" s="68"/>
      <c r="J10" s="68"/>
      <c r="K10" s="79"/>
      <c r="L10" s="68"/>
      <c r="M10" s="108" t="str">
        <f t="shared" si="0"/>
        <v/>
      </c>
      <c r="N10" s="94" t="str">
        <f t="shared" si="3"/>
        <v/>
      </c>
      <c r="O10" s="83" t="str">
        <f>IF(M10="","",VLOOKUP(N10,Table1[],2,TRUE))</f>
        <v/>
      </c>
      <c r="P10" s="90" t="str">
        <f t="shared" si="1"/>
        <v/>
      </c>
      <c r="Q10" s="96" t="str">
        <f t="shared" si="2"/>
        <v/>
      </c>
      <c r="R10" s="84" t="str">
        <f>IF(P10="","",VLOOKUP(Q10,Table1[],2,TRUE))</f>
        <v/>
      </c>
      <c r="S10" s="92" t="str">
        <f>_xlfn.IFS(AND(N10="",Q10=""),"",OR(N10="-",Q10="-"),"-",AND(N$3&lt;&gt;0,Q$3&lt;&gt;0),VLOOKUP(AVERAGE(N10,Q10),Table1[],2,TRUE),AND(N$3&lt;&gt;0,Q$3=0),O10,TRUE,R10)</f>
        <v/>
      </c>
      <c r="T10" s="72"/>
      <c r="U10" s="72" t="str">
        <f t="shared" si="4"/>
        <v/>
      </c>
      <c r="V10" s="74" t="s">
        <v>18</v>
      </c>
    </row>
    <row r="11" spans="1:27" x14ac:dyDescent="0.25">
      <c r="A11" s="68"/>
      <c r="B11" s="68"/>
      <c r="C11" s="68"/>
      <c r="D11" s="68"/>
      <c r="E11" s="68"/>
      <c r="F11" s="79"/>
      <c r="G11" s="68"/>
      <c r="H11" s="68"/>
      <c r="I11" s="68"/>
      <c r="J11" s="68"/>
      <c r="K11" s="79"/>
      <c r="L11" s="68"/>
      <c r="M11" s="108" t="str">
        <f t="shared" si="0"/>
        <v/>
      </c>
      <c r="N11" s="94" t="str">
        <f t="shared" si="3"/>
        <v/>
      </c>
      <c r="O11" s="83" t="str">
        <f>IF(M11="","",VLOOKUP(N11,Table1[],2,TRUE))</f>
        <v/>
      </c>
      <c r="P11" s="90" t="str">
        <f t="shared" si="1"/>
        <v/>
      </c>
      <c r="Q11" s="96" t="str">
        <f t="shared" si="2"/>
        <v/>
      </c>
      <c r="R11" s="84" t="str">
        <f>IF(P11="","",VLOOKUP(Q11,Table1[],2,TRUE))</f>
        <v/>
      </c>
      <c r="S11" s="92" t="str">
        <f>_xlfn.IFS(AND(N11="",Q11=""),"",OR(N11="-",Q11="-"),"-",AND(N$3&lt;&gt;0,Q$3&lt;&gt;0),VLOOKUP(AVERAGE(N11,Q11),Table1[],2,TRUE),AND(N$3&lt;&gt;0,Q$3=0),O11,TRUE,R11)</f>
        <v/>
      </c>
      <c r="T11" s="72"/>
      <c r="U11" s="72" t="str">
        <f t="shared" si="4"/>
        <v/>
      </c>
      <c r="V11" s="74" t="s">
        <v>18</v>
      </c>
    </row>
    <row r="12" spans="1:27" x14ac:dyDescent="0.25">
      <c r="A12" s="68"/>
      <c r="B12" s="68"/>
      <c r="C12" s="68"/>
      <c r="D12" s="68"/>
      <c r="E12" s="68"/>
      <c r="F12" s="79"/>
      <c r="G12" s="68"/>
      <c r="H12" s="68"/>
      <c r="I12" s="68"/>
      <c r="J12" s="68"/>
      <c r="K12" s="79"/>
      <c r="L12" s="68"/>
      <c r="M12" s="108" t="str">
        <f t="shared" si="0"/>
        <v/>
      </c>
      <c r="N12" s="94" t="str">
        <f t="shared" si="3"/>
        <v/>
      </c>
      <c r="O12" s="83" t="str">
        <f>IF(M12="","",VLOOKUP(N12,Table1[],2,TRUE))</f>
        <v/>
      </c>
      <c r="P12" s="90" t="str">
        <f t="shared" si="1"/>
        <v/>
      </c>
      <c r="Q12" s="96" t="str">
        <f t="shared" si="2"/>
        <v/>
      </c>
      <c r="R12" s="84" t="str">
        <f>IF(P12="","",VLOOKUP(Q12,Table1[],2,TRUE))</f>
        <v/>
      </c>
      <c r="S12" s="92" t="str">
        <f>_xlfn.IFS(AND(N12="",Q12=""),"",OR(N12="-",Q12="-"),"-",AND(N$3&lt;&gt;0,Q$3&lt;&gt;0),VLOOKUP(AVERAGE(N12,Q12),Table1[],2,TRUE),AND(N$3&lt;&gt;0,Q$3=0),O12,TRUE,R12)</f>
        <v/>
      </c>
      <c r="T12" s="72"/>
      <c r="U12" s="72" t="str">
        <f t="shared" si="4"/>
        <v/>
      </c>
      <c r="V12" s="74" t="s">
        <v>18</v>
      </c>
    </row>
    <row r="13" spans="1:27" x14ac:dyDescent="0.25">
      <c r="A13" s="68"/>
      <c r="B13" s="68"/>
      <c r="C13" s="68"/>
      <c r="D13" s="68"/>
      <c r="E13" s="68"/>
      <c r="F13" s="79"/>
      <c r="G13" s="68"/>
      <c r="H13" s="68"/>
      <c r="I13" s="68"/>
      <c r="J13" s="68"/>
      <c r="K13" s="79"/>
      <c r="L13" s="68"/>
      <c r="M13" s="108" t="str">
        <f t="shared" si="0"/>
        <v/>
      </c>
      <c r="N13" s="94" t="str">
        <f t="shared" si="3"/>
        <v/>
      </c>
      <c r="O13" s="83" t="str">
        <f>IF(M13="","",VLOOKUP(N13,Table1[],2,TRUE))</f>
        <v/>
      </c>
      <c r="P13" s="90" t="str">
        <f t="shared" si="1"/>
        <v/>
      </c>
      <c r="Q13" s="96" t="str">
        <f t="shared" si="2"/>
        <v/>
      </c>
      <c r="R13" s="84" t="str">
        <f>IF(P13="","",VLOOKUP(Q13,Table1[],2,TRUE))</f>
        <v/>
      </c>
      <c r="S13" s="92" t="str">
        <f>_xlfn.IFS(AND(N13="",Q13=""),"",OR(N13="-",Q13="-"),"-",AND(N$3&lt;&gt;0,Q$3&lt;&gt;0),VLOOKUP(AVERAGE(N13,Q13),Table1[],2,TRUE),AND(N$3&lt;&gt;0,Q$3=0),O13,TRUE,R13)</f>
        <v/>
      </c>
      <c r="T13" s="72"/>
      <c r="U13" s="72" t="str">
        <f t="shared" si="4"/>
        <v/>
      </c>
      <c r="V13" s="74" t="s">
        <v>18</v>
      </c>
    </row>
    <row r="14" spans="1:27" x14ac:dyDescent="0.25">
      <c r="A14" s="68"/>
      <c r="B14" s="68"/>
      <c r="C14" s="68"/>
      <c r="D14" s="68"/>
      <c r="E14" s="68"/>
      <c r="F14" s="79"/>
      <c r="G14" s="68"/>
      <c r="H14" s="68"/>
      <c r="I14" s="68"/>
      <c r="J14" s="68"/>
      <c r="K14" s="79"/>
      <c r="L14" s="68"/>
      <c r="M14" s="108" t="str">
        <f t="shared" si="0"/>
        <v/>
      </c>
      <c r="N14" s="94" t="str">
        <f t="shared" si="3"/>
        <v/>
      </c>
      <c r="O14" s="83" t="str">
        <f>IF(M14="","",VLOOKUP(N14,Table1[],2,TRUE))</f>
        <v/>
      </c>
      <c r="P14" s="90" t="str">
        <f t="shared" si="1"/>
        <v/>
      </c>
      <c r="Q14" s="96" t="str">
        <f t="shared" si="2"/>
        <v/>
      </c>
      <c r="R14" s="84" t="str">
        <f>IF(P14="","",VLOOKUP(Q14,Table1[],2,TRUE))</f>
        <v/>
      </c>
      <c r="S14" s="92" t="str">
        <f>_xlfn.IFS(AND(N14="",Q14=""),"",OR(N14="-",Q14="-"),"-",AND(N$3&lt;&gt;0,Q$3&lt;&gt;0),VLOOKUP(AVERAGE(N14,Q14),Table1[],2,TRUE),AND(N$3&lt;&gt;0,Q$3=0),O14,TRUE,R14)</f>
        <v/>
      </c>
      <c r="T14" s="72"/>
      <c r="U14" s="72" t="str">
        <f t="shared" si="4"/>
        <v/>
      </c>
      <c r="V14" s="74" t="s">
        <v>18</v>
      </c>
    </row>
    <row r="15" spans="1:27" x14ac:dyDescent="0.25">
      <c r="A15" s="68"/>
      <c r="B15" s="68"/>
      <c r="C15" s="68"/>
      <c r="D15" s="68"/>
      <c r="E15" s="68"/>
      <c r="F15" s="79"/>
      <c r="G15" s="68"/>
      <c r="H15" s="68"/>
      <c r="I15" s="68"/>
      <c r="J15" s="68"/>
      <c r="K15" s="79"/>
      <c r="L15" s="68"/>
      <c r="M15" s="108" t="str">
        <f t="shared" si="0"/>
        <v/>
      </c>
      <c r="N15" s="94" t="str">
        <f t="shared" si="3"/>
        <v/>
      </c>
      <c r="O15" s="83" t="str">
        <f>IF(M15="","",VLOOKUP(N15,Table1[],2,TRUE))</f>
        <v/>
      </c>
      <c r="P15" s="90" t="str">
        <f t="shared" si="1"/>
        <v/>
      </c>
      <c r="Q15" s="96" t="str">
        <f t="shared" si="2"/>
        <v/>
      </c>
      <c r="R15" s="84" t="str">
        <f>IF(P15="","",VLOOKUP(Q15,Table1[],2,TRUE))</f>
        <v/>
      </c>
      <c r="S15" s="92" t="str">
        <f>_xlfn.IFS(AND(N15="",Q15=""),"",OR(N15="-",Q15="-"),"-",AND(N$3&lt;&gt;0,Q$3&lt;&gt;0),VLOOKUP(AVERAGE(N15,Q15),Table1[],2,TRUE),AND(N$3&lt;&gt;0,Q$3=0),O15,TRUE,R15)</f>
        <v/>
      </c>
      <c r="T15" s="72"/>
      <c r="U15" s="72" t="str">
        <f t="shared" si="4"/>
        <v/>
      </c>
      <c r="V15" s="74" t="s">
        <v>18</v>
      </c>
    </row>
    <row r="16" spans="1:27" x14ac:dyDescent="0.25">
      <c r="A16" s="68"/>
      <c r="B16" s="68"/>
      <c r="C16" s="68"/>
      <c r="D16" s="68"/>
      <c r="E16" s="68"/>
      <c r="F16" s="79"/>
      <c r="G16" s="68"/>
      <c r="H16" s="68"/>
      <c r="I16" s="68"/>
      <c r="J16" s="68"/>
      <c r="K16" s="79"/>
      <c r="L16" s="68"/>
      <c r="M16" s="108" t="str">
        <f t="shared" si="0"/>
        <v/>
      </c>
      <c r="N16" s="94" t="str">
        <f t="shared" si="3"/>
        <v/>
      </c>
      <c r="O16" s="83" t="str">
        <f>IF(M16="","",VLOOKUP(N16,Table1[],2,TRUE))</f>
        <v/>
      </c>
      <c r="P16" s="90" t="str">
        <f t="shared" si="1"/>
        <v/>
      </c>
      <c r="Q16" s="96" t="str">
        <f t="shared" si="2"/>
        <v/>
      </c>
      <c r="R16" s="84" t="str">
        <f>IF(P16="","",VLOOKUP(Q16,Table1[],2,TRUE))</f>
        <v/>
      </c>
      <c r="S16" s="92" t="str">
        <f>_xlfn.IFS(AND(N16="",Q16=""),"",OR(N16="-",Q16="-"),"-",AND(N$3&lt;&gt;0,Q$3&lt;&gt;0),VLOOKUP(AVERAGE(N16,Q16),Table1[],2,TRUE),AND(N$3&lt;&gt;0,Q$3=0),O16,TRUE,R16)</f>
        <v/>
      </c>
      <c r="T16" s="72"/>
      <c r="U16" s="72" t="str">
        <f t="shared" si="4"/>
        <v/>
      </c>
      <c r="V16" s="74" t="s">
        <v>18</v>
      </c>
    </row>
    <row r="17" spans="1:22" x14ac:dyDescent="0.25">
      <c r="A17" s="68"/>
      <c r="B17" s="68"/>
      <c r="C17" s="68"/>
      <c r="D17" s="68"/>
      <c r="E17" s="68"/>
      <c r="F17" s="79"/>
      <c r="G17" s="68"/>
      <c r="H17" s="68"/>
      <c r="I17" s="68"/>
      <c r="J17" s="68"/>
      <c r="K17" s="79"/>
      <c r="L17" s="68"/>
      <c r="M17" s="108" t="str">
        <f t="shared" si="0"/>
        <v/>
      </c>
      <c r="N17" s="94" t="str">
        <f t="shared" si="3"/>
        <v/>
      </c>
      <c r="O17" s="83" t="str">
        <f>IF(M17="","",VLOOKUP(N17,Table1[],2,TRUE))</f>
        <v/>
      </c>
      <c r="P17" s="90" t="str">
        <f t="shared" si="1"/>
        <v/>
      </c>
      <c r="Q17" s="96" t="str">
        <f t="shared" si="2"/>
        <v/>
      </c>
      <c r="R17" s="84" t="str">
        <f>IF(P17="","",VLOOKUP(Q17,Table1[],2,TRUE))</f>
        <v/>
      </c>
      <c r="S17" s="92" t="str">
        <f>_xlfn.IFS(AND(N17="",Q17=""),"",OR(N17="-",Q17="-"),"-",AND(N$3&lt;&gt;0,Q$3&lt;&gt;0),VLOOKUP(AVERAGE(N17,Q17),Table1[],2,TRUE),AND(N$3&lt;&gt;0,Q$3=0),O17,TRUE,R17)</f>
        <v/>
      </c>
      <c r="T17" s="72"/>
      <c r="U17" s="72" t="str">
        <f t="shared" si="4"/>
        <v/>
      </c>
      <c r="V17" s="74" t="s">
        <v>18</v>
      </c>
    </row>
    <row r="18" spans="1:22" x14ac:dyDescent="0.25">
      <c r="A18" s="68"/>
      <c r="B18" s="68"/>
      <c r="C18" s="68"/>
      <c r="D18" s="68"/>
      <c r="E18" s="68"/>
      <c r="F18" s="79"/>
      <c r="G18" s="68"/>
      <c r="H18" s="68"/>
      <c r="I18" s="68"/>
      <c r="J18" s="68"/>
      <c r="K18" s="79"/>
      <c r="L18" s="68"/>
      <c r="M18" s="108" t="str">
        <f t="shared" si="0"/>
        <v/>
      </c>
      <c r="N18" s="94" t="str">
        <f t="shared" si="3"/>
        <v/>
      </c>
      <c r="O18" s="83" t="str">
        <f>IF(M18="","",VLOOKUP(N18,Table1[],2,TRUE))</f>
        <v/>
      </c>
      <c r="P18" s="90" t="str">
        <f t="shared" si="1"/>
        <v/>
      </c>
      <c r="Q18" s="96" t="str">
        <f t="shared" si="2"/>
        <v/>
      </c>
      <c r="R18" s="84" t="str">
        <f>IF(P18="","",VLOOKUP(Q18,Table1[],2,TRUE))</f>
        <v/>
      </c>
      <c r="S18" s="92" t="str">
        <f>_xlfn.IFS(AND(N18="",Q18=""),"",OR(N18="-",Q18="-"),"-",AND(N$3&lt;&gt;0,Q$3&lt;&gt;0),VLOOKUP(AVERAGE(N18,Q18),Table1[],2,TRUE),AND(N$3&lt;&gt;0,Q$3=0),O18,TRUE,R18)</f>
        <v/>
      </c>
      <c r="T18" s="72"/>
      <c r="U18" s="72" t="str">
        <f t="shared" si="4"/>
        <v/>
      </c>
      <c r="V18" s="74" t="s">
        <v>18</v>
      </c>
    </row>
    <row r="19" spans="1:22" x14ac:dyDescent="0.25">
      <c r="A19" s="68"/>
      <c r="B19" s="68"/>
      <c r="C19" s="68"/>
      <c r="D19" s="68"/>
      <c r="E19" s="68"/>
      <c r="F19" s="79"/>
      <c r="G19" s="68"/>
      <c r="H19" s="68"/>
      <c r="I19" s="68"/>
      <c r="J19" s="68"/>
      <c r="K19" s="79"/>
      <c r="L19" s="68"/>
      <c r="M19" s="108" t="str">
        <f t="shared" si="0"/>
        <v/>
      </c>
      <c r="N19" s="94" t="str">
        <f t="shared" si="3"/>
        <v/>
      </c>
      <c r="O19" s="83" t="str">
        <f>IF(M19="","",VLOOKUP(N19,Table1[],2,TRUE))</f>
        <v/>
      </c>
      <c r="P19" s="90" t="str">
        <f t="shared" si="1"/>
        <v/>
      </c>
      <c r="Q19" s="96" t="str">
        <f t="shared" si="2"/>
        <v/>
      </c>
      <c r="R19" s="84" t="str">
        <f>IF(P19="","",VLOOKUP(Q19,Table1[],2,TRUE))</f>
        <v/>
      </c>
      <c r="S19" s="92" t="str">
        <f>_xlfn.IFS(AND(N19="",Q19=""),"",OR(N19="-",Q19="-"),"-",AND(N$3&lt;&gt;0,Q$3&lt;&gt;0),VLOOKUP(AVERAGE(N19,Q19),Table1[],2,TRUE),AND(N$3&lt;&gt;0,Q$3=0),O19,TRUE,R19)</f>
        <v/>
      </c>
      <c r="T19" s="72"/>
      <c r="U19" s="72" t="str">
        <f t="shared" si="4"/>
        <v/>
      </c>
      <c r="V19" s="74" t="s">
        <v>18</v>
      </c>
    </row>
    <row r="20" spans="1:22" x14ac:dyDescent="0.25">
      <c r="A20" s="68"/>
      <c r="B20" s="68"/>
      <c r="C20" s="68"/>
      <c r="D20" s="68"/>
      <c r="E20" s="68"/>
      <c r="F20" s="79"/>
      <c r="G20" s="68"/>
      <c r="H20" s="68"/>
      <c r="I20" s="68"/>
      <c r="J20" s="68"/>
      <c r="K20" s="79"/>
      <c r="L20" s="68"/>
      <c r="M20" s="108" t="str">
        <f t="shared" si="0"/>
        <v/>
      </c>
      <c r="N20" s="94" t="str">
        <f t="shared" si="3"/>
        <v/>
      </c>
      <c r="O20" s="83" t="str">
        <f>IF(M20="","",VLOOKUP(N20,Table1[],2,TRUE))</f>
        <v/>
      </c>
      <c r="P20" s="90" t="str">
        <f t="shared" si="1"/>
        <v/>
      </c>
      <c r="Q20" s="96" t="str">
        <f t="shared" si="2"/>
        <v/>
      </c>
      <c r="R20" s="84" t="str">
        <f>IF(P20="","",VLOOKUP(Q20,Table1[],2,TRUE))</f>
        <v/>
      </c>
      <c r="S20" s="92" t="str">
        <f>_xlfn.IFS(AND(N20="",Q20=""),"",OR(N20="-",Q20="-"),"-",AND(N$3&lt;&gt;0,Q$3&lt;&gt;0),VLOOKUP(AVERAGE(N20,Q20),Table1[],2,TRUE),AND(N$3&lt;&gt;0,Q$3=0),O20,TRUE,R20)</f>
        <v/>
      </c>
      <c r="T20" s="72"/>
      <c r="U20" s="72" t="str">
        <f t="shared" si="4"/>
        <v/>
      </c>
      <c r="V20" s="74" t="s">
        <v>18</v>
      </c>
    </row>
    <row r="21" spans="1:22" x14ac:dyDescent="0.25">
      <c r="A21" s="68"/>
      <c r="B21" s="68"/>
      <c r="C21" s="68"/>
      <c r="D21" s="68"/>
      <c r="E21" s="68"/>
      <c r="F21" s="79"/>
      <c r="G21" s="68"/>
      <c r="H21" s="68"/>
      <c r="I21" s="68"/>
      <c r="J21" s="68"/>
      <c r="K21" s="79"/>
      <c r="L21" s="68"/>
      <c r="M21" s="108" t="str">
        <f t="shared" si="0"/>
        <v/>
      </c>
      <c r="N21" s="94" t="str">
        <f t="shared" si="3"/>
        <v/>
      </c>
      <c r="O21" s="83" t="str">
        <f>IF(M21="","",VLOOKUP(N21,Table1[],2,TRUE))</f>
        <v/>
      </c>
      <c r="P21" s="90" t="str">
        <f t="shared" si="1"/>
        <v/>
      </c>
      <c r="Q21" s="96" t="str">
        <f t="shared" si="2"/>
        <v/>
      </c>
      <c r="R21" s="84" t="str">
        <f>IF(P21="","",VLOOKUP(Q21,Table1[],2,TRUE))</f>
        <v/>
      </c>
      <c r="S21" s="92" t="str">
        <f>_xlfn.IFS(AND(N21="",Q21=""),"",OR(N21="-",Q21="-"),"-",AND(N$3&lt;&gt;0,Q$3&lt;&gt;0),VLOOKUP(AVERAGE(N21,Q21),Table1[],2,TRUE),AND(N$3&lt;&gt;0,Q$3=0),O21,TRUE,R21)</f>
        <v/>
      </c>
      <c r="T21" s="72"/>
      <c r="U21" s="72" t="str">
        <f t="shared" si="4"/>
        <v/>
      </c>
      <c r="V21" s="74" t="s">
        <v>18</v>
      </c>
    </row>
    <row r="22" spans="1:22" x14ac:dyDescent="0.25">
      <c r="A22" s="68"/>
      <c r="B22" s="68"/>
      <c r="C22" s="68"/>
      <c r="D22" s="68"/>
      <c r="E22" s="68"/>
      <c r="F22" s="79"/>
      <c r="G22" s="68"/>
      <c r="H22" s="68"/>
      <c r="I22" s="68"/>
      <c r="J22" s="68"/>
      <c r="K22" s="79"/>
      <c r="L22" s="68"/>
      <c r="M22" s="108" t="str">
        <f t="shared" si="0"/>
        <v/>
      </c>
      <c r="N22" s="94" t="str">
        <f t="shared" si="3"/>
        <v/>
      </c>
      <c r="O22" s="83" t="str">
        <f>IF(M22="","",VLOOKUP(N22,Table1[],2,TRUE))</f>
        <v/>
      </c>
      <c r="P22" s="90" t="str">
        <f t="shared" si="1"/>
        <v/>
      </c>
      <c r="Q22" s="96" t="str">
        <f t="shared" si="2"/>
        <v/>
      </c>
      <c r="R22" s="84" t="str">
        <f>IF(P22="","",VLOOKUP(Q22,Table1[],2,TRUE))</f>
        <v/>
      </c>
      <c r="S22" s="92" t="str">
        <f>_xlfn.IFS(AND(N22="",Q22=""),"",OR(N22="-",Q22="-"),"-",AND(N$3&lt;&gt;0,Q$3&lt;&gt;0),VLOOKUP(AVERAGE(N22,Q22),Table1[],2,TRUE),AND(N$3&lt;&gt;0,Q$3=0),O22,TRUE,R22)</f>
        <v/>
      </c>
      <c r="T22" s="72"/>
      <c r="U22" s="72" t="str">
        <f t="shared" si="4"/>
        <v/>
      </c>
      <c r="V22" s="74" t="s">
        <v>18</v>
      </c>
    </row>
    <row r="23" spans="1:22" x14ac:dyDescent="0.25">
      <c r="A23" s="68"/>
      <c r="B23" s="68"/>
      <c r="C23" s="68"/>
      <c r="D23" s="68"/>
      <c r="E23" s="68"/>
      <c r="F23" s="79"/>
      <c r="G23" s="68"/>
      <c r="H23" s="68"/>
      <c r="I23" s="68"/>
      <c r="J23" s="68"/>
      <c r="K23" s="79"/>
      <c r="L23" s="68"/>
      <c r="M23" s="108" t="str">
        <f t="shared" si="0"/>
        <v/>
      </c>
      <c r="N23" s="94" t="str">
        <f t="shared" si="3"/>
        <v/>
      </c>
      <c r="O23" s="83" t="str">
        <f>IF(M23="","",VLOOKUP(N23,Table1[],2,TRUE))</f>
        <v/>
      </c>
      <c r="P23" s="90" t="str">
        <f t="shared" si="1"/>
        <v/>
      </c>
      <c r="Q23" s="96" t="str">
        <f t="shared" si="2"/>
        <v/>
      </c>
      <c r="R23" s="84" t="str">
        <f>IF(P23="","",VLOOKUP(Q23,Table1[],2,TRUE))</f>
        <v/>
      </c>
      <c r="S23" s="92" t="str">
        <f>_xlfn.IFS(AND(N23="",Q23=""),"",OR(N23="-",Q23="-"),"-",AND(N$3&lt;&gt;0,Q$3&lt;&gt;0),VLOOKUP(AVERAGE(N23,Q23),Table1[],2,TRUE),AND(N$3&lt;&gt;0,Q$3=0),O23,TRUE,R23)</f>
        <v/>
      </c>
      <c r="T23" s="72"/>
      <c r="U23" s="72" t="str">
        <f t="shared" si="4"/>
        <v/>
      </c>
      <c r="V23" s="74" t="s">
        <v>18</v>
      </c>
    </row>
    <row r="24" spans="1:22" x14ac:dyDescent="0.25">
      <c r="A24" s="68"/>
      <c r="B24" s="68"/>
      <c r="C24" s="68"/>
      <c r="D24" s="68"/>
      <c r="E24" s="68"/>
      <c r="F24" s="79"/>
      <c r="G24" s="68"/>
      <c r="H24" s="68"/>
      <c r="I24" s="68"/>
      <c r="J24" s="68"/>
      <c r="K24" s="79"/>
      <c r="L24" s="68"/>
      <c r="M24" s="108" t="str">
        <f t="shared" si="0"/>
        <v/>
      </c>
      <c r="N24" s="94" t="str">
        <f t="shared" si="3"/>
        <v/>
      </c>
      <c r="O24" s="83" t="str">
        <f>IF(M24="","",VLOOKUP(N24,Table1[],2,TRUE))</f>
        <v/>
      </c>
      <c r="P24" s="90" t="str">
        <f t="shared" si="1"/>
        <v/>
      </c>
      <c r="Q24" s="96" t="str">
        <f t="shared" si="2"/>
        <v/>
      </c>
      <c r="R24" s="84" t="str">
        <f>IF(P24="","",VLOOKUP(Q24,Table1[],2,TRUE))</f>
        <v/>
      </c>
      <c r="S24" s="92" t="str">
        <f>_xlfn.IFS(AND(N24="",Q24=""),"",OR(N24="-",Q24="-"),"-",AND(N$3&lt;&gt;0,Q$3&lt;&gt;0),VLOOKUP(AVERAGE(N24,Q24),Table1[],2,TRUE),AND(N$3&lt;&gt;0,Q$3=0),O24,TRUE,R24)</f>
        <v/>
      </c>
      <c r="T24" s="72"/>
      <c r="U24" s="72" t="str">
        <f t="shared" si="4"/>
        <v/>
      </c>
      <c r="V24" s="74" t="s">
        <v>18</v>
      </c>
    </row>
    <row r="25" spans="1:22" x14ac:dyDescent="0.25">
      <c r="A25" s="68"/>
      <c r="B25" s="68"/>
      <c r="C25" s="68"/>
      <c r="D25" s="68"/>
      <c r="E25" s="68"/>
      <c r="F25" s="79"/>
      <c r="G25" s="68"/>
      <c r="H25" s="68"/>
      <c r="I25" s="68"/>
      <c r="J25" s="68"/>
      <c r="K25" s="79"/>
      <c r="L25" s="68"/>
      <c r="M25" s="108" t="str">
        <f t="shared" si="0"/>
        <v/>
      </c>
      <c r="N25" s="94" t="str">
        <f t="shared" si="3"/>
        <v/>
      </c>
      <c r="O25" s="83" t="str">
        <f>IF(M25="","",VLOOKUP(N25,Table1[],2,TRUE))</f>
        <v/>
      </c>
      <c r="P25" s="90" t="str">
        <f t="shared" si="1"/>
        <v/>
      </c>
      <c r="Q25" s="96" t="str">
        <f t="shared" si="2"/>
        <v/>
      </c>
      <c r="R25" s="84" t="str">
        <f>IF(P25="","",VLOOKUP(Q25,Table1[],2,TRUE))</f>
        <v/>
      </c>
      <c r="S25" s="92" t="str">
        <f>_xlfn.IFS(AND(N25="",Q25=""),"",OR(N25="-",Q25="-"),"-",AND(N$3&lt;&gt;0,Q$3&lt;&gt;0),VLOOKUP(AVERAGE(N25,Q25),Table1[],2,TRUE),AND(N$3&lt;&gt;0,Q$3=0),O25,TRUE,R25)</f>
        <v/>
      </c>
      <c r="T25" s="72"/>
      <c r="U25" s="72" t="str">
        <f t="shared" si="4"/>
        <v/>
      </c>
      <c r="V25" s="74" t="s">
        <v>18</v>
      </c>
    </row>
    <row r="26" spans="1:22" x14ac:dyDescent="0.25">
      <c r="A26" s="68"/>
      <c r="B26" s="68"/>
      <c r="C26" s="68"/>
      <c r="D26" s="68"/>
      <c r="E26" s="68"/>
      <c r="F26" s="79"/>
      <c r="G26" s="68"/>
      <c r="H26" s="68"/>
      <c r="I26" s="68"/>
      <c r="J26" s="68"/>
      <c r="K26" s="79"/>
      <c r="L26" s="68"/>
      <c r="M26" s="108" t="str">
        <f t="shared" si="0"/>
        <v/>
      </c>
      <c r="N26" s="94" t="str">
        <f t="shared" si="3"/>
        <v/>
      </c>
      <c r="O26" s="83" t="str">
        <f>IF(M26="","",VLOOKUP(N26,Table1[],2,TRUE))</f>
        <v/>
      </c>
      <c r="P26" s="90" t="str">
        <f t="shared" si="1"/>
        <v/>
      </c>
      <c r="Q26" s="96" t="str">
        <f t="shared" si="2"/>
        <v/>
      </c>
      <c r="R26" s="84" t="str">
        <f>IF(P26="","",VLOOKUP(Q26,Table1[],2,TRUE))</f>
        <v/>
      </c>
      <c r="S26" s="92" t="str">
        <f>_xlfn.IFS(AND(N26="",Q26=""),"",OR(N26="-",Q26="-"),"-",AND(N$3&lt;&gt;0,Q$3&lt;&gt;0),VLOOKUP(AVERAGE(N26,Q26),Table1[],2,TRUE),AND(N$3&lt;&gt;0,Q$3=0),O26,TRUE,R26)</f>
        <v/>
      </c>
      <c r="T26" s="72"/>
      <c r="U26" s="72" t="str">
        <f t="shared" si="4"/>
        <v/>
      </c>
      <c r="V26" s="74" t="s">
        <v>18</v>
      </c>
    </row>
    <row r="27" spans="1:22" x14ac:dyDescent="0.25">
      <c r="A27" s="68"/>
      <c r="B27" s="68"/>
      <c r="C27" s="68"/>
      <c r="D27" s="68"/>
      <c r="E27" s="68"/>
      <c r="F27" s="79"/>
      <c r="G27" s="68"/>
      <c r="H27" s="68"/>
      <c r="I27" s="68"/>
      <c r="J27" s="68"/>
      <c r="K27" s="79"/>
      <c r="L27" s="68"/>
      <c r="M27" s="108" t="str">
        <f t="shared" si="0"/>
        <v/>
      </c>
      <c r="N27" s="94" t="str">
        <f t="shared" si="3"/>
        <v/>
      </c>
      <c r="O27" s="83" t="str">
        <f>IF(M27="","",VLOOKUP(N27,Table1[],2,TRUE))</f>
        <v/>
      </c>
      <c r="P27" s="90" t="str">
        <f t="shared" si="1"/>
        <v/>
      </c>
      <c r="Q27" s="96" t="str">
        <f t="shared" si="2"/>
        <v/>
      </c>
      <c r="R27" s="84" t="str">
        <f>IF(P27="","",VLOOKUP(Q27,Table1[],2,TRUE))</f>
        <v/>
      </c>
      <c r="S27" s="92" t="str">
        <f>_xlfn.IFS(AND(N27="",Q27=""),"",OR(N27="-",Q27="-"),"-",AND(N$3&lt;&gt;0,Q$3&lt;&gt;0),VLOOKUP(AVERAGE(N27,Q27),Table1[],2,TRUE),AND(N$3&lt;&gt;0,Q$3=0),O27,TRUE,R27)</f>
        <v/>
      </c>
      <c r="T27" s="72"/>
      <c r="U27" s="72" t="str">
        <f t="shared" si="4"/>
        <v/>
      </c>
      <c r="V27" s="74" t="s">
        <v>18</v>
      </c>
    </row>
    <row r="28" spans="1:22" x14ac:dyDescent="0.25">
      <c r="A28" s="68"/>
      <c r="B28" s="68"/>
      <c r="C28" s="68"/>
      <c r="D28" s="68"/>
      <c r="E28" s="68"/>
      <c r="F28" s="79"/>
      <c r="G28" s="68"/>
      <c r="H28" s="68"/>
      <c r="I28" s="68"/>
      <c r="J28" s="68"/>
      <c r="K28" s="79"/>
      <c r="L28" s="68"/>
      <c r="M28" s="108" t="str">
        <f t="shared" si="0"/>
        <v/>
      </c>
      <c r="N28" s="94" t="str">
        <f t="shared" si="3"/>
        <v/>
      </c>
      <c r="O28" s="83" t="str">
        <f>IF(M28="","",VLOOKUP(N28,Table1[],2,TRUE))</f>
        <v/>
      </c>
      <c r="P28" s="90" t="str">
        <f t="shared" si="1"/>
        <v/>
      </c>
      <c r="Q28" s="96" t="str">
        <f t="shared" si="2"/>
        <v/>
      </c>
      <c r="R28" s="84" t="str">
        <f>IF(P28="","",VLOOKUP(Q28,Table1[],2,TRUE))</f>
        <v/>
      </c>
      <c r="S28" s="92" t="str">
        <f>_xlfn.IFS(AND(N28="",Q28=""),"",OR(N28="-",Q28="-"),"-",AND(N$3&lt;&gt;0,Q$3&lt;&gt;0),VLOOKUP(AVERAGE(N28,Q28),Table1[],2,TRUE),AND(N$3&lt;&gt;0,Q$3=0),O28,TRUE,R28)</f>
        <v/>
      </c>
      <c r="T28" s="72"/>
      <c r="U28" s="72" t="str">
        <f t="shared" si="4"/>
        <v/>
      </c>
      <c r="V28" s="74" t="s">
        <v>18</v>
      </c>
    </row>
    <row r="29" spans="1:22" x14ac:dyDescent="0.25">
      <c r="A29" s="68"/>
      <c r="B29" s="68"/>
      <c r="C29" s="68"/>
      <c r="D29" s="68"/>
      <c r="E29" s="68"/>
      <c r="F29" s="79"/>
      <c r="G29" s="68"/>
      <c r="H29" s="68"/>
      <c r="I29" s="68"/>
      <c r="J29" s="68"/>
      <c r="K29" s="79"/>
      <c r="L29" s="68"/>
      <c r="M29" s="108" t="str">
        <f t="shared" si="0"/>
        <v/>
      </c>
      <c r="N29" s="94" t="str">
        <f t="shared" si="3"/>
        <v/>
      </c>
      <c r="O29" s="83" t="str">
        <f>IF(M29="","",VLOOKUP(N29,Table1[],2,TRUE))</f>
        <v/>
      </c>
      <c r="P29" s="90" t="str">
        <f t="shared" si="1"/>
        <v/>
      </c>
      <c r="Q29" s="96" t="str">
        <f t="shared" si="2"/>
        <v/>
      </c>
      <c r="R29" s="84" t="str">
        <f>IF(P29="","",VLOOKUP(Q29,Table1[],2,TRUE))</f>
        <v/>
      </c>
      <c r="S29" s="92" t="str">
        <f>_xlfn.IFS(AND(N29="",Q29=""),"",OR(N29="-",Q29="-"),"-",AND(N$3&lt;&gt;0,Q$3&lt;&gt;0),VLOOKUP(AVERAGE(N29,Q29),Table1[],2,TRUE),AND(N$3&lt;&gt;0,Q$3=0),O29,TRUE,R29)</f>
        <v/>
      </c>
      <c r="T29" s="72"/>
      <c r="U29" s="72" t="str">
        <f t="shared" si="4"/>
        <v/>
      </c>
      <c r="V29" s="74" t="s">
        <v>18</v>
      </c>
    </row>
    <row r="30" spans="1:22" x14ac:dyDescent="0.25">
      <c r="A30" s="68"/>
      <c r="B30" s="68"/>
      <c r="C30" s="68"/>
      <c r="D30" s="68"/>
      <c r="E30" s="68"/>
      <c r="F30" s="79"/>
      <c r="G30" s="68"/>
      <c r="H30" s="68"/>
      <c r="I30" s="68"/>
      <c r="J30" s="68"/>
      <c r="K30" s="79"/>
      <c r="L30" s="68"/>
      <c r="M30" s="108" t="str">
        <f t="shared" si="0"/>
        <v/>
      </c>
      <c r="N30" s="94" t="str">
        <f t="shared" si="3"/>
        <v/>
      </c>
      <c r="O30" s="83" t="str">
        <f>IF(M30="","",VLOOKUP(N30,Table1[],2,TRUE))</f>
        <v/>
      </c>
      <c r="P30" s="90" t="str">
        <f t="shared" si="1"/>
        <v/>
      </c>
      <c r="Q30" s="96" t="str">
        <f t="shared" si="2"/>
        <v/>
      </c>
      <c r="R30" s="84" t="str">
        <f>IF(P30="","",VLOOKUP(Q30,Table1[],2,TRUE))</f>
        <v/>
      </c>
      <c r="S30" s="92" t="str">
        <f>_xlfn.IFS(AND(N30="",Q30=""),"",OR(N30="-",Q30="-"),"-",AND(N$3&lt;&gt;0,Q$3&lt;&gt;0),VLOOKUP(AVERAGE(N30,Q30),Table1[],2,TRUE),AND(N$3&lt;&gt;0,Q$3=0),O30,TRUE,R30)</f>
        <v/>
      </c>
      <c r="T30" s="72"/>
      <c r="U30" s="72" t="str">
        <f t="shared" si="4"/>
        <v/>
      </c>
      <c r="V30" s="74" t="s">
        <v>18</v>
      </c>
    </row>
    <row r="31" spans="1:22" x14ac:dyDescent="0.25">
      <c r="A31" s="68"/>
      <c r="B31" s="68"/>
      <c r="C31" s="68"/>
      <c r="D31" s="68"/>
      <c r="E31" s="68"/>
      <c r="F31" s="79"/>
      <c r="G31" s="68"/>
      <c r="H31" s="68"/>
      <c r="I31" s="68"/>
      <c r="J31" s="68"/>
      <c r="K31" s="79"/>
      <c r="L31" s="68"/>
      <c r="M31" s="108" t="str">
        <f t="shared" si="0"/>
        <v/>
      </c>
      <c r="N31" s="94" t="str">
        <f t="shared" si="3"/>
        <v/>
      </c>
      <c r="O31" s="83" t="str">
        <f>IF(M31="","",VLOOKUP(N31,Table1[],2,TRUE))</f>
        <v/>
      </c>
      <c r="P31" s="90" t="str">
        <f t="shared" si="1"/>
        <v/>
      </c>
      <c r="Q31" s="96" t="str">
        <f t="shared" si="2"/>
        <v/>
      </c>
      <c r="R31" s="84" t="str">
        <f>IF(P31="","",VLOOKUP(Q31,Table1[],2,TRUE))</f>
        <v/>
      </c>
      <c r="S31" s="92" t="str">
        <f>_xlfn.IFS(AND(N31="",Q31=""),"",OR(N31="-",Q31="-"),"-",AND(N$3&lt;&gt;0,Q$3&lt;&gt;0),VLOOKUP(AVERAGE(N31,Q31),Table1[],2,TRUE),AND(N$3&lt;&gt;0,Q$3=0),O31,TRUE,R31)</f>
        <v/>
      </c>
      <c r="T31" s="72"/>
      <c r="U31" s="72" t="str">
        <f t="shared" si="4"/>
        <v/>
      </c>
      <c r="V31" s="74" t="s">
        <v>18</v>
      </c>
    </row>
    <row r="32" spans="1:22" x14ac:dyDescent="0.25">
      <c r="A32" s="68"/>
      <c r="B32" s="68"/>
      <c r="C32" s="68"/>
      <c r="D32" s="68"/>
      <c r="E32" s="68"/>
      <c r="F32" s="79"/>
      <c r="G32" s="68"/>
      <c r="H32" s="68"/>
      <c r="I32" s="68"/>
      <c r="J32" s="68"/>
      <c r="K32" s="79"/>
      <c r="L32" s="68"/>
      <c r="M32" s="108" t="str">
        <f t="shared" si="0"/>
        <v/>
      </c>
      <c r="N32" s="94" t="str">
        <f t="shared" si="3"/>
        <v/>
      </c>
      <c r="O32" s="83" t="str">
        <f>IF(M32="","",VLOOKUP(N32,Table1[],2,TRUE))</f>
        <v/>
      </c>
      <c r="P32" s="90" t="str">
        <f t="shared" si="1"/>
        <v/>
      </c>
      <c r="Q32" s="96" t="str">
        <f t="shared" si="2"/>
        <v/>
      </c>
      <c r="R32" s="84" t="str">
        <f>IF(P32="","",VLOOKUP(Q32,Table1[],2,TRUE))</f>
        <v/>
      </c>
      <c r="S32" s="92" t="str">
        <f>_xlfn.IFS(AND(N32="",Q32=""),"",OR(N32="-",Q32="-"),"-",AND(N$3&lt;&gt;0,Q$3&lt;&gt;0),VLOOKUP(AVERAGE(N32,Q32),Table1[],2,TRUE),AND(N$3&lt;&gt;0,Q$3=0),O32,TRUE,R32)</f>
        <v/>
      </c>
      <c r="T32" s="72"/>
      <c r="U32" s="72" t="str">
        <f t="shared" si="4"/>
        <v/>
      </c>
      <c r="V32" s="74" t="s">
        <v>18</v>
      </c>
    </row>
    <row r="33" spans="1:22" x14ac:dyDescent="0.25">
      <c r="A33" s="68"/>
      <c r="B33" s="68"/>
      <c r="C33" s="68"/>
      <c r="D33" s="68"/>
      <c r="E33" s="68"/>
      <c r="F33" s="79"/>
      <c r="G33" s="68"/>
      <c r="H33" s="68"/>
      <c r="I33" s="68"/>
      <c r="J33" s="68"/>
      <c r="K33" s="79"/>
      <c r="L33" s="68"/>
      <c r="M33" s="108" t="str">
        <f t="shared" si="0"/>
        <v/>
      </c>
      <c r="N33" s="94" t="str">
        <f t="shared" si="3"/>
        <v/>
      </c>
      <c r="O33" s="83" t="str">
        <f>IF(M33="","",VLOOKUP(N33,Table1[],2,TRUE))</f>
        <v/>
      </c>
      <c r="P33" s="90" t="str">
        <f t="shared" si="1"/>
        <v/>
      </c>
      <c r="Q33" s="96" t="str">
        <f t="shared" si="2"/>
        <v/>
      </c>
      <c r="R33" s="84" t="str">
        <f>IF(P33="","",VLOOKUP(Q33,Table1[],2,TRUE))</f>
        <v/>
      </c>
      <c r="S33" s="92" t="str">
        <f>_xlfn.IFS(AND(N33="",Q33=""),"",OR(N33="-",Q33="-"),"-",AND(N$3&lt;&gt;0,Q$3&lt;&gt;0),VLOOKUP(AVERAGE(N33,Q33),Table1[],2,TRUE),AND(N$3&lt;&gt;0,Q$3=0),O33,TRUE,R33)</f>
        <v/>
      </c>
      <c r="T33" s="72"/>
      <c r="U33" s="72" t="str">
        <f t="shared" si="4"/>
        <v/>
      </c>
      <c r="V33" s="74" t="s">
        <v>18</v>
      </c>
    </row>
    <row r="34" spans="1:22" x14ac:dyDescent="0.25">
      <c r="A34" s="68"/>
      <c r="B34" s="68"/>
      <c r="C34" s="68"/>
      <c r="D34" s="68"/>
      <c r="E34" s="68"/>
      <c r="F34" s="79"/>
      <c r="G34" s="68"/>
      <c r="H34" s="68"/>
      <c r="I34" s="68"/>
      <c r="J34" s="68"/>
      <c r="K34" s="79"/>
      <c r="L34" s="68"/>
      <c r="M34" s="108" t="str">
        <f t="shared" si="0"/>
        <v/>
      </c>
      <c r="N34" s="94" t="str">
        <f t="shared" si="3"/>
        <v/>
      </c>
      <c r="O34" s="83" t="str">
        <f>IF(M34="","",VLOOKUP(N34,Table1[],2,TRUE))</f>
        <v/>
      </c>
      <c r="P34" s="90" t="str">
        <f t="shared" si="1"/>
        <v/>
      </c>
      <c r="Q34" s="96" t="str">
        <f t="shared" si="2"/>
        <v/>
      </c>
      <c r="R34" s="84" t="str">
        <f>IF(P34="","",VLOOKUP(Q34,Table1[],2,TRUE))</f>
        <v/>
      </c>
      <c r="S34" s="92" t="str">
        <f>_xlfn.IFS(AND(N34="",Q34=""),"",OR(N34="-",Q34="-"),"-",AND(N$3&lt;&gt;0,Q$3&lt;&gt;0),VLOOKUP(AVERAGE(N34,Q34),Table1[],2,TRUE),AND(N$3&lt;&gt;0,Q$3=0),O34,TRUE,R34)</f>
        <v/>
      </c>
      <c r="T34" s="72"/>
      <c r="U34" s="72" t="str">
        <f t="shared" si="4"/>
        <v/>
      </c>
      <c r="V34" s="74" t="s">
        <v>18</v>
      </c>
    </row>
    <row r="35" spans="1:22" x14ac:dyDescent="0.25">
      <c r="A35" s="68"/>
      <c r="B35" s="68"/>
      <c r="C35" s="68"/>
      <c r="D35" s="68"/>
      <c r="E35" s="68"/>
      <c r="F35" s="79"/>
      <c r="G35" s="68"/>
      <c r="H35" s="68"/>
      <c r="I35" s="68"/>
      <c r="J35" s="68"/>
      <c r="K35" s="79"/>
      <c r="L35" s="68"/>
      <c r="M35" s="108" t="str">
        <f t="shared" si="0"/>
        <v/>
      </c>
      <c r="N35" s="94" t="str">
        <f t="shared" si="3"/>
        <v/>
      </c>
      <c r="O35" s="83" t="str">
        <f>IF(M35="","",VLOOKUP(N35,Table1[],2,TRUE))</f>
        <v/>
      </c>
      <c r="P35" s="90" t="str">
        <f t="shared" si="1"/>
        <v/>
      </c>
      <c r="Q35" s="96" t="str">
        <f t="shared" si="2"/>
        <v/>
      </c>
      <c r="R35" s="84" t="str">
        <f>IF(P35="","",VLOOKUP(Q35,Table1[],2,TRUE))</f>
        <v/>
      </c>
      <c r="S35" s="92" t="str">
        <f>_xlfn.IFS(AND(N35="",Q35=""),"",OR(N35="-",Q35="-"),"-",AND(N$3&lt;&gt;0,Q$3&lt;&gt;0),VLOOKUP(AVERAGE(N35,Q35),Table1[],2,TRUE),AND(N$3&lt;&gt;0,Q$3=0),O35,TRUE,R35)</f>
        <v/>
      </c>
      <c r="T35" s="72"/>
      <c r="U35" s="72" t="str">
        <f t="shared" si="4"/>
        <v/>
      </c>
      <c r="V35" s="74" t="s">
        <v>18</v>
      </c>
    </row>
    <row r="36" spans="1:22" x14ac:dyDescent="0.25">
      <c r="A36" s="68"/>
      <c r="B36" s="68"/>
      <c r="C36" s="68"/>
      <c r="D36" s="68"/>
      <c r="E36" s="68"/>
      <c r="F36" s="79"/>
      <c r="G36" s="68"/>
      <c r="H36" s="68"/>
      <c r="I36" s="68"/>
      <c r="J36" s="68"/>
      <c r="K36" s="79"/>
      <c r="L36" s="68"/>
      <c r="M36" s="108" t="str">
        <f t="shared" si="0"/>
        <v/>
      </c>
      <c r="N36" s="94" t="str">
        <f t="shared" si="3"/>
        <v/>
      </c>
      <c r="O36" s="83" t="str">
        <f>IF(M36="","",VLOOKUP(N36,Table1[],2,TRUE))</f>
        <v/>
      </c>
      <c r="P36" s="90" t="str">
        <f t="shared" si="1"/>
        <v/>
      </c>
      <c r="Q36" s="96" t="str">
        <f t="shared" si="2"/>
        <v/>
      </c>
      <c r="R36" s="84" t="str">
        <f>IF(P36="","",VLOOKUP(Q36,Table1[],2,TRUE))</f>
        <v/>
      </c>
      <c r="S36" s="92" t="str">
        <f>_xlfn.IFS(AND(N36="",Q36=""),"",OR(N36="-",Q36="-"),"-",AND(N$3&lt;&gt;0,Q$3&lt;&gt;0),VLOOKUP(AVERAGE(N36,Q36),Table1[],2,TRUE),AND(N$3&lt;&gt;0,Q$3=0),O36,TRUE,R36)</f>
        <v/>
      </c>
      <c r="T36" s="72"/>
      <c r="U36" s="72" t="str">
        <f t="shared" si="4"/>
        <v/>
      </c>
      <c r="V36" s="74" t="s">
        <v>18</v>
      </c>
    </row>
    <row r="37" spans="1:22" x14ac:dyDescent="0.25">
      <c r="A37" s="68"/>
      <c r="B37" s="68"/>
      <c r="C37" s="68"/>
      <c r="D37" s="68"/>
      <c r="E37" s="68"/>
      <c r="F37" s="79"/>
      <c r="G37" s="68"/>
      <c r="H37" s="68"/>
      <c r="I37" s="68"/>
      <c r="J37" s="68"/>
      <c r="K37" s="79"/>
      <c r="L37" s="68"/>
      <c r="M37" s="108" t="str">
        <f t="shared" si="0"/>
        <v/>
      </c>
      <c r="N37" s="94" t="str">
        <f t="shared" si="3"/>
        <v/>
      </c>
      <c r="O37" s="83" t="str">
        <f>IF(M37="","",VLOOKUP(N37,Table1[],2,TRUE))</f>
        <v/>
      </c>
      <c r="P37" s="90" t="str">
        <f t="shared" si="1"/>
        <v/>
      </c>
      <c r="Q37" s="96" t="str">
        <f t="shared" si="2"/>
        <v/>
      </c>
      <c r="R37" s="84" t="str">
        <f>IF(P37="","",VLOOKUP(Q37,Table1[],2,TRUE))</f>
        <v/>
      </c>
      <c r="S37" s="92" t="str">
        <f>_xlfn.IFS(AND(N37="",Q37=""),"",OR(N37="-",Q37="-"),"-",AND(N$3&lt;&gt;0,Q$3&lt;&gt;0),VLOOKUP(AVERAGE(N37,Q37),Table1[],2,TRUE),AND(N$3&lt;&gt;0,Q$3=0),O37,TRUE,R37)</f>
        <v/>
      </c>
      <c r="T37" s="72"/>
      <c r="U37" s="72" t="str">
        <f t="shared" si="4"/>
        <v/>
      </c>
      <c r="V37" s="74" t="s">
        <v>18</v>
      </c>
    </row>
    <row r="38" spans="1:22" x14ac:dyDescent="0.25">
      <c r="A38" s="68"/>
      <c r="B38" s="68"/>
      <c r="C38" s="68"/>
      <c r="D38" s="68"/>
      <c r="E38" s="68"/>
      <c r="F38" s="79"/>
      <c r="G38" s="68"/>
      <c r="H38" s="68"/>
      <c r="I38" s="68"/>
      <c r="J38" s="68"/>
      <c r="K38" s="79"/>
      <c r="L38" s="68"/>
      <c r="M38" s="108" t="str">
        <f t="shared" si="0"/>
        <v/>
      </c>
      <c r="N38" s="94" t="str">
        <f t="shared" si="3"/>
        <v/>
      </c>
      <c r="O38" s="83" t="str">
        <f>IF(M38="","",VLOOKUP(N38,Table1[],2,TRUE))</f>
        <v/>
      </c>
      <c r="P38" s="90" t="str">
        <f t="shared" si="1"/>
        <v/>
      </c>
      <c r="Q38" s="96" t="str">
        <f t="shared" si="2"/>
        <v/>
      </c>
      <c r="R38" s="84" t="str">
        <f>IF(P38="","",VLOOKUP(Q38,Table1[],2,TRUE))</f>
        <v/>
      </c>
      <c r="S38" s="92" t="str">
        <f>_xlfn.IFS(AND(N38="",Q38=""),"",OR(N38="-",Q38="-"),"-",AND(N$3&lt;&gt;0,Q$3&lt;&gt;0),VLOOKUP(AVERAGE(N38,Q38),Table1[],2,TRUE),AND(N$3&lt;&gt;0,Q$3=0),O38,TRUE,R38)</f>
        <v/>
      </c>
      <c r="T38" s="72"/>
      <c r="U38" s="72" t="str">
        <f t="shared" si="4"/>
        <v/>
      </c>
      <c r="V38" s="74" t="s">
        <v>18</v>
      </c>
    </row>
    <row r="39" spans="1:22" x14ac:dyDescent="0.25">
      <c r="A39" s="68"/>
      <c r="B39" s="68"/>
      <c r="C39" s="68"/>
      <c r="D39" s="68"/>
      <c r="E39" s="68"/>
      <c r="F39" s="79"/>
      <c r="G39" s="68"/>
      <c r="H39" s="68"/>
      <c r="I39" s="68"/>
      <c r="J39" s="68"/>
      <c r="K39" s="79"/>
      <c r="L39" s="68"/>
      <c r="M39" s="108" t="str">
        <f>_xlfn.IFS(COUNTIF(A39:E39,"*-*")&gt;0,"-",COUNTBLANK(A39:E39)=5,"",N$3="-","-",TRUE,SUM(A39:E39))</f>
        <v/>
      </c>
      <c r="N39" s="94" t="str">
        <f t="shared" si="3"/>
        <v/>
      </c>
      <c r="O39" s="83" t="str">
        <f>IF(M39="","",VLOOKUP(N39,Table1[],2,TRUE))</f>
        <v/>
      </c>
      <c r="P39" s="90" t="str">
        <f t="shared" si="1"/>
        <v/>
      </c>
      <c r="Q39" s="96" t="str">
        <f t="shared" si="2"/>
        <v/>
      </c>
      <c r="R39" s="84" t="str">
        <f>IF(P39="","",VLOOKUP(Q39,Table1[],2,TRUE))</f>
        <v/>
      </c>
      <c r="S39" s="92" t="str">
        <f>_xlfn.IFS(AND(N39="",Q39=""),"",OR(N39="-",Q39="-"),"-",AND(N$3&lt;&gt;0,Q$3&lt;&gt;0),VLOOKUP(AVERAGE(N39,Q39),Table1[],2,TRUE),AND(N$3&lt;&gt;0,Q$3=0),O39,TRUE,R39)</f>
        <v/>
      </c>
      <c r="T39" s="72"/>
      <c r="U39" s="72" t="str">
        <f t="shared" si="4"/>
        <v/>
      </c>
      <c r="V39" s="74" t="s">
        <v>18</v>
      </c>
    </row>
    <row r="40" spans="1:22" ht="15.75" thickBot="1" x14ac:dyDescent="0.3">
      <c r="A40" s="80"/>
      <c r="B40" s="80"/>
      <c r="C40" s="80"/>
      <c r="D40" s="80"/>
      <c r="E40" s="80"/>
      <c r="F40" s="81"/>
      <c r="G40" s="80"/>
      <c r="H40" s="80"/>
      <c r="I40" s="80"/>
      <c r="J40" s="80"/>
      <c r="K40" s="81"/>
      <c r="L40" s="104"/>
      <c r="M40" s="109" t="str">
        <f>_xlfn.IFS(COUNTIF(A40:E40,"*-*")&gt;0,"-",COUNTBLANK(A40:E40)=5,"",N$3="-","-",TRUE,SUM(A40:E40))</f>
        <v/>
      </c>
      <c r="N40" s="95" t="str">
        <f t="shared" si="3"/>
        <v/>
      </c>
      <c r="O40" s="85" t="str">
        <f>IF(M40="","",VLOOKUP(N40,Table1[],2,TRUE))</f>
        <v/>
      </c>
      <c r="P40" s="91" t="str">
        <f t="shared" si="1"/>
        <v/>
      </c>
      <c r="Q40" s="97" t="str">
        <f t="shared" si="2"/>
        <v/>
      </c>
      <c r="R40" s="86" t="str">
        <f>IF(P40="","",VLOOKUP(Q40,Table1[],2,TRUE))</f>
        <v/>
      </c>
      <c r="S40" s="93" t="str">
        <f>_xlfn.IFS(AND(N40="",Q40=""),"",OR(N40="-",Q40="-"),"-",AND(N$3&lt;&gt;0,Q$3&lt;&gt;0),VLOOKUP(AVERAGE(N40,Q40),Table1[],2,TRUE),AND(N$3&lt;&gt;0,Q$3=0),O40,TRUE,R40)</f>
        <v/>
      </c>
      <c r="T40" s="87"/>
      <c r="U40" s="88" t="str">
        <f t="shared" si="4"/>
        <v/>
      </c>
      <c r="V40" s="78" t="s">
        <v>18</v>
      </c>
    </row>
    <row r="41" spans="1:22" x14ac:dyDescent="0.25">
      <c r="N41" s="65" t="str">
        <f>IF(M41="","",IF(M41="-","-",M41/N$3))</f>
        <v/>
      </c>
    </row>
  </sheetData>
  <mergeCells count="7">
    <mergeCell ref="N3:O3"/>
    <mergeCell ref="Q3:R3"/>
    <mergeCell ref="K2:L2"/>
    <mergeCell ref="B1:V1"/>
    <mergeCell ref="A2:E2"/>
    <mergeCell ref="F2:J2"/>
    <mergeCell ref="M2:U2"/>
  </mergeCells>
  <conditionalFormatting sqref="R5:U40 O5:O40">
    <cfRule type="expression" dxfId="5" priority="8" stopIfTrue="1">
      <formula>OR(ISNUMBER(SEARCH("D",O5)),ISNUMBER(SEARCH("E",O5)))</formula>
    </cfRule>
  </conditionalFormatting>
  <conditionalFormatting sqref="A5:J40">
    <cfRule type="expression" dxfId="4" priority="2" stopIfTrue="1">
      <formula>NOT(ISBLANK(A5))</formula>
    </cfRule>
    <cfRule type="expression" dxfId="3" priority="3" stopIfTrue="1">
      <formula>NOT($A5="ZZZZZ")</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T5:T40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topLeftCell="A19" zoomScaleNormal="100" workbookViewId="0">
      <selection activeCell="Y23" sqref="Y23"/>
    </sheetView>
  </sheetViews>
  <sheetFormatPr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3" t="s">
        <v>65</v>
      </c>
      <c r="B1" s="159" t="s">
        <v>80</v>
      </c>
      <c r="C1" s="159"/>
      <c r="D1" s="159"/>
      <c r="E1" s="159"/>
      <c r="F1" s="159"/>
      <c r="G1" s="159"/>
      <c r="H1" s="159"/>
      <c r="I1" s="159"/>
      <c r="J1" s="159"/>
      <c r="K1" s="159"/>
      <c r="L1" s="159"/>
      <c r="M1" s="159"/>
      <c r="N1" s="159"/>
      <c r="O1" s="159"/>
      <c r="P1" s="159"/>
      <c r="Q1" s="159"/>
      <c r="R1" s="159"/>
      <c r="S1" s="159"/>
      <c r="T1" s="159"/>
      <c r="U1" s="159"/>
      <c r="V1" s="160"/>
    </row>
    <row r="2" spans="1:22" x14ac:dyDescent="0.25">
      <c r="A2" s="161" t="s">
        <v>31</v>
      </c>
      <c r="B2" s="162"/>
      <c r="C2" s="162"/>
      <c r="D2" s="162"/>
      <c r="E2" s="162"/>
      <c r="F2" s="157" t="s">
        <v>33</v>
      </c>
      <c r="G2" s="162"/>
      <c r="H2" s="162"/>
      <c r="I2" s="162"/>
      <c r="J2" s="162"/>
      <c r="K2" s="157" t="s">
        <v>77</v>
      </c>
      <c r="L2" s="158"/>
      <c r="M2" s="157" t="s">
        <v>34</v>
      </c>
      <c r="N2" s="162"/>
      <c r="O2" s="162"/>
      <c r="P2" s="162"/>
      <c r="Q2" s="162"/>
      <c r="R2" s="162"/>
      <c r="S2" s="162"/>
      <c r="T2" s="162"/>
      <c r="U2" s="163"/>
      <c r="V2" s="74" t="s">
        <v>18</v>
      </c>
    </row>
    <row r="3" spans="1:22" ht="15" customHeight="1" x14ac:dyDescent="0.25">
      <c r="A3" s="99" t="s">
        <v>81</v>
      </c>
      <c r="B3" s="99" t="s">
        <v>82</v>
      </c>
      <c r="C3" s="99" t="s">
        <v>73</v>
      </c>
      <c r="D3" s="99" t="s">
        <v>73</v>
      </c>
      <c r="E3" s="99" t="s">
        <v>73</v>
      </c>
      <c r="F3" s="99" t="s">
        <v>33</v>
      </c>
      <c r="G3" s="99" t="s">
        <v>73</v>
      </c>
      <c r="H3" s="99" t="s">
        <v>73</v>
      </c>
      <c r="I3" s="99" t="s">
        <v>73</v>
      </c>
      <c r="J3" s="99" t="s">
        <v>73</v>
      </c>
      <c r="K3" s="99" t="s">
        <v>73</v>
      </c>
      <c r="L3" s="99" t="s">
        <v>73</v>
      </c>
      <c r="M3" s="98" t="str">
        <f>_xlfn.TEXTJOIN(" ",TRUE,"Max",A2,":")</f>
        <v>Max UD :</v>
      </c>
      <c r="N3" s="153">
        <f>IF(OR(A4="-",B4="-",C4="-",D4="-",E4="-"),"-",SUM(A4,B4,C4,D4,E4))</f>
        <v>100</v>
      </c>
      <c r="O3" s="154"/>
      <c r="P3" s="98" t="str">
        <f>_xlfn.TEXTJOIN(" ",TRUE,"Max",F2,":")</f>
        <v>Max SD :</v>
      </c>
      <c r="Q3" s="155">
        <f>IF(OR(F4="-",G4="-",H4="-",I4="-",J4="-"),"-",SUM(F4,G4,H4,I4,J4))</f>
        <v>100</v>
      </c>
      <c r="R3" s="156"/>
      <c r="S3" s="75"/>
      <c r="T3" s="75"/>
      <c r="U3" s="75"/>
      <c r="V3" s="74" t="s">
        <v>18</v>
      </c>
    </row>
    <row r="4" spans="1:22" ht="15" customHeight="1" x14ac:dyDescent="0.25">
      <c r="A4" s="113">
        <v>25</v>
      </c>
      <c r="B4" s="114">
        <v>75</v>
      </c>
      <c r="C4" s="114"/>
      <c r="D4" s="114"/>
      <c r="E4" s="114"/>
      <c r="F4" s="114">
        <v>100</v>
      </c>
      <c r="G4" s="114"/>
      <c r="H4" s="114"/>
      <c r="I4" s="114"/>
      <c r="J4" s="114"/>
      <c r="K4" s="114"/>
      <c r="L4" s="114"/>
      <c r="M4" s="82" t="str">
        <f>_xlfn.TEXTJOIN(" ",TRUE,M2,A2)</f>
        <v>Overall UD</v>
      </c>
      <c r="N4" s="100" t="s">
        <v>32</v>
      </c>
      <c r="O4" s="101" t="s">
        <v>1</v>
      </c>
      <c r="P4" s="76" t="str">
        <f>_xlfn.TEXTJOIN(" ",TRUE,M2,F2)</f>
        <v>Overall SD</v>
      </c>
      <c r="Q4" s="102" t="s">
        <v>32</v>
      </c>
      <c r="R4" s="103" t="s">
        <v>1</v>
      </c>
      <c r="S4" s="77" t="s">
        <v>49</v>
      </c>
      <c r="T4" s="77" t="s">
        <v>50</v>
      </c>
      <c r="U4" s="77" t="s">
        <v>72</v>
      </c>
      <c r="V4" s="74" t="s">
        <v>18</v>
      </c>
    </row>
    <row r="5" spans="1:22" ht="15" customHeight="1" x14ac:dyDescent="0.25">
      <c r="A5" s="68">
        <v>20</v>
      </c>
      <c r="B5" s="68">
        <v>63</v>
      </c>
      <c r="C5" s="68"/>
      <c r="D5" s="68"/>
      <c r="E5" s="68"/>
      <c r="F5" s="79">
        <v>73</v>
      </c>
      <c r="G5" s="68"/>
      <c r="H5" s="68"/>
      <c r="I5" s="68"/>
      <c r="J5" s="68"/>
      <c r="K5" s="79"/>
      <c r="L5" s="68"/>
      <c r="M5" s="108">
        <f t="shared" ref="M5:M40" si="0">IF(COUNTIF(A5:E5,"*-*")&gt;0,"-",IF(COUNTBLANK(A5:E5)=5,"",IF(N$3="-","-",SUM(A5:E5))))</f>
        <v>83</v>
      </c>
      <c r="N5" s="94">
        <f>IF(M5="","",IF(M5="-","-",M5/N$3))</f>
        <v>0.83</v>
      </c>
      <c r="O5" s="83" t="str">
        <f>IF(N5="","",VLOOKUP(N5,Table1[],2,TRUE))</f>
        <v>A-</v>
      </c>
      <c r="P5" s="89">
        <f t="shared" ref="P5:P40" si="1">IF(COUNTIF(F5:J5,"*-*")&gt;0,"-",IF(COUNTBLANK(F5:J5)=5,"",IF(Q$3="-","-",SUM(F5:J5))))</f>
        <v>73</v>
      </c>
      <c r="Q5" s="96">
        <f>IF(P5="","",IF(P5="-", "-",P5/Q$3))</f>
        <v>0.73</v>
      </c>
      <c r="R5" s="84" t="str">
        <f>IF(Q5="","",VLOOKUP(Q5,Table1[],2,TRUE))</f>
        <v>B</v>
      </c>
      <c r="S5" s="92" t="str">
        <f>IF(AND(N5="",Q5=""),"",IF(OR(N5="-",Q5="-"),"-",IF(AND(N$3&lt;&gt;0,Q$3&lt;&gt;0),VLOOKUP(AVERAGE(N5,Q5),Table1[],2,TRUE),IF(AND(N$3&lt;&gt;0,Q$3=0),O5,R5))))</f>
        <v>B+</v>
      </c>
      <c r="T5" s="72"/>
      <c r="U5" s="72" t="str">
        <f>IF(ISBLANK(T5),S5,T5)</f>
        <v>B+</v>
      </c>
      <c r="V5" s="74" t="s">
        <v>18</v>
      </c>
    </row>
    <row r="6" spans="1:22" ht="15" customHeight="1" x14ac:dyDescent="0.25">
      <c r="A6" s="68" t="s">
        <v>18</v>
      </c>
      <c r="B6" s="68" t="s">
        <v>18</v>
      </c>
      <c r="C6" s="68"/>
      <c r="D6" s="68"/>
      <c r="E6" s="68"/>
      <c r="F6" s="79">
        <v>42</v>
      </c>
      <c r="G6" s="68"/>
      <c r="H6" s="68"/>
      <c r="I6" s="68"/>
      <c r="J6" s="68"/>
      <c r="K6" s="79"/>
      <c r="L6" s="68"/>
      <c r="M6" s="108" t="str">
        <f t="shared" si="0"/>
        <v>-</v>
      </c>
      <c r="N6" s="94" t="str">
        <f t="shared" ref="N6:N39" si="2">IF(M6="","",IF(M6="-","-",M6/N$3))</f>
        <v>-</v>
      </c>
      <c r="O6" s="83" t="str">
        <f>IF(M6="","",VLOOKUP(N6,Table1[],2,TRUE))</f>
        <v>-</v>
      </c>
      <c r="P6" s="90">
        <f t="shared" si="1"/>
        <v>42</v>
      </c>
      <c r="Q6" s="96">
        <f>IF(P6="","",IF(P6="-", "-",P6/Q$3))</f>
        <v>0.42</v>
      </c>
      <c r="R6" s="84" t="str">
        <f>IF(P6="","",VLOOKUP(Q6,Table1[],2,TRUE))</f>
        <v>D+</v>
      </c>
      <c r="S6" s="92" t="str">
        <f>IF(AND(N6="",Q6=""),"",IF(OR(N6="-",Q6="-"),"-",IF(AND(N$3&lt;&gt;0,Q$3&lt;&gt;0),VLOOKUP(AVERAGE(N6,Q6),Table1[],2,TRUE),IF(AND(N$3&lt;&gt;0,Q$3=0),O6,R6))))</f>
        <v>-</v>
      </c>
      <c r="T6" s="110"/>
      <c r="U6" s="72" t="str">
        <f t="shared" ref="U6:U40" si="3">IF(ISBLANK(T6),S6,T6)</f>
        <v>-</v>
      </c>
      <c r="V6" s="74" t="s">
        <v>18</v>
      </c>
    </row>
    <row r="7" spans="1:22" ht="15" customHeight="1" x14ac:dyDescent="0.25">
      <c r="A7" s="68">
        <v>15</v>
      </c>
      <c r="B7" s="68" t="s">
        <v>18</v>
      </c>
      <c r="C7" s="68"/>
      <c r="D7" s="68"/>
      <c r="E7" s="68"/>
      <c r="F7" s="79">
        <v>84</v>
      </c>
      <c r="G7" s="68"/>
      <c r="H7" s="68"/>
      <c r="I7" s="68"/>
      <c r="J7" s="68"/>
      <c r="K7" s="79"/>
      <c r="L7" s="68"/>
      <c r="M7" s="108" t="str">
        <f t="shared" si="0"/>
        <v>-</v>
      </c>
      <c r="N7" s="94" t="str">
        <f t="shared" si="2"/>
        <v>-</v>
      </c>
      <c r="O7" s="83" t="str">
        <f>IF(M7="","",VLOOKUP(N7,Table1[],2,TRUE))</f>
        <v>-</v>
      </c>
      <c r="P7" s="90">
        <f t="shared" si="1"/>
        <v>84</v>
      </c>
      <c r="Q7" s="96">
        <f t="shared" ref="Q7:Q39" si="4">IF(P7="","",IF(P7="-", "-",P7/Q$3))</f>
        <v>0.84</v>
      </c>
      <c r="R7" s="84" t="str">
        <f>IF(P7="","",VLOOKUP(Q7,Table1[],2,TRUE))</f>
        <v>A-</v>
      </c>
      <c r="S7" s="92" t="str">
        <f>IF(AND(N7="",Q7=""),"",IF(OR(N7="-",Q7="-"),"-",IF(AND(N$3&lt;&gt;0,Q$3&lt;&gt;0),VLOOKUP(AVERAGE(N7,Q7),Table1[],2,TRUE),IF(AND(N$3&lt;&gt;0,Q$3=0),O7,R7))))</f>
        <v>-</v>
      </c>
      <c r="T7" s="110" t="s">
        <v>11</v>
      </c>
      <c r="U7" s="72" t="str">
        <f t="shared" si="3"/>
        <v>C+</v>
      </c>
      <c r="V7" s="74" t="s">
        <v>18</v>
      </c>
    </row>
    <row r="8" spans="1:22" ht="15" customHeight="1" x14ac:dyDescent="0.25">
      <c r="A8" s="68"/>
      <c r="B8" s="68"/>
      <c r="C8" s="68"/>
      <c r="D8" s="68"/>
      <c r="E8" s="68"/>
      <c r="F8" s="79"/>
      <c r="G8" s="68"/>
      <c r="H8" s="68"/>
      <c r="I8" s="68"/>
      <c r="J8" s="68"/>
      <c r="K8" s="79"/>
      <c r="L8" s="68"/>
      <c r="M8" s="108"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2" ht="15" customHeight="1" x14ac:dyDescent="0.25">
      <c r="A9" s="68"/>
      <c r="B9" s="68"/>
      <c r="C9" s="68"/>
      <c r="D9" s="68"/>
      <c r="E9" s="68"/>
      <c r="F9" s="79"/>
      <c r="G9" s="68"/>
      <c r="H9" s="68"/>
      <c r="I9" s="68"/>
      <c r="J9" s="68"/>
      <c r="K9" s="79"/>
      <c r="L9" s="68"/>
      <c r="M9" s="108"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2" ht="15" customHeight="1" x14ac:dyDescent="0.25">
      <c r="A10" s="68"/>
      <c r="B10" s="68"/>
      <c r="C10" s="68"/>
      <c r="D10" s="68"/>
      <c r="E10" s="68"/>
      <c r="F10" s="79"/>
      <c r="G10" s="68"/>
      <c r="H10" s="68"/>
      <c r="I10" s="68"/>
      <c r="J10" s="68"/>
      <c r="K10" s="79"/>
      <c r="L10" s="68"/>
      <c r="M10" s="108"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2" ht="15" customHeight="1" x14ac:dyDescent="0.25">
      <c r="A11" s="68"/>
      <c r="B11" s="68"/>
      <c r="C11" s="68"/>
      <c r="D11" s="68"/>
      <c r="E11" s="68"/>
      <c r="F11" s="79"/>
      <c r="G11" s="68"/>
      <c r="H11" s="68"/>
      <c r="I11" s="68"/>
      <c r="J11" s="68"/>
      <c r="K11" s="79"/>
      <c r="L11" s="68"/>
      <c r="M11" s="108"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2" ht="15" customHeight="1" x14ac:dyDescent="0.25">
      <c r="A12" s="68"/>
      <c r="B12" s="68"/>
      <c r="C12" s="68"/>
      <c r="D12" s="68"/>
      <c r="E12" s="68"/>
      <c r="F12" s="79"/>
      <c r="G12" s="68"/>
      <c r="H12" s="68"/>
      <c r="I12" s="68"/>
      <c r="J12" s="68"/>
      <c r="K12" s="79"/>
      <c r="L12" s="68"/>
      <c r="M12" s="108"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2" ht="15" customHeight="1" x14ac:dyDescent="0.25">
      <c r="A13" s="68"/>
      <c r="B13" s="68"/>
      <c r="C13" s="68"/>
      <c r="D13" s="68"/>
      <c r="E13" s="68"/>
      <c r="F13" s="79"/>
      <c r="G13" s="68"/>
      <c r="H13" s="68"/>
      <c r="I13" s="68"/>
      <c r="J13" s="68"/>
      <c r="K13" s="79"/>
      <c r="L13" s="68"/>
      <c r="M13" s="108"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2" x14ac:dyDescent="0.25">
      <c r="A14" s="68"/>
      <c r="B14" s="68"/>
      <c r="C14" s="68"/>
      <c r="D14" s="68"/>
      <c r="E14" s="68"/>
      <c r="F14" s="79"/>
      <c r="G14" s="68"/>
      <c r="H14" s="68"/>
      <c r="I14" s="68"/>
      <c r="J14" s="68"/>
      <c r="K14" s="79"/>
      <c r="L14" s="68"/>
      <c r="M14" s="108"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2" x14ac:dyDescent="0.25">
      <c r="A15" s="68"/>
      <c r="B15" s="68"/>
      <c r="C15" s="68"/>
      <c r="D15" s="68"/>
      <c r="E15" s="68"/>
      <c r="F15" s="79"/>
      <c r="G15" s="68"/>
      <c r="H15" s="68"/>
      <c r="I15" s="68"/>
      <c r="J15" s="68"/>
      <c r="K15" s="79"/>
      <c r="L15" s="68"/>
      <c r="M15" s="108"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2" x14ac:dyDescent="0.25">
      <c r="A16" s="68"/>
      <c r="B16" s="68"/>
      <c r="C16" s="68"/>
      <c r="D16" s="68"/>
      <c r="E16" s="68"/>
      <c r="F16" s="79"/>
      <c r="G16" s="68"/>
      <c r="H16" s="68"/>
      <c r="I16" s="68"/>
      <c r="J16" s="68"/>
      <c r="K16" s="79"/>
      <c r="L16" s="68"/>
      <c r="M16" s="108"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08"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08"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08"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08"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08"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08"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08"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08"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08"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08"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08"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08"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08"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08"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08"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08"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08"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08"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08"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08"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08"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08"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08"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4"/>
      <c r="M40" s="109"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F28" sqref="F2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1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opLeftCell="A10" zoomScaleNormal="100" workbookViewId="0">
      <selection activeCell="C17" sqref="C17"/>
    </sheetView>
  </sheetViews>
  <sheetFormatPr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75" x14ac:dyDescent="0.25">
      <c r="B3" s="41" t="s">
        <v>45</v>
      </c>
      <c r="C3" s="42" t="s">
        <v>43</v>
      </c>
      <c r="D3" s="43">
        <v>43641</v>
      </c>
      <c r="E3" s="44" t="s">
        <v>46</v>
      </c>
    </row>
    <row r="4" spans="2:7" ht="45" x14ac:dyDescent="0.25">
      <c r="B4" s="45" t="s">
        <v>44</v>
      </c>
      <c r="C4" s="45" t="s">
        <v>43</v>
      </c>
      <c r="D4" s="46">
        <v>43643</v>
      </c>
      <c r="E4" s="47" t="s">
        <v>47</v>
      </c>
    </row>
    <row r="5" spans="2:7" ht="135" x14ac:dyDescent="0.25">
      <c r="B5" s="45" t="s">
        <v>52</v>
      </c>
      <c r="C5" s="45" t="s">
        <v>43</v>
      </c>
      <c r="D5" s="46">
        <v>43655</v>
      </c>
      <c r="E5" s="47" t="s">
        <v>51</v>
      </c>
    </row>
    <row r="6" spans="2:7" x14ac:dyDescent="0.25">
      <c r="B6" s="45" t="s">
        <v>53</v>
      </c>
      <c r="C6" s="45" t="s">
        <v>43</v>
      </c>
      <c r="D6" s="46">
        <v>43663</v>
      </c>
      <c r="E6" s="47" t="s">
        <v>54</v>
      </c>
    </row>
    <row r="7" spans="2:7" ht="60" x14ac:dyDescent="0.25">
      <c r="B7" s="45" t="s">
        <v>55</v>
      </c>
      <c r="C7" s="45" t="s">
        <v>43</v>
      </c>
      <c r="D7" s="46">
        <v>43678</v>
      </c>
      <c r="E7" s="47" t="s">
        <v>56</v>
      </c>
    </row>
    <row r="8" spans="2:7" x14ac:dyDescent="0.25">
      <c r="B8" s="45" t="s">
        <v>57</v>
      </c>
      <c r="C8" s="45" t="s">
        <v>43</v>
      </c>
      <c r="D8" s="46">
        <v>43679</v>
      </c>
      <c r="E8" s="47" t="s">
        <v>58</v>
      </c>
    </row>
    <row r="9" spans="2:7" x14ac:dyDescent="0.25">
      <c r="B9" s="45" t="s">
        <v>59</v>
      </c>
      <c r="C9" s="45" t="s">
        <v>43</v>
      </c>
      <c r="D9" s="46">
        <v>43684</v>
      </c>
      <c r="E9" s="47" t="s">
        <v>60</v>
      </c>
    </row>
    <row r="10" spans="2:7" ht="30" x14ac:dyDescent="0.25">
      <c r="B10" s="45" t="s">
        <v>61</v>
      </c>
      <c r="C10" s="45" t="s">
        <v>43</v>
      </c>
      <c r="D10" s="46">
        <v>43738</v>
      </c>
      <c r="E10" s="47" t="s">
        <v>62</v>
      </c>
    </row>
    <row r="11" spans="2:7" ht="45" x14ac:dyDescent="0.25">
      <c r="B11" s="45" t="s">
        <v>63</v>
      </c>
      <c r="C11" s="45" t="s">
        <v>43</v>
      </c>
      <c r="D11" s="46">
        <v>43742</v>
      </c>
      <c r="E11" s="47" t="s">
        <v>64</v>
      </c>
    </row>
    <row r="12" spans="2:7" x14ac:dyDescent="0.25">
      <c r="B12" s="45" t="s">
        <v>68</v>
      </c>
      <c r="C12" s="45" t="s">
        <v>43</v>
      </c>
      <c r="D12" s="45" t="s">
        <v>69</v>
      </c>
      <c r="E12" s="47" t="s">
        <v>69</v>
      </c>
    </row>
    <row r="13" spans="2:7" ht="30" x14ac:dyDescent="0.25">
      <c r="B13" s="45" t="s">
        <v>70</v>
      </c>
      <c r="C13" s="45" t="s">
        <v>43</v>
      </c>
      <c r="D13" s="71">
        <v>43810</v>
      </c>
      <c r="E13" s="47" t="s">
        <v>71</v>
      </c>
    </row>
    <row r="14" spans="2:7" ht="60" x14ac:dyDescent="0.25">
      <c r="B14" s="45" t="s">
        <v>75</v>
      </c>
      <c r="C14" s="45" t="s">
        <v>43</v>
      </c>
      <c r="D14" s="71">
        <v>43811</v>
      </c>
      <c r="E14" s="47" t="s">
        <v>76</v>
      </c>
    </row>
    <row r="15" spans="2:7" ht="45" x14ac:dyDescent="0.25">
      <c r="B15" s="45" t="s">
        <v>79</v>
      </c>
      <c r="C15" s="45" t="s">
        <v>43</v>
      </c>
      <c r="D15" s="71">
        <v>43895</v>
      </c>
      <c r="E15" s="47" t="s">
        <v>83</v>
      </c>
    </row>
    <row r="16" spans="2:7" x14ac:dyDescent="0.25">
      <c r="B16" s="45" t="s">
        <v>78</v>
      </c>
      <c r="C16" s="45" t="s">
        <v>43</v>
      </c>
      <c r="D16" s="71">
        <v>43895</v>
      </c>
      <c r="E16" s="47" t="s">
        <v>84</v>
      </c>
    </row>
    <row r="17" spans="2:5" ht="90" x14ac:dyDescent="0.25">
      <c r="B17" s="45" t="s">
        <v>86</v>
      </c>
      <c r="C17" s="45" t="s">
        <v>43</v>
      </c>
      <c r="D17" s="71">
        <v>43896</v>
      </c>
      <c r="E17" s="47" t="s">
        <v>85</v>
      </c>
    </row>
    <row r="18" spans="2:5" x14ac:dyDescent="0.25">
      <c r="B18" s="45"/>
      <c r="C18" s="45"/>
      <c r="D18" s="45"/>
      <c r="E18" s="47"/>
    </row>
    <row r="19" spans="2:5" x14ac:dyDescent="0.25">
      <c r="B19" s="45"/>
      <c r="C19" s="45"/>
      <c r="D19" s="45"/>
      <c r="E19" s="47"/>
    </row>
    <row r="20" spans="2:5" x14ac:dyDescent="0.25">
      <c r="B20" s="45"/>
      <c r="C20" s="45"/>
      <c r="D20" s="45"/>
      <c r="E20" s="47"/>
    </row>
    <row r="21" spans="2:5" x14ac:dyDescent="0.25">
      <c r="B21" s="45"/>
      <c r="C21" s="45"/>
      <c r="D21" s="45"/>
      <c r="E21" s="47"/>
    </row>
    <row r="22" spans="2:5" x14ac:dyDescent="0.25">
      <c r="B22" s="45"/>
      <c r="C22" s="45"/>
      <c r="D22" s="45"/>
      <c r="E22" s="47"/>
    </row>
    <row r="23" spans="2:5" x14ac:dyDescent="0.25">
      <c r="B23" s="45"/>
      <c r="C23" s="45"/>
      <c r="D23" s="45"/>
      <c r="E23" s="47"/>
    </row>
    <row r="24" spans="2:5" x14ac:dyDescent="0.25">
      <c r="B24" s="45"/>
      <c r="C24" s="45"/>
      <c r="D24" s="45"/>
      <c r="E24" s="47"/>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2020-09-24T23:36:31Z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