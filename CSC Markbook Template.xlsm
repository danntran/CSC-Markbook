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CCCB59F7-8272-44A9-8472-A44BD6E2441C}" xr6:coauthVersionLast="31" xr6:coauthVersionMax="44" xr10:uidLastSave="{00000000-0000-0000-0000-000000000000}"/>
  <bookViews>
    <workbookView xWindow="0" yWindow="0" windowWidth="28800" windowHeight="12225" tabRatio="723"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T12" i="4" l="1"/>
  <c r="AV12" i="4" s="1"/>
  <c r="AT11" i="4"/>
  <c r="AV11" i="4" s="1"/>
  <c r="AT8" i="4"/>
  <c r="AV8" i="4" s="1"/>
  <c r="AT7" i="4"/>
  <c r="AV7" i="4" s="1"/>
  <c r="AT4" i="4"/>
  <c r="AQ4" i="4"/>
  <c r="AU3" i="4"/>
  <c r="AT40" i="4" s="1"/>
  <c r="AT3" i="4"/>
  <c r="AR3" i="4"/>
  <c r="AQ3" i="4"/>
  <c r="R14" i="4"/>
  <c r="S14" i="4" s="1"/>
  <c r="R12" i="4"/>
  <c r="S12" i="4" s="1"/>
  <c r="R10" i="4"/>
  <c r="S10" i="4" s="1"/>
  <c r="R8" i="4"/>
  <c r="S8" i="4" s="1"/>
  <c r="R6" i="4"/>
  <c r="S6" i="4" s="1"/>
  <c r="U5" i="4"/>
  <c r="V5" i="4" s="1"/>
  <c r="W5" i="4" s="1"/>
  <c r="R5" i="4"/>
  <c r="S5" i="4" s="1"/>
  <c r="T5" i="4" s="1"/>
  <c r="U4" i="4"/>
  <c r="R4" i="4"/>
  <c r="V3" i="4"/>
  <c r="U40" i="4" s="1"/>
  <c r="U3" i="4"/>
  <c r="S3" i="4"/>
  <c r="R13" i="4" s="1"/>
  <c r="S13" i="4" s="1"/>
  <c r="R3" i="4"/>
  <c r="U7" i="4" l="1"/>
  <c r="W7" i="4" s="1"/>
  <c r="U9" i="4"/>
  <c r="W9" i="4" s="1"/>
  <c r="U13" i="4"/>
  <c r="W13" i="4" s="1"/>
  <c r="U6" i="4"/>
  <c r="W6" i="4" s="1"/>
  <c r="U8" i="4"/>
  <c r="W8" i="4" s="1"/>
  <c r="U10" i="4"/>
  <c r="W10" i="4" s="1"/>
  <c r="U12" i="4"/>
  <c r="W12" i="4" s="1"/>
  <c r="U14" i="4"/>
  <c r="AT5" i="4"/>
  <c r="AU5" i="4" s="1"/>
  <c r="AV5" i="4" s="1"/>
  <c r="AT9" i="4"/>
  <c r="AV9" i="4" s="1"/>
  <c r="AT13" i="4"/>
  <c r="U11" i="4"/>
  <c r="W11" i="4" s="1"/>
  <c r="R7" i="4"/>
  <c r="S7" i="4" s="1"/>
  <c r="R9" i="4"/>
  <c r="S9" i="4" s="1"/>
  <c r="R11" i="4"/>
  <c r="S11" i="4" s="1"/>
  <c r="AT6" i="4"/>
  <c r="AV6" i="4" s="1"/>
  <c r="AT10" i="4"/>
  <c r="AV10" i="4" s="1"/>
  <c r="AQ40" i="4"/>
  <c r="AQ39" i="4"/>
  <c r="AQ38" i="4"/>
  <c r="AQ37" i="4"/>
  <c r="AQ36" i="4"/>
  <c r="AQ35" i="4"/>
  <c r="AQ34" i="4"/>
  <c r="AQ14" i="4"/>
  <c r="AQ16" i="4"/>
  <c r="AQ18" i="4"/>
  <c r="AQ20" i="4"/>
  <c r="AQ22" i="4"/>
  <c r="AQ24" i="4"/>
  <c r="AQ26" i="4"/>
  <c r="AQ28" i="4"/>
  <c r="AQ30" i="4"/>
  <c r="AQ32" i="4"/>
  <c r="AQ5" i="4"/>
  <c r="AR5" i="4" s="1"/>
  <c r="AQ6" i="4"/>
  <c r="AQ7" i="4"/>
  <c r="AQ8" i="4"/>
  <c r="AQ9" i="4"/>
  <c r="AQ10" i="4"/>
  <c r="AQ11" i="4"/>
  <c r="AQ12" i="4"/>
  <c r="AQ13" i="4"/>
  <c r="AQ15" i="4"/>
  <c r="AQ17" i="4"/>
  <c r="AQ19" i="4"/>
  <c r="AQ21" i="4"/>
  <c r="AQ23" i="4"/>
  <c r="AQ25" i="4"/>
  <c r="AQ27" i="4"/>
  <c r="AQ29" i="4"/>
  <c r="AQ31" i="4"/>
  <c r="AQ33" i="4"/>
  <c r="AV40" i="4"/>
  <c r="AU40" i="4"/>
  <c r="AU6" i="4"/>
  <c r="AU7" i="4"/>
  <c r="AU8" i="4"/>
  <c r="AU9" i="4"/>
  <c r="AU11" i="4"/>
  <c r="AU12" i="4"/>
  <c r="AT14" i="4"/>
  <c r="AT15" i="4"/>
  <c r="AT16" i="4"/>
  <c r="AT17" i="4"/>
  <c r="AT18" i="4"/>
  <c r="AT19" i="4"/>
  <c r="AT20" i="4"/>
  <c r="AT21" i="4"/>
  <c r="AT22" i="4"/>
  <c r="AT23" i="4"/>
  <c r="AT24" i="4"/>
  <c r="AT25" i="4"/>
  <c r="AT26" i="4"/>
  <c r="AT27" i="4"/>
  <c r="AT28" i="4"/>
  <c r="AT29" i="4"/>
  <c r="AT30" i="4"/>
  <c r="AT31" i="4"/>
  <c r="AT32" i="4"/>
  <c r="AT33" i="4"/>
  <c r="AT34" i="4"/>
  <c r="AT35" i="4"/>
  <c r="AT36" i="4"/>
  <c r="AT37" i="4"/>
  <c r="AT38" i="4"/>
  <c r="AT39" i="4"/>
  <c r="X13" i="4"/>
  <c r="Z13" i="4" s="1"/>
  <c r="X5" i="4"/>
  <c r="Z5" i="4" s="1"/>
  <c r="R40" i="4"/>
  <c r="R39" i="4"/>
  <c r="R38" i="4"/>
  <c r="R37" i="4"/>
  <c r="R36" i="4"/>
  <c r="R35" i="4"/>
  <c r="T6" i="4"/>
  <c r="V7" i="4"/>
  <c r="T8" i="4"/>
  <c r="T10" i="4"/>
  <c r="V11" i="4"/>
  <c r="T12" i="4"/>
  <c r="V13" i="4"/>
  <c r="T14" i="4"/>
  <c r="R15" i="4"/>
  <c r="R16" i="4"/>
  <c r="R17" i="4"/>
  <c r="R18" i="4"/>
  <c r="R19" i="4"/>
  <c r="R20" i="4"/>
  <c r="R21" i="4"/>
  <c r="R22" i="4"/>
  <c r="R23" i="4"/>
  <c r="R24" i="4"/>
  <c r="R25" i="4"/>
  <c r="R26" i="4"/>
  <c r="R27" i="4"/>
  <c r="R28" i="4"/>
  <c r="R29" i="4"/>
  <c r="R30" i="4"/>
  <c r="R31" i="4"/>
  <c r="R32" i="4"/>
  <c r="R33" i="4"/>
  <c r="R34" i="4"/>
  <c r="W40" i="4"/>
  <c r="V40" i="4"/>
  <c r="V6" i="4"/>
  <c r="X6" i="4" s="1"/>
  <c r="Z6" i="4" s="1"/>
  <c r="T9" i="4"/>
  <c r="V10" i="4"/>
  <c r="X10" i="4" s="1"/>
  <c r="Z10" i="4" s="1"/>
  <c r="T11" i="4"/>
  <c r="V12" i="4"/>
  <c r="X12" i="4" s="1"/>
  <c r="Z12" i="4" s="1"/>
  <c r="T13" i="4"/>
  <c r="U15" i="4"/>
  <c r="U16" i="4"/>
  <c r="U17" i="4"/>
  <c r="U18" i="4"/>
  <c r="U19" i="4"/>
  <c r="U20" i="4"/>
  <c r="U21" i="4"/>
  <c r="U22" i="4"/>
  <c r="U23" i="4"/>
  <c r="U24" i="4"/>
  <c r="U25" i="4"/>
  <c r="U26" i="4"/>
  <c r="U27" i="4"/>
  <c r="U28" i="4"/>
  <c r="U29" i="4"/>
  <c r="U30" i="4"/>
  <c r="U31" i="4"/>
  <c r="U32" i="4"/>
  <c r="U33" i="4"/>
  <c r="U34" i="4"/>
  <c r="U35" i="4"/>
  <c r="U36" i="4"/>
  <c r="U37" i="4"/>
  <c r="U38" i="4"/>
  <c r="U39" i="4"/>
  <c r="B2" i="3"/>
  <c r="T7" i="4" l="1"/>
  <c r="AV13" i="4"/>
  <c r="AU13" i="4"/>
  <c r="V9" i="4"/>
  <c r="X9" i="4" s="1"/>
  <c r="Z9" i="4" s="1"/>
  <c r="V8" i="4"/>
  <c r="X8" i="4" s="1"/>
  <c r="Z8" i="4" s="1"/>
  <c r="X11" i="4"/>
  <c r="Z11" i="4" s="1"/>
  <c r="X7" i="4"/>
  <c r="Z7" i="4" s="1"/>
  <c r="AU10" i="4"/>
  <c r="W14" i="4"/>
  <c r="V14" i="4"/>
  <c r="X14" i="4" s="1"/>
  <c r="Z14" i="4" s="1"/>
  <c r="AV36" i="4"/>
  <c r="AU36" i="4"/>
  <c r="AV24" i="4"/>
  <c r="AU24" i="4"/>
  <c r="AS33" i="4"/>
  <c r="AR33" i="4"/>
  <c r="AS11" i="4"/>
  <c r="AR11" i="4"/>
  <c r="AW11" i="4" s="1"/>
  <c r="AY11" i="4" s="1"/>
  <c r="AS37" i="4"/>
  <c r="AR37" i="4"/>
  <c r="AV39" i="4"/>
  <c r="AU39" i="4"/>
  <c r="AU35" i="4"/>
  <c r="AV35" i="4"/>
  <c r="AV31" i="4"/>
  <c r="AU31" i="4"/>
  <c r="AV27" i="4"/>
  <c r="AU27" i="4"/>
  <c r="AV23" i="4"/>
  <c r="AU23" i="4"/>
  <c r="AV19" i="4"/>
  <c r="AU19" i="4"/>
  <c r="AV15" i="4"/>
  <c r="AU15" i="4"/>
  <c r="AS31" i="4"/>
  <c r="AR31" i="4"/>
  <c r="AS23" i="4"/>
  <c r="AR23" i="4"/>
  <c r="AW23" i="4" s="1"/>
  <c r="AY23" i="4" s="1"/>
  <c r="AS15" i="4"/>
  <c r="AR15" i="4"/>
  <c r="AS10" i="4"/>
  <c r="AR10" i="4"/>
  <c r="AW10" i="4" s="1"/>
  <c r="AY10" i="4" s="1"/>
  <c r="AS6" i="4"/>
  <c r="AR6" i="4"/>
  <c r="AW6" i="4" s="1"/>
  <c r="AY6" i="4" s="1"/>
  <c r="AS28" i="4"/>
  <c r="AR28" i="4"/>
  <c r="AS20" i="4"/>
  <c r="AR20" i="4"/>
  <c r="AS34" i="4"/>
  <c r="AR34" i="4"/>
  <c r="AS38" i="4"/>
  <c r="AR38" i="4"/>
  <c r="AV28" i="4"/>
  <c r="AU28" i="4"/>
  <c r="AV16" i="4"/>
  <c r="AU16" i="4"/>
  <c r="AS17" i="4"/>
  <c r="AR17" i="4"/>
  <c r="AS30" i="4"/>
  <c r="AR30" i="4"/>
  <c r="AS22" i="4"/>
  <c r="AR22" i="4"/>
  <c r="AW22" i="4" s="1"/>
  <c r="AY22" i="4" s="1"/>
  <c r="AV38" i="4"/>
  <c r="AU38" i="4"/>
  <c r="AV34" i="4"/>
  <c r="AU34" i="4"/>
  <c r="AV30" i="4"/>
  <c r="AU30" i="4"/>
  <c r="AV26" i="4"/>
  <c r="AU26" i="4"/>
  <c r="AV22" i="4"/>
  <c r="AU22" i="4"/>
  <c r="AV18" i="4"/>
  <c r="AU18" i="4"/>
  <c r="AV14" i="4"/>
  <c r="AU14" i="4"/>
  <c r="AS29" i="4"/>
  <c r="AR29" i="4"/>
  <c r="AS21" i="4"/>
  <c r="AR21" i="4"/>
  <c r="AS13" i="4"/>
  <c r="AR13" i="4"/>
  <c r="AW13" i="4" s="1"/>
  <c r="AY13" i="4" s="1"/>
  <c r="AS9" i="4"/>
  <c r="AR9" i="4"/>
  <c r="AW9" i="4" s="1"/>
  <c r="AY9" i="4" s="1"/>
  <c r="AW5" i="4"/>
  <c r="AY5" i="4" s="1"/>
  <c r="AS5" i="4"/>
  <c r="AS26" i="4"/>
  <c r="AR26" i="4"/>
  <c r="AS18" i="4"/>
  <c r="AR18" i="4"/>
  <c r="AW18" i="4" s="1"/>
  <c r="AY18" i="4" s="1"/>
  <c r="AS35" i="4"/>
  <c r="AR35" i="4"/>
  <c r="AW35" i="4" s="1"/>
  <c r="AY35" i="4" s="1"/>
  <c r="AS39" i="4"/>
  <c r="AR39" i="4"/>
  <c r="AW39" i="4" s="1"/>
  <c r="AY39" i="4" s="1"/>
  <c r="AV32" i="4"/>
  <c r="AU32" i="4"/>
  <c r="AV20" i="4"/>
  <c r="AU20" i="4"/>
  <c r="AS25" i="4"/>
  <c r="AR25" i="4"/>
  <c r="AS7" i="4"/>
  <c r="AR7" i="4"/>
  <c r="AW7" i="4" s="1"/>
  <c r="AY7" i="4" s="1"/>
  <c r="AS14" i="4"/>
  <c r="AR14" i="4"/>
  <c r="AW14" i="4" s="1"/>
  <c r="AY14" i="4" s="1"/>
  <c r="AV37" i="4"/>
  <c r="AU37" i="4"/>
  <c r="AV33" i="4"/>
  <c r="AU33" i="4"/>
  <c r="AV29" i="4"/>
  <c r="AU29" i="4"/>
  <c r="AV25" i="4"/>
  <c r="AU25" i="4"/>
  <c r="AV21" i="4"/>
  <c r="AU21" i="4"/>
  <c r="AV17" i="4"/>
  <c r="AU17" i="4"/>
  <c r="AS27" i="4"/>
  <c r="AR27" i="4"/>
  <c r="AW27" i="4" s="1"/>
  <c r="AY27" i="4" s="1"/>
  <c r="AS19" i="4"/>
  <c r="AR19" i="4"/>
  <c r="AW19" i="4" s="1"/>
  <c r="AY19" i="4" s="1"/>
  <c r="AS12" i="4"/>
  <c r="AR12" i="4"/>
  <c r="AW12" i="4" s="1"/>
  <c r="AY12" i="4" s="1"/>
  <c r="AS8" i="4"/>
  <c r="AR8" i="4"/>
  <c r="AW8" i="4" s="1"/>
  <c r="AY8" i="4" s="1"/>
  <c r="AS32" i="4"/>
  <c r="AR32" i="4"/>
  <c r="AW32" i="4" s="1"/>
  <c r="AY32" i="4" s="1"/>
  <c r="AS24" i="4"/>
  <c r="AR24" i="4"/>
  <c r="AW24" i="4" s="1"/>
  <c r="AY24" i="4" s="1"/>
  <c r="AS16" i="4"/>
  <c r="AR16" i="4"/>
  <c r="AW16" i="4" s="1"/>
  <c r="AY16" i="4" s="1"/>
  <c r="AS36" i="4"/>
  <c r="AR36" i="4"/>
  <c r="AW36" i="4" s="1"/>
  <c r="AY36" i="4" s="1"/>
  <c r="AS40" i="4"/>
  <c r="AR40" i="4"/>
  <c r="AW40" i="4" s="1"/>
  <c r="AY40" i="4" s="1"/>
  <c r="W38" i="4"/>
  <c r="V38" i="4"/>
  <c r="W30" i="4"/>
  <c r="V30" i="4"/>
  <c r="W26" i="4"/>
  <c r="V26" i="4"/>
  <c r="W18" i="4"/>
  <c r="V18" i="4"/>
  <c r="S32" i="4"/>
  <c r="T32" i="4"/>
  <c r="S24" i="4"/>
  <c r="T24" i="4"/>
  <c r="S20" i="4"/>
  <c r="T20" i="4"/>
  <c r="S36" i="4"/>
  <c r="T36" i="4"/>
  <c r="S40" i="4"/>
  <c r="X40" i="4" s="1"/>
  <c r="Z40" i="4" s="1"/>
  <c r="T40" i="4"/>
  <c r="W36" i="4"/>
  <c r="V36" i="4"/>
  <c r="W32" i="4"/>
  <c r="V32" i="4"/>
  <c r="W28" i="4"/>
  <c r="V28" i="4"/>
  <c r="W24" i="4"/>
  <c r="V24" i="4"/>
  <c r="W20" i="4"/>
  <c r="V20" i="4"/>
  <c r="W16" i="4"/>
  <c r="V16" i="4"/>
  <c r="S34" i="4"/>
  <c r="T34" i="4"/>
  <c r="S30" i="4"/>
  <c r="T30" i="4"/>
  <c r="S26" i="4"/>
  <c r="T26" i="4"/>
  <c r="S22" i="4"/>
  <c r="T22" i="4"/>
  <c r="S18" i="4"/>
  <c r="T18" i="4"/>
  <c r="S38" i="4"/>
  <c r="T38" i="4"/>
  <c r="W39" i="4"/>
  <c r="V39" i="4"/>
  <c r="W35" i="4"/>
  <c r="V35" i="4"/>
  <c r="W31" i="4"/>
  <c r="V31" i="4"/>
  <c r="W27" i="4"/>
  <c r="V27" i="4"/>
  <c r="W23" i="4"/>
  <c r="V23" i="4"/>
  <c r="W19" i="4"/>
  <c r="V19" i="4"/>
  <c r="W15" i="4"/>
  <c r="V15" i="4"/>
  <c r="S33" i="4"/>
  <c r="T33" i="4"/>
  <c r="S29" i="4"/>
  <c r="T29" i="4"/>
  <c r="S25" i="4"/>
  <c r="T25" i="4"/>
  <c r="S21" i="4"/>
  <c r="T21" i="4"/>
  <c r="S17" i="4"/>
  <c r="T17" i="4"/>
  <c r="S35" i="4"/>
  <c r="T35" i="4"/>
  <c r="S39" i="4"/>
  <c r="T39" i="4"/>
  <c r="W34" i="4"/>
  <c r="V34" i="4"/>
  <c r="W22" i="4"/>
  <c r="V22" i="4"/>
  <c r="S28" i="4"/>
  <c r="T28" i="4"/>
  <c r="S16" i="4"/>
  <c r="T16" i="4"/>
  <c r="W37" i="4"/>
  <c r="V37" i="4"/>
  <c r="W33" i="4"/>
  <c r="V33" i="4"/>
  <c r="W29" i="4"/>
  <c r="V29" i="4"/>
  <c r="W25" i="4"/>
  <c r="V25" i="4"/>
  <c r="W21" i="4"/>
  <c r="V21" i="4"/>
  <c r="W17" i="4"/>
  <c r="V17" i="4"/>
  <c r="S31" i="4"/>
  <c r="T31" i="4"/>
  <c r="S27" i="4"/>
  <c r="T27" i="4"/>
  <c r="S23" i="4"/>
  <c r="T23" i="4"/>
  <c r="S19" i="4"/>
  <c r="T19" i="4"/>
  <c r="S15" i="4"/>
  <c r="T15" i="4"/>
  <c r="S37" i="4"/>
  <c r="T37" i="4"/>
  <c r="S40" i="14"/>
  <c r="S39" i="14"/>
  <c r="S38" i="14"/>
  <c r="S37" i="14"/>
  <c r="S36" i="14"/>
  <c r="S35" i="14"/>
  <c r="S34" i="14"/>
  <c r="S33" i="14"/>
  <c r="S32" i="14"/>
  <c r="S31" i="14"/>
  <c r="S30" i="14"/>
  <c r="S29" i="14"/>
  <c r="S28" i="14"/>
  <c r="S27" i="14"/>
  <c r="S26" i="14"/>
  <c r="S25" i="14"/>
  <c r="S24" i="14"/>
  <c r="S23" i="14"/>
  <c r="S22" i="14"/>
  <c r="S21" i="14"/>
  <c r="S20" i="14"/>
  <c r="S19" i="14"/>
  <c r="S18" i="14"/>
  <c r="S17" i="14"/>
  <c r="S16" i="14"/>
  <c r="S15" i="14"/>
  <c r="S14" i="14"/>
  <c r="S13" i="14"/>
  <c r="S12" i="14"/>
  <c r="S11" i="14"/>
  <c r="S10" i="14"/>
  <c r="S9" i="14"/>
  <c r="S8" i="14"/>
  <c r="S7" i="14"/>
  <c r="S6" i="14"/>
  <c r="S5" i="14"/>
  <c r="T5" i="14" s="1"/>
  <c r="V5" i="14" s="1"/>
  <c r="V40" i="14"/>
  <c r="V38" i="14"/>
  <c r="V36" i="14"/>
  <c r="V34" i="14"/>
  <c r="V32" i="14"/>
  <c r="V30" i="14"/>
  <c r="V28" i="14"/>
  <c r="V26" i="14"/>
  <c r="V24" i="14"/>
  <c r="V22" i="14"/>
  <c r="V20" i="14"/>
  <c r="V18" i="14"/>
  <c r="V16" i="14"/>
  <c r="V14" i="14"/>
  <c r="V12" i="14"/>
  <c r="V10" i="14"/>
  <c r="V8" i="14"/>
  <c r="V6" i="14"/>
  <c r="T40" i="14"/>
  <c r="T39" i="14"/>
  <c r="V39" i="14" s="1"/>
  <c r="T38" i="14"/>
  <c r="T37" i="14"/>
  <c r="V37" i="14" s="1"/>
  <c r="T36" i="14"/>
  <c r="T35" i="14"/>
  <c r="V35" i="14" s="1"/>
  <c r="T34" i="14"/>
  <c r="T33" i="14"/>
  <c r="V33" i="14" s="1"/>
  <c r="T32" i="14"/>
  <c r="T31" i="14"/>
  <c r="V31" i="14" s="1"/>
  <c r="T30" i="14"/>
  <c r="T29" i="14"/>
  <c r="V29" i="14" s="1"/>
  <c r="T28" i="14"/>
  <c r="T27" i="14"/>
  <c r="V27" i="14" s="1"/>
  <c r="T26" i="14"/>
  <c r="T25" i="14"/>
  <c r="V25" i="14" s="1"/>
  <c r="T24" i="14"/>
  <c r="T23" i="14"/>
  <c r="V23" i="14" s="1"/>
  <c r="T22" i="14"/>
  <c r="T21" i="14"/>
  <c r="V21" i="14" s="1"/>
  <c r="T20" i="14"/>
  <c r="T19" i="14"/>
  <c r="V19" i="14" s="1"/>
  <c r="T18" i="14"/>
  <c r="T17" i="14"/>
  <c r="V17" i="14" s="1"/>
  <c r="T16" i="14"/>
  <c r="T15" i="14"/>
  <c r="V15" i="14" s="1"/>
  <c r="T14" i="14"/>
  <c r="T13" i="14"/>
  <c r="V13" i="14" s="1"/>
  <c r="T12" i="14"/>
  <c r="T11" i="14"/>
  <c r="V11" i="14" s="1"/>
  <c r="T10" i="14"/>
  <c r="T9" i="14"/>
  <c r="V9" i="14" s="1"/>
  <c r="T8" i="14"/>
  <c r="T7" i="14"/>
  <c r="V7" i="14" s="1"/>
  <c r="T6" i="14"/>
  <c r="Q40" i="14"/>
  <c r="Q39" i="14"/>
  <c r="Q38" i="14"/>
  <c r="Q37" i="14"/>
  <c r="Q36" i="14"/>
  <c r="Q35" i="14"/>
  <c r="Q34" i="14"/>
  <c r="Q33" i="14"/>
  <c r="Q32" i="14"/>
  <c r="Q31" i="14"/>
  <c r="Q30" i="14"/>
  <c r="Q29" i="14"/>
  <c r="Q28" i="14"/>
  <c r="Q27" i="14"/>
  <c r="Q26" i="14"/>
  <c r="Q25" i="14"/>
  <c r="Q24" i="14"/>
  <c r="Q23" i="14"/>
  <c r="Q22" i="14"/>
  <c r="Q21" i="14"/>
  <c r="Q20" i="14"/>
  <c r="Q19" i="14"/>
  <c r="Q18" i="14"/>
  <c r="Q17" i="14"/>
  <c r="Q16" i="14"/>
  <c r="Q15" i="14"/>
  <c r="Q14" i="14"/>
  <c r="Q13" i="14"/>
  <c r="Q12" i="14"/>
  <c r="Q11" i="14"/>
  <c r="Q10" i="14"/>
  <c r="Q9" i="14"/>
  <c r="Q8" i="14"/>
  <c r="Q7" i="14"/>
  <c r="Q6" i="14"/>
  <c r="Q5" i="14"/>
  <c r="P40" i="14"/>
  <c r="P39" i="14"/>
  <c r="P38" i="14"/>
  <c r="P37" i="14"/>
  <c r="P36" i="14"/>
  <c r="P35" i="14"/>
  <c r="P34" i="14"/>
  <c r="P33" i="14"/>
  <c r="P32" i="14"/>
  <c r="P31" i="14"/>
  <c r="P30" i="14"/>
  <c r="P29" i="14"/>
  <c r="P28" i="14"/>
  <c r="P27" i="14"/>
  <c r="P26" i="14"/>
  <c r="P25" i="14"/>
  <c r="P24" i="14"/>
  <c r="P23" i="14"/>
  <c r="P22" i="14"/>
  <c r="P21" i="14"/>
  <c r="P20" i="14"/>
  <c r="P19" i="14"/>
  <c r="P18" i="14"/>
  <c r="P17" i="14"/>
  <c r="P16" i="14"/>
  <c r="P15" i="14"/>
  <c r="P14" i="14"/>
  <c r="P13" i="14"/>
  <c r="P12" i="14"/>
  <c r="P11" i="14"/>
  <c r="P10" i="14"/>
  <c r="P9" i="14"/>
  <c r="P8" i="14"/>
  <c r="P7" i="14"/>
  <c r="P6" i="14"/>
  <c r="P5" i="14"/>
  <c r="X19" i="4" l="1"/>
  <c r="Z19" i="4" s="1"/>
  <c r="X27" i="4"/>
  <c r="Z27" i="4" s="1"/>
  <c r="X16" i="4"/>
  <c r="Z16" i="4" s="1"/>
  <c r="X38" i="4"/>
  <c r="Z38" i="4" s="1"/>
  <c r="X35" i="4"/>
  <c r="Z35" i="4" s="1"/>
  <c r="X26" i="4"/>
  <c r="Z26" i="4" s="1"/>
  <c r="X24" i="4"/>
  <c r="Z24" i="4" s="1"/>
  <c r="AW29" i="4"/>
  <c r="AY29" i="4" s="1"/>
  <c r="AW17" i="4"/>
  <c r="AY17" i="4" s="1"/>
  <c r="AW34" i="4"/>
  <c r="AY34" i="4" s="1"/>
  <c r="AW28" i="4"/>
  <c r="AY28" i="4" s="1"/>
  <c r="AW25" i="4"/>
  <c r="AY25" i="4" s="1"/>
  <c r="AW30" i="4"/>
  <c r="AY30" i="4" s="1"/>
  <c r="AW38" i="4"/>
  <c r="AY38" i="4" s="1"/>
  <c r="AW20" i="4"/>
  <c r="AY20" i="4" s="1"/>
  <c r="AW15" i="4"/>
  <c r="AY15" i="4" s="1"/>
  <c r="AW31" i="4"/>
  <c r="AY31" i="4" s="1"/>
  <c r="AW37" i="4"/>
  <c r="AY37" i="4" s="1"/>
  <c r="AW33" i="4"/>
  <c r="AY33" i="4" s="1"/>
  <c r="AW26" i="4"/>
  <c r="AY26" i="4" s="1"/>
  <c r="AW21" i="4"/>
  <c r="AY21" i="4" s="1"/>
  <c r="X15" i="4"/>
  <c r="Z15" i="4" s="1"/>
  <c r="X28" i="4"/>
  <c r="Z28" i="4" s="1"/>
  <c r="X36" i="4"/>
  <c r="Z36" i="4" s="1"/>
  <c r="X23" i="4"/>
  <c r="Z23" i="4" s="1"/>
  <c r="X31" i="4"/>
  <c r="Z31" i="4" s="1"/>
  <c r="X21" i="4"/>
  <c r="Z21" i="4" s="1"/>
  <c r="X29" i="4"/>
  <c r="Z29" i="4" s="1"/>
  <c r="X18" i="4"/>
  <c r="Z18" i="4" s="1"/>
  <c r="X34" i="4"/>
  <c r="Z34" i="4" s="1"/>
  <c r="X37" i="4"/>
  <c r="Z37" i="4" s="1"/>
  <c r="X39" i="4"/>
  <c r="Z39" i="4" s="1"/>
  <c r="X17" i="4"/>
  <c r="Z17" i="4" s="1"/>
  <c r="X25" i="4"/>
  <c r="Z25" i="4" s="1"/>
  <c r="X33" i="4"/>
  <c r="Z33" i="4" s="1"/>
  <c r="X22" i="4"/>
  <c r="Z22" i="4" s="1"/>
  <c r="X30" i="4"/>
  <c r="Z30" i="4" s="1"/>
  <c r="X20" i="4"/>
  <c r="Z20" i="4" s="1"/>
  <c r="X32" i="4"/>
  <c r="Z32" i="4" s="1"/>
  <c r="A1" i="17"/>
  <c r="XEB40" i="17" l="1"/>
  <c r="B40" i="17"/>
  <c r="A40" i="17"/>
  <c r="XEB39" i="17"/>
  <c r="B39" i="17"/>
  <c r="A39" i="17"/>
  <c r="XEB38" i="17"/>
  <c r="B38" i="17"/>
  <c r="A38" i="17"/>
  <c r="XEB37" i="17"/>
  <c r="B37" i="17"/>
  <c r="A37" i="17"/>
  <c r="XEB36" i="17"/>
  <c r="B36" i="17"/>
  <c r="A36" i="17"/>
  <c r="XEB35" i="17"/>
  <c r="B35" i="17"/>
  <c r="A35" i="17"/>
  <c r="XEB34" i="17"/>
  <c r="B34" i="17"/>
  <c r="A34" i="17"/>
  <c r="XEB33" i="17"/>
  <c r="B33" i="17"/>
  <c r="A33" i="17"/>
  <c r="XEB32" i="17"/>
  <c r="B32" i="17"/>
  <c r="A32" i="17"/>
  <c r="XEB31" i="17"/>
  <c r="B31" i="17"/>
  <c r="A31" i="17"/>
  <c r="XEB30" i="17"/>
  <c r="B30" i="17"/>
  <c r="A30" i="17"/>
  <c r="XEB29" i="17"/>
  <c r="B29" i="17"/>
  <c r="A29" i="17"/>
  <c r="XEB28" i="17"/>
  <c r="B28" i="17"/>
  <c r="A28" i="17"/>
  <c r="XEB27" i="17"/>
  <c r="B27" i="17"/>
  <c r="A27" i="17"/>
  <c r="XEB26" i="17"/>
  <c r="B26" i="17"/>
  <c r="A26" i="17"/>
  <c r="XEB25" i="17"/>
  <c r="B25" i="17"/>
  <c r="A25" i="17"/>
  <c r="XEB24" i="17"/>
  <c r="B24" i="17"/>
  <c r="A24" i="17"/>
  <c r="XEB23" i="17"/>
  <c r="B23" i="17"/>
  <c r="A23" i="17"/>
  <c r="XEB22" i="17"/>
  <c r="B22" i="17"/>
  <c r="A22" i="17"/>
  <c r="XEB21" i="17"/>
  <c r="B21" i="17"/>
  <c r="A21" i="17"/>
  <c r="XEB20" i="17"/>
  <c r="B20" i="17"/>
  <c r="A20" i="17"/>
  <c r="XEB19" i="17"/>
  <c r="B19" i="17"/>
  <c r="A19" i="17"/>
  <c r="XEB18" i="17"/>
  <c r="B18" i="17"/>
  <c r="A18" i="17"/>
  <c r="XEB17" i="17"/>
  <c r="B17" i="17"/>
  <c r="A17" i="17"/>
  <c r="XEB16" i="17"/>
  <c r="B16" i="17"/>
  <c r="A16" i="17"/>
  <c r="XEB15" i="17"/>
  <c r="B15" i="17"/>
  <c r="A15" i="17"/>
  <c r="XEB14" i="17"/>
  <c r="B14" i="17"/>
  <c r="A14" i="17"/>
  <c r="XEB13" i="17"/>
  <c r="B13" i="17"/>
  <c r="A13" i="17"/>
  <c r="XEB12" i="17"/>
  <c r="B12" i="17"/>
  <c r="A12" i="17"/>
  <c r="XEB11" i="17"/>
  <c r="B11" i="17"/>
  <c r="A11" i="17"/>
  <c r="XEB10" i="17"/>
  <c r="B10" i="17"/>
  <c r="A10" i="17"/>
  <c r="XEB9" i="17"/>
  <c r="B9" i="17"/>
  <c r="A9" i="17"/>
  <c r="XEB8" i="17"/>
  <c r="B8" i="17"/>
  <c r="A8" i="17"/>
  <c r="XEB7" i="17"/>
  <c r="B7" i="17"/>
  <c r="A7" i="17"/>
  <c r="XEB6" i="17"/>
  <c r="B6" i="17"/>
  <c r="A6" i="17"/>
  <c r="XEB5" i="17"/>
  <c r="B5" i="17"/>
  <c r="A5" i="17"/>
  <c r="B4" i="17"/>
  <c r="A4" i="17"/>
  <c r="P40" i="9" l="1"/>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Q25" i="9"/>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WPG6" i="4"/>
  <c r="WPG7" i="4"/>
  <c r="WPG8" i="4"/>
  <c r="WPG9" i="4"/>
  <c r="WPG10" i="4"/>
  <c r="WPG11" i="4"/>
  <c r="WPG12" i="4"/>
  <c r="WPG13" i="4"/>
  <c r="WPG14" i="4"/>
  <c r="WPG15" i="4"/>
  <c r="WPG16" i="4"/>
  <c r="WPG17" i="4"/>
  <c r="WPG18" i="4"/>
  <c r="WPG19" i="4"/>
  <c r="WPG20" i="4"/>
  <c r="WPG21" i="4"/>
  <c r="WPG22" i="4"/>
  <c r="WPG23" i="4"/>
  <c r="WPG24" i="4"/>
  <c r="WPG25" i="4"/>
  <c r="WPG26" i="4"/>
  <c r="WPG27" i="4"/>
  <c r="WPG28" i="4"/>
  <c r="WPG29" i="4"/>
  <c r="WPG30" i="4"/>
  <c r="WPG31" i="4"/>
  <c r="WPG32" i="4"/>
  <c r="WPG33" i="4"/>
  <c r="WPG34" i="4"/>
  <c r="WPG35" i="4"/>
  <c r="WPG36" i="4"/>
  <c r="WPG37" i="4"/>
  <c r="WPG38" i="4"/>
  <c r="WPG39" i="4"/>
  <c r="WPG40" i="4"/>
  <c r="WPG5" i="4"/>
  <c r="A1" i="4"/>
  <c r="B30" i="4"/>
  <c r="P6" i="9" l="1"/>
  <c r="Q6" i="9" s="1"/>
  <c r="R10" i="9"/>
  <c r="Q21" i="9"/>
  <c r="R24" i="9"/>
  <c r="Q34" i="9"/>
  <c r="Q9" i="9"/>
  <c r="Q18" i="9"/>
  <c r="Q38" i="9"/>
  <c r="P7" i="9"/>
  <c r="R26" i="9"/>
  <c r="Q40" i="9"/>
  <c r="O9" i="9"/>
  <c r="R6" i="9"/>
  <c r="Q14" i="9"/>
  <c r="Q17" i="9"/>
  <c r="Q30" i="9"/>
  <c r="Q33" i="9"/>
  <c r="Q36" i="9"/>
  <c r="Q13" i="9"/>
  <c r="R16" i="9"/>
  <c r="Q29" i="9"/>
  <c r="N26" i="9"/>
  <c r="S26" i="9" s="1"/>
  <c r="U26" i="9" s="1"/>
  <c r="N33" i="9"/>
  <c r="N34" i="9"/>
  <c r="S34" i="9" s="1"/>
  <c r="U34" i="9" s="1"/>
  <c r="N9" i="9"/>
  <c r="S9" i="9" s="1"/>
  <c r="U9" i="9" s="1"/>
  <c r="N10" i="9"/>
  <c r="S10" i="9" s="1"/>
  <c r="U10" i="9" s="1"/>
  <c r="N17" i="9"/>
  <c r="N18" i="9"/>
  <c r="N25" i="9"/>
  <c r="N13" i="9"/>
  <c r="N14" i="9"/>
  <c r="S14" i="9" s="1"/>
  <c r="U14" i="9" s="1"/>
  <c r="N29" i="9"/>
  <c r="N30" i="9"/>
  <c r="N6" i="9"/>
  <c r="S6" i="9" s="1"/>
  <c r="U6" i="9" s="1"/>
  <c r="N21" i="9"/>
  <c r="S21" i="9" s="1"/>
  <c r="U21" i="9" s="1"/>
  <c r="N22" i="9"/>
  <c r="S22" i="9" s="1"/>
  <c r="U22" i="9" s="1"/>
  <c r="R12" i="9"/>
  <c r="S17" i="9"/>
  <c r="U17" i="9" s="1"/>
  <c r="R20" i="9"/>
  <c r="S25" i="9"/>
  <c r="U25" i="9" s="1"/>
  <c r="R28" i="9"/>
  <c r="S33" i="9"/>
  <c r="U33" i="9" s="1"/>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S18" i="9"/>
  <c r="U18" i="9" s="1"/>
  <c r="O35" i="9"/>
  <c r="N35" i="9"/>
  <c r="O36" i="9"/>
  <c r="N36" i="9"/>
  <c r="S36" i="9" s="1"/>
  <c r="U36" i="9" s="1"/>
  <c r="O37" i="9"/>
  <c r="N37" i="9"/>
  <c r="O38" i="9"/>
  <c r="N38" i="9"/>
  <c r="O39" i="9"/>
  <c r="N39" i="9"/>
  <c r="O40" i="9"/>
  <c r="N40" i="9"/>
  <c r="S40" i="9" s="1"/>
  <c r="U40" i="9" s="1"/>
  <c r="T3" i="14"/>
  <c r="U5" i="14" s="1"/>
  <c r="Q3" i="14"/>
  <c r="S4" i="14"/>
  <c r="P4" i="14"/>
  <c r="S3" i="14"/>
  <c r="P3" i="14"/>
  <c r="S19" i="9" l="1"/>
  <c r="U19" i="9" s="1"/>
  <c r="S38" i="9"/>
  <c r="U38" i="9" s="1"/>
  <c r="S30" i="9"/>
  <c r="U30" i="9" s="1"/>
  <c r="O7" i="9"/>
  <c r="S35" i="9"/>
  <c r="U35" i="9" s="1"/>
  <c r="S11" i="9"/>
  <c r="U11" i="9" s="1"/>
  <c r="S29" i="9"/>
  <c r="U29" i="9" s="1"/>
  <c r="S13" i="9"/>
  <c r="U13" i="9" s="1"/>
  <c r="O6" i="9"/>
  <c r="S39" i="9"/>
  <c r="U39" i="9" s="1"/>
  <c r="S37" i="9"/>
  <c r="U37" i="9" s="1"/>
  <c r="S27" i="9"/>
  <c r="U27" i="9" s="1"/>
  <c r="U16" i="14"/>
  <c r="U28" i="14"/>
  <c r="U32" i="14"/>
  <c r="U36" i="14"/>
  <c r="U7" i="14"/>
  <c r="U11" i="14"/>
  <c r="U15" i="14"/>
  <c r="U23" i="14"/>
  <c r="U27" i="14"/>
  <c r="U31" i="14"/>
  <c r="U39" i="14"/>
  <c r="U20" i="14"/>
  <c r="U19" i="14"/>
  <c r="U35" i="14"/>
  <c r="U8" i="14"/>
  <c r="X5" i="14"/>
  <c r="R5" i="14"/>
  <c r="U6" i="14"/>
  <c r="U10" i="14"/>
  <c r="U14" i="14"/>
  <c r="U18" i="14"/>
  <c r="U22" i="14"/>
  <c r="U26" i="14"/>
  <c r="U30" i="14"/>
  <c r="U34" i="14"/>
  <c r="U38" i="14"/>
  <c r="U24" i="14"/>
  <c r="U9" i="14"/>
  <c r="U13" i="14"/>
  <c r="U17" i="14"/>
  <c r="U21" i="14"/>
  <c r="U25" i="14"/>
  <c r="U29" i="14"/>
  <c r="U33" i="14"/>
  <c r="U37" i="14"/>
  <c r="U40" i="14"/>
  <c r="R7" i="14"/>
  <c r="R8" i="14"/>
  <c r="R9" i="14"/>
  <c r="R12" i="14"/>
  <c r="R17" i="14"/>
  <c r="R18" i="14"/>
  <c r="R19" i="14"/>
  <c r="R24" i="14"/>
  <c r="R25" i="14"/>
  <c r="R31" i="14"/>
  <c r="R33" i="14"/>
  <c r="R35" i="14"/>
  <c r="R39" i="14"/>
  <c r="X22" i="14" l="1"/>
  <c r="X38" i="14"/>
  <c r="X14" i="14"/>
  <c r="U12" i="14"/>
  <c r="X28" i="14"/>
  <c r="X32" i="14"/>
  <c r="X27" i="14"/>
  <c r="X34" i="14"/>
  <c r="X26" i="14"/>
  <c r="X10" i="14"/>
  <c r="X30" i="14"/>
  <c r="X6" i="14"/>
  <c r="X23" i="14"/>
  <c r="X15" i="14"/>
  <c r="X11" i="14"/>
  <c r="R27" i="14"/>
  <c r="R11" i="14"/>
  <c r="R23" i="14"/>
  <c r="X40" i="14"/>
  <c r="X36" i="14"/>
  <c r="X20" i="14"/>
  <c r="X16" i="14"/>
  <c r="R15" i="14"/>
  <c r="X39" i="14"/>
  <c r="X35" i="14"/>
  <c r="X31" i="14"/>
  <c r="X19" i="14"/>
  <c r="X7" i="14"/>
  <c r="R32" i="14"/>
  <c r="R16" i="14"/>
  <c r="R34" i="14"/>
  <c r="R28" i="14"/>
  <c r="R30" i="14"/>
  <c r="R14" i="14"/>
  <c r="X37" i="14"/>
  <c r="X33" i="14"/>
  <c r="X29" i="14"/>
  <c r="X25" i="14"/>
  <c r="X21" i="14"/>
  <c r="X17" i="14"/>
  <c r="X13" i="14"/>
  <c r="X9" i="14"/>
  <c r="R37" i="14"/>
  <c r="R29" i="14"/>
  <c r="R21" i="14"/>
  <c r="R13" i="14"/>
  <c r="R38" i="14"/>
  <c r="R26" i="14"/>
  <c r="R10" i="14"/>
  <c r="R36" i="14"/>
  <c r="R20" i="14"/>
  <c r="R40" i="14"/>
  <c r="R22" i="14"/>
  <c r="R6" i="14"/>
  <c r="X18" i="14"/>
  <c r="X24" i="14"/>
  <c r="X12" i="14"/>
  <c r="X8"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sharedStrings.xml><?xml version="1.0" encoding="utf-8"?>
<sst xmlns="http://schemas.openxmlformats.org/spreadsheetml/2006/main" count="420" uniqueCount="99">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</sst>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s>
  <fills count="12">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s>
  <borders count="81">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bottom style="thin">
        <color theme="0" tint="-0.249977111117893"/>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28">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0" borderId="0" xfId="0" applyBorder="1" applyAlignment="1">
      <alignment horizontal="center"/>
    </xf>
    <xf numFmtId="0" fontId="4" fillId="0" borderId="18" xfId="0" applyFont="1" applyBorder="1" applyAlignment="1" applyProtection="1">
      <alignment horizontal="center"/>
      <protection locked="0"/>
    </xf>
    <xf numFmtId="0" fontId="9" fillId="10" borderId="41" xfId="0" applyFont="1" applyFill="1" applyBorder="1" applyAlignment="1" applyProtection="1">
      <alignment horizontal="center"/>
      <protection locked="0"/>
    </xf>
    <xf numFmtId="0" fontId="6" fillId="2" borderId="34" xfId="3" applyFont="1" applyBorder="1" applyAlignment="1" applyProtection="1">
      <alignment horizontal="center"/>
      <protection locked="0"/>
    </xf>
    <xf numFmtId="0" fontId="0" fillId="0" borderId="37" xfId="0" applyBorder="1" applyAlignment="1" applyProtection="1">
      <alignment horizontal="center"/>
      <protection locked="0"/>
    </xf>
    <xf numFmtId="0" fontId="0" fillId="3" borderId="30" xfId="0" applyFill="1" applyBorder="1" applyAlignment="1" applyProtection="1">
      <alignment horizontal="center"/>
      <protection locked="0"/>
    </xf>
    <xf numFmtId="0" fontId="6" fillId="2" borderId="37" xfId="3" applyFont="1" applyBorder="1" applyAlignment="1" applyProtection="1">
      <alignment horizontal="center" vertical="center"/>
      <protection locked="0"/>
    </xf>
    <xf numFmtId="0" fontId="6" fillId="2" borderId="35" xfId="3" applyFont="1" applyBorder="1" applyAlignment="1" applyProtection="1">
      <alignment horizontal="center" vertical="center"/>
      <protection locked="0"/>
    </xf>
    <xf numFmtId="0" fontId="4" fillId="7" borderId="65" xfId="7" applyFont="1" applyFill="1" applyBorder="1" applyAlignment="1" applyProtection="1">
      <alignment horizontal="center"/>
      <protection locked="0"/>
    </xf>
    <xf numFmtId="9" fontId="4" fillId="7" borderId="72" xfId="4" applyFont="1" applyFill="1" applyBorder="1" applyAlignment="1" applyProtection="1">
      <alignment horizontal="center"/>
      <protection locked="0"/>
    </xf>
    <xf numFmtId="0" fontId="4" fillId="7" borderId="10" xfId="7" applyFont="1" applyFill="1" applyBorder="1" applyAlignment="1" applyProtection="1">
      <alignment horizontal="center"/>
      <protection locked="0"/>
    </xf>
    <xf numFmtId="0" fontId="4" fillId="8" borderId="43" xfId="8" applyFont="1" applyFill="1" applyBorder="1" applyAlignment="1" applyProtection="1">
      <alignment horizontal="center"/>
      <protection locked="0"/>
    </xf>
    <xf numFmtId="9" fontId="4" fillId="8" borderId="74" xfId="8" applyNumberFormat="1" applyFont="1" applyFill="1" applyBorder="1" applyAlignment="1" applyProtection="1">
      <alignment horizontal="center"/>
      <protection locked="0"/>
    </xf>
    <xf numFmtId="0" fontId="4" fillId="8" borderId="75" xfId="8" applyFont="1" applyFill="1" applyBorder="1" applyAlignment="1" applyProtection="1">
      <alignment horizontal="center"/>
      <protection locked="0"/>
    </xf>
    <xf numFmtId="0" fontId="4" fillId="0" borderId="32" xfId="0" applyFon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5" fillId="7" borderId="64" xfId="7" applyNumberFormat="1" applyFill="1" applyBorder="1" applyAlignment="1" applyProtection="1">
      <alignment horizontal="center"/>
      <protection locked="0"/>
    </xf>
    <xf numFmtId="9" fontId="5" fillId="7" borderId="60" xfId="4" applyFill="1" applyBorder="1" applyAlignment="1" applyProtection="1">
      <alignment horizontal="center"/>
      <protection locked="0"/>
    </xf>
    <xf numFmtId="0" fontId="5" fillId="7" borderId="60" xfId="7" applyFill="1" applyBorder="1" applyAlignment="1" applyProtection="1">
      <alignment horizontal="center"/>
      <protection locked="0"/>
    </xf>
    <xf numFmtId="164" fontId="5" fillId="8" borderId="42" xfId="8" applyNumberFormat="1" applyFill="1" applyBorder="1" applyAlignment="1" applyProtection="1">
      <alignment horizontal="center" vertical="center"/>
      <protection locked="0"/>
    </xf>
    <xf numFmtId="9" fontId="5" fillId="8" borderId="58" xfId="4" applyFill="1" applyBorder="1" applyAlignment="1" applyProtection="1">
      <alignment horizontal="center" vertical="center"/>
      <protection locked="0"/>
    </xf>
    <xf numFmtId="164" fontId="5" fillId="8" borderId="58" xfId="8" applyNumberFormat="1" applyFill="1" applyBorder="1" applyAlignment="1" applyProtection="1">
      <alignment horizontal="center" vertical="center"/>
      <protection locked="0"/>
    </xf>
    <xf numFmtId="0" fontId="5" fillId="4" borderId="70" xfId="6" applyBorder="1" applyAlignment="1" applyProtection="1">
      <alignment horizontal="center" vertical="center"/>
      <protection locked="0"/>
    </xf>
    <xf numFmtId="0" fontId="5" fillId="4" borderId="58" xfId="6" applyBorder="1" applyAlignment="1" applyProtection="1">
      <alignment horizontal="center" vertical="center"/>
      <protection locked="0"/>
    </xf>
    <xf numFmtId="164" fontId="5" fillId="8" borderId="70" xfId="8" applyNumberFormat="1" applyFill="1" applyBorder="1" applyAlignment="1" applyProtection="1">
      <alignment horizontal="center" vertical="center"/>
      <protection locked="0"/>
    </xf>
    <xf numFmtId="164" fontId="0" fillId="0" borderId="62" xfId="0" applyNumberFormat="1" applyFill="1" applyBorder="1" applyAlignment="1" applyProtection="1">
      <alignment horizontal="center" vertical="center"/>
      <protection locked="0"/>
    </xf>
    <xf numFmtId="164" fontId="0" fillId="0" borderId="63" xfId="0" applyNumberFormat="1" applyFill="1" applyBorder="1" applyAlignment="1" applyProtection="1">
      <alignment horizontal="center" vertical="center"/>
      <protection locked="0"/>
    </xf>
    <xf numFmtId="164" fontId="0" fillId="0" borderId="76" xfId="0" applyNumberFormat="1" applyFill="1" applyBorder="1" applyAlignment="1" applyProtection="1">
      <alignment horizontal="center" vertical="center"/>
      <protection locked="0"/>
    </xf>
    <xf numFmtId="164" fontId="5" fillId="7" borderId="66" xfId="7" applyNumberFormat="1" applyFill="1" applyBorder="1" applyAlignment="1" applyProtection="1">
      <alignment horizontal="center"/>
      <protection locked="0"/>
    </xf>
    <xf numFmtId="9" fontId="5" fillId="7" borderId="67" xfId="4" applyFill="1" applyBorder="1" applyAlignment="1" applyProtection="1">
      <alignment horizontal="center"/>
      <protection locked="0"/>
    </xf>
    <xf numFmtId="0" fontId="5" fillId="7" borderId="67" xfId="7" applyFill="1" applyBorder="1" applyAlignment="1" applyProtection="1">
      <alignment horizontal="center"/>
      <protection locked="0"/>
    </xf>
    <xf numFmtId="164" fontId="5" fillId="8" borderId="71" xfId="8" applyNumberFormat="1" applyFill="1" applyBorder="1" applyAlignment="1" applyProtection="1">
      <alignment horizontal="center" vertical="center"/>
      <protection locked="0"/>
    </xf>
    <xf numFmtId="9" fontId="5" fillId="8" borderId="68" xfId="4" applyFill="1"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0" fontId="5" fillId="4" borderId="71" xfId="6" applyBorder="1" applyAlignment="1" applyProtection="1">
      <alignment horizontal="center" vertical="center"/>
      <protection locked="0"/>
    </xf>
    <xf numFmtId="0" fontId="5" fillId="4" borderId="68" xfId="6" applyBorder="1" applyAlignment="1" applyProtection="1">
      <alignment horizontal="center" vertical="center"/>
      <protection locked="0"/>
    </xf>
    <xf numFmtId="0" fontId="5" fillId="4" borderId="69" xfId="6" applyBorder="1" applyAlignment="1" applyProtection="1">
      <alignment horizontal="center" vertical="center"/>
      <protection locked="0"/>
    </xf>
    <xf numFmtId="0" fontId="9" fillId="10" borderId="40" xfId="0" applyFont="1" applyFill="1" applyBorder="1" applyAlignment="1" applyProtection="1">
      <alignment horizontal="center"/>
      <protection locked="0"/>
    </xf>
    <xf numFmtId="164" fontId="0" fillId="0" borderId="77" xfId="0" applyNumberFormat="1" applyFill="1" applyBorder="1" applyAlignment="1" applyProtection="1">
      <alignment horizontal="center" vertical="center"/>
      <protection locked="0"/>
    </xf>
    <xf numFmtId="164" fontId="0" fillId="0" borderId="78"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32" xfId="3" applyFont="1" applyBorder="1" applyAlignment="1" applyProtection="1">
      <alignment horizontal="center"/>
      <protection locked="0"/>
    </xf>
    <xf numFmtId="0" fontId="6" fillId="2" borderId="30" xfId="3" applyFont="1" applyBorder="1" applyAlignment="1" applyProtection="1">
      <alignment horizontal="center"/>
      <protection locked="0"/>
    </xf>
    <xf numFmtId="0" fontId="6" fillId="2" borderId="10"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41" xfId="0" applyFont="1" applyFill="1" applyBorder="1" applyAlignment="1" applyProtection="1">
      <alignment horizontal="center"/>
      <protection locked="0"/>
    </xf>
    <xf numFmtId="0" fontId="9" fillId="11" borderId="40" xfId="0" applyFont="1" applyFill="1" applyBorder="1" applyAlignment="1" applyProtection="1">
      <alignment horizontal="center"/>
      <protection locked="0"/>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7" borderId="73" xfId="4" applyNumberFormat="1" applyFont="1" applyFill="1" applyBorder="1" applyAlignment="1" applyProtection="1">
      <alignment horizontal="center"/>
      <protection locked="0"/>
    </xf>
    <xf numFmtId="0" fontId="4" fillId="7" borderId="36" xfId="4" applyNumberFormat="1" applyFont="1" applyFill="1" applyBorder="1" applyAlignment="1" applyProtection="1">
      <alignment horizontal="center"/>
      <protection locked="0"/>
    </xf>
    <xf numFmtId="0" fontId="4" fillId="6" borderId="73" xfId="8" applyFont="1" applyBorder="1" applyAlignment="1" applyProtection="1">
      <alignment horizontal="center"/>
      <protection locked="0"/>
    </xf>
    <xf numFmtId="0" fontId="4" fillId="6" borderId="36" xfId="8" applyFont="1" applyBorder="1" applyAlignment="1" applyProtection="1">
      <alignment horizontal="center"/>
      <protection locked="0"/>
    </xf>
    <xf numFmtId="0" fontId="2" fillId="0" borderId="35" xfId="5" applyBorder="1" applyAlignment="1" applyProtection="1">
      <alignment horizontal="center"/>
      <protection locked="0"/>
    </xf>
    <xf numFmtId="0" fontId="2" fillId="0" borderId="37" xfId="5" applyBorder="1" applyAlignment="1" applyProtection="1">
      <alignment horizontal="center"/>
      <protection locked="0"/>
    </xf>
    <xf numFmtId="0" fontId="2" fillId="0" borderId="36"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2" fillId="0" borderId="39" xfId="5" applyBorder="1" applyAlignment="1" applyProtection="1">
      <alignment horizontal="center"/>
      <protection locked="0"/>
    </xf>
    <xf numFmtId="0" fontId="2" fillId="0" borderId="57" xfId="5" applyBorder="1" applyAlignment="1" applyProtection="1">
      <alignment horizontal="center"/>
      <protection locked="0"/>
    </xf>
    <xf numFmtId="0" fontId="13" fillId="0" borderId="39" xfId="5" applyFont="1" applyBorder="1" applyAlignment="1" applyProtection="1">
      <alignment horizontal="center"/>
      <protection locked="0"/>
    </xf>
    <xf numFmtId="0" fontId="13" fillId="0" borderId="37" xfId="5" applyFont="1" applyBorder="1" applyAlignment="1" applyProtection="1">
      <alignment horizontal="center"/>
      <protection locked="0"/>
    </xf>
    <xf numFmtId="0" fontId="2" fillId="0" borderId="35" xfId="5" applyBorder="1" applyAlignment="1" applyProtection="1">
      <alignment horizontal="center"/>
    </xf>
    <xf numFmtId="0" fontId="2" fillId="0" borderId="37"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7" xfId="5" applyBorder="1" applyAlignment="1" applyProtection="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9" xfId="5" applyBorder="1" applyAlignment="1" applyProtection="1">
      <alignment horizontal="center"/>
    </xf>
    <xf numFmtId="0" fontId="4" fillId="4" borderId="79" xfId="6" applyFont="1" applyBorder="1" applyAlignment="1" applyProtection="1">
      <alignment horizontal="center" vertical="center"/>
      <protection locked="0"/>
    </xf>
    <xf numFmtId="0" fontId="4" fillId="4" borderId="80" xfId="6" applyFont="1" applyBorder="1" applyAlignment="1" applyProtection="1">
      <alignment horizontal="center" vertical="center"/>
      <protection locked="0"/>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21">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ill>
        <patternFill>
          <bgColor rgb="FFFFCCFF"/>
        </patternFill>
      </fill>
    </dxf>
    <dxf>
      <fill>
        <patternFill patternType="none">
          <bgColor auto="1"/>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ACDAC"/>
      <color rgb="FFFFB9B9"/>
      <color rgb="FFFF9B9B"/>
      <color rgb="FFFFCCFF"/>
      <color rgb="FFFF9F9F"/>
      <color rgb="FFFF6969"/>
      <color rgb="FFFF8B8B"/>
      <color rgb="FFE8AFFF"/>
      <color rgb="FFE4D2F2"/>
      <color rgb="FFF3D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542014</xdr:colOff>
      <xdr:row>43</xdr:row>
      <xdr:rowOff>127072</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29493"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124457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1017431</xdr:colOff>
      <xdr:row>43</xdr:row>
      <xdr:rowOff>126865</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451208</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39126C97-8B10-4C51-80FC-13C2881DC481}"/>
            </a:ext>
          </a:extLst>
        </xdr:cNvPr>
        <xdr:cNvGrpSpPr/>
      </xdr:nvGrpSpPr>
      <xdr:grpSpPr>
        <a:xfrm>
          <a:off x="333375" y="8448675"/>
          <a:ext cx="1543049" cy="477836"/>
          <a:chOff x="699989" y="3255968"/>
          <a:chExt cx="1884534" cy="576892"/>
        </a:xfrm>
      </xdr:grpSpPr>
      <xdr:pic macro="[0]!AddEOSAssessment">
        <xdr:nvPicPr>
          <xdr:cNvPr id="14" name="Picture 13">
            <a:extLst>
              <a:ext uri="{FF2B5EF4-FFF2-40B4-BE49-F238E27FC236}">
                <a16:creationId xmlns:a16="http://schemas.microsoft.com/office/drawing/2014/main" id="{A3E65F70-5C48-4A2A-BC5D-F41EA753B94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AEC8C71E-D1FD-4C77-95AA-E73C4A7A7811}"/>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812528</xdr:colOff>
      <xdr:row>46</xdr:row>
      <xdr:rowOff>145778</xdr:rowOff>
    </xdr:to>
    <xdr:pic macro="[0]!DeleteEOSAssessment">
      <xdr:nvPicPr>
        <xdr:cNvPr id="16" name="Graphic 13" descr="Line arrow Rotate left">
          <a:extLst>
            <a:ext uri="{FF2B5EF4-FFF2-40B4-BE49-F238E27FC236}">
              <a16:creationId xmlns:a16="http://schemas.microsoft.com/office/drawing/2014/main" id="{F413D1B4-4FBB-44C6-97AF-E1C26CF6B1B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9D9DB4BD-1FB5-476B-AF41-663DF805DB4D}"/>
            </a:ext>
          </a:extLst>
        </xdr:cNvPr>
        <xdr:cNvGrpSpPr/>
      </xdr:nvGrpSpPr>
      <xdr:grpSpPr>
        <a:xfrm>
          <a:off x="381000" y="8686801"/>
          <a:ext cx="291499" cy="190499"/>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5AD09704-EA71-4EC5-84C1-E054B741DA23}"/>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30678AD3-6F2F-4B89-9470-9604C0E6844F}"/>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29493"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8420100"/>
          <a:ext cx="1543049" cy="477836"/>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57D4F536-043E-4A72-9744-2AC8376365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24A8ABF5-A338-41FB-8F64-072DA3B4950A}"/>
            </a:ext>
          </a:extLst>
        </xdr:cNvPr>
        <xdr:cNvGrpSpPr/>
      </xdr:nvGrpSpPr>
      <xdr:grpSpPr>
        <a:xfrm>
          <a:off x="381000" y="8648700"/>
          <a:ext cx="291499" cy="190499"/>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6382A98C-139C-44F1-8AC7-5ACFD52BFBBC}"/>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E2B36957-AA30-4F2F-A5E4-4DCE9710BCDD}"/>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5339261C-D8B4-4BBD-8229-C6B3E6F5AB51}"/>
            </a:ext>
          </a:extLst>
        </xdr:cNvPr>
        <xdr:cNvGrpSpPr/>
      </xdr:nvGrpSpPr>
      <xdr:grpSpPr>
        <a:xfrm>
          <a:off x="3476625" y="7820025"/>
          <a:ext cx="1543049" cy="477836"/>
          <a:chOff x="699989" y="3255968"/>
          <a:chExt cx="1884534" cy="576892"/>
        </a:xfrm>
      </xdr:grpSpPr>
      <xdr:pic>
        <xdr:nvPicPr>
          <xdr:cNvPr id="30" name="Picture 29">
            <a:extLst>
              <a:ext uri="{FF2B5EF4-FFF2-40B4-BE49-F238E27FC236}">
                <a16:creationId xmlns:a16="http://schemas.microsoft.com/office/drawing/2014/main" id="{6E022D62-17FC-42DF-A0F8-F2A2CD644D8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EBC3C6D0-6E31-4189-B70C-BCBEC26162DB}"/>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5ADFACA1-E3EE-4D3F-8D21-211EAD8C4C97}"/>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2D0A63A3-0A67-41AB-A738-75977DB76519}"/>
            </a:ext>
          </a:extLst>
        </xdr:cNvPr>
        <xdr:cNvGrpSpPr/>
      </xdr:nvGrpSpPr>
      <xdr:grpSpPr>
        <a:xfrm>
          <a:off x="3524250" y="8058151"/>
          <a:ext cx="291499" cy="190499"/>
          <a:chOff x="6126341" y="2133035"/>
          <a:chExt cx="337782" cy="220745"/>
        </a:xfrm>
      </xdr:grpSpPr>
      <xdr:pic>
        <xdr:nvPicPr>
          <xdr:cNvPr id="36" name="Picture 35" descr="Related image">
            <a:extLst>
              <a:ext uri="{FF2B5EF4-FFF2-40B4-BE49-F238E27FC236}">
                <a16:creationId xmlns:a16="http://schemas.microsoft.com/office/drawing/2014/main" id="{AE53C0CF-9892-48E1-A38D-0956695FF2F5}"/>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8A83C0B2-7AB2-41B6-ABA3-8D12F2AE76FF}"/>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20">
  <autoFilter ref="A1:C18" xr:uid="{498E8186-74A7-4E6E-AE4A-D794E9C8B595}"/>
  <tableColumns count="3">
    <tableColumn id="1" xr3:uid="{5861E389-9F05-4056-B978-22BEA3DA1355}" name="Score" dataDxfId="19" dataCellStyle="Percent"/>
    <tableColumn id="2" xr3:uid="{9526CEDD-EB3F-43D3-A6D9-A4B81BDDC393}" name="Grade" dataDxfId="18"/>
    <tableColumn id="3" xr3:uid="{63910571-226F-4D3A-AE65-3CF97BD66F23}" name="Points" dataDxfId="17"/>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tabSelected="1" zoomScaleNormal="100" workbookViewId="0">
      <selection activeCell="C18" sqref="C18"/>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ht="21" x14ac:dyDescent="0.35">
      <c r="B2" s="176" t="str">
        <f>_xlfn.CONCAT("CSC Markbook - V",Changelog!B21)</f>
        <v>CSC Markbook - V1.9.0</v>
      </c>
      <c r="C2" s="177"/>
      <c r="D2" s="177"/>
      <c r="E2" s="177"/>
      <c r="F2" s="178"/>
      <c r="H2" s="181"/>
      <c r="I2" s="181"/>
      <c r="J2" s="181"/>
      <c r="K2" s="181"/>
    </row>
    <row r="3" spans="2:11" ht="20.25" customHeight="1" thickBot="1" x14ac:dyDescent="0.35">
      <c r="B3" s="10"/>
      <c r="C3" s="191" t="s">
        <v>26</v>
      </c>
      <c r="D3" s="191"/>
      <c r="E3" s="191"/>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185" t="s">
        <v>66</v>
      </c>
      <c r="E5" s="186"/>
      <c r="F5" s="11"/>
      <c r="H5" s="26"/>
      <c r="I5" s="26"/>
      <c r="J5" s="26"/>
      <c r="K5" s="26"/>
    </row>
    <row r="6" spans="2:11" x14ac:dyDescent="0.25">
      <c r="B6" s="10"/>
      <c r="C6" s="14" t="s">
        <v>29</v>
      </c>
      <c r="D6" s="187">
        <v>2020</v>
      </c>
      <c r="E6" s="188"/>
      <c r="F6" s="11"/>
      <c r="H6" s="26"/>
      <c r="I6" s="26"/>
      <c r="J6" s="26"/>
      <c r="K6" s="26"/>
    </row>
    <row r="7" spans="2:11" x14ac:dyDescent="0.25">
      <c r="B7" s="10"/>
      <c r="C7" s="14" t="s">
        <v>25</v>
      </c>
      <c r="D7" s="189" t="s">
        <v>67</v>
      </c>
      <c r="E7" s="190"/>
      <c r="F7" s="11"/>
      <c r="H7" s="26"/>
      <c r="I7" s="26"/>
      <c r="J7" s="26"/>
      <c r="K7" s="26"/>
    </row>
    <row r="8" spans="2:11" x14ac:dyDescent="0.25">
      <c r="B8" s="10"/>
      <c r="C8" s="182" t="s">
        <v>22</v>
      </c>
      <c r="D8" s="183"/>
      <c r="E8" s="184"/>
      <c r="F8" s="11"/>
      <c r="H8" s="26"/>
      <c r="I8" s="26"/>
      <c r="J8" s="26"/>
      <c r="K8" s="26"/>
    </row>
    <row r="9" spans="2:11" x14ac:dyDescent="0.25">
      <c r="B9" s="10"/>
      <c r="C9" s="15" t="s">
        <v>19</v>
      </c>
      <c r="D9" s="15" t="s">
        <v>20</v>
      </c>
      <c r="E9" s="12" t="s">
        <v>23</v>
      </c>
      <c r="F9" s="11"/>
      <c r="H9" s="26"/>
      <c r="I9" s="26"/>
      <c r="J9" s="26"/>
      <c r="K9" s="26"/>
    </row>
    <row r="10" spans="2:11" x14ac:dyDescent="0.25">
      <c r="B10" s="10"/>
      <c r="C10" s="67"/>
      <c r="D10" s="68"/>
      <c r="E10" s="67"/>
      <c r="F10" s="11"/>
      <c r="H10" s="26"/>
      <c r="I10" s="26"/>
      <c r="J10" s="26"/>
      <c r="K10" s="26"/>
    </row>
    <row r="11" spans="2:11" x14ac:dyDescent="0.25">
      <c r="B11" s="10"/>
      <c r="C11" s="67"/>
      <c r="D11" s="68"/>
      <c r="E11" s="67"/>
      <c r="F11" s="11"/>
      <c r="H11" s="26"/>
      <c r="I11" s="26"/>
      <c r="J11" s="26"/>
      <c r="K11" s="26"/>
    </row>
    <row r="12" spans="2:11" x14ac:dyDescent="0.25">
      <c r="B12" s="10"/>
      <c r="C12" s="67"/>
      <c r="D12" s="68"/>
      <c r="E12" s="67"/>
      <c r="F12" s="11"/>
      <c r="H12" s="26"/>
      <c r="I12" s="26"/>
      <c r="J12" s="26"/>
      <c r="K12" s="26"/>
    </row>
    <row r="13" spans="2:11" x14ac:dyDescent="0.25">
      <c r="B13" s="10"/>
      <c r="C13" s="67"/>
      <c r="D13" s="68"/>
      <c r="E13" s="67"/>
      <c r="F13" s="11"/>
      <c r="H13" s="26"/>
      <c r="I13" s="26"/>
      <c r="J13" s="26"/>
      <c r="K13" s="26"/>
    </row>
    <row r="14" spans="2:11" x14ac:dyDescent="0.25">
      <c r="B14" s="10"/>
      <c r="C14" s="67"/>
      <c r="D14" s="68"/>
      <c r="E14" s="67"/>
      <c r="F14" s="11"/>
      <c r="H14" s="26"/>
      <c r="I14" s="26"/>
      <c r="J14" s="26"/>
      <c r="K14" s="26"/>
    </row>
    <row r="15" spans="2:11" x14ac:dyDescent="0.25">
      <c r="B15" s="10"/>
      <c r="C15" s="67"/>
      <c r="D15" s="68"/>
      <c r="E15" s="67"/>
      <c r="F15" s="11"/>
      <c r="H15" s="26"/>
      <c r="I15" s="26"/>
      <c r="J15" s="26"/>
      <c r="K15" s="26"/>
    </row>
    <row r="16" spans="2:11" x14ac:dyDescent="0.25">
      <c r="B16" s="10"/>
      <c r="C16" s="67"/>
      <c r="D16" s="68"/>
      <c r="E16" s="67"/>
      <c r="F16" s="11"/>
      <c r="H16" s="26"/>
      <c r="I16" s="26"/>
      <c r="J16" s="26"/>
      <c r="K16" s="26"/>
    </row>
    <row r="17" spans="2:11" x14ac:dyDescent="0.25">
      <c r="B17" s="10"/>
      <c r="C17" s="67"/>
      <c r="D17" s="68"/>
      <c r="E17" s="67"/>
      <c r="F17" s="11"/>
      <c r="H17" s="26"/>
      <c r="I17" s="26"/>
      <c r="J17" s="26"/>
      <c r="K17" s="26"/>
    </row>
    <row r="18" spans="2:11" x14ac:dyDescent="0.25">
      <c r="B18" s="10"/>
      <c r="C18" s="67"/>
      <c r="D18" s="68"/>
      <c r="E18" s="67"/>
      <c r="F18" s="11"/>
      <c r="H18" s="26"/>
      <c r="I18" s="26"/>
      <c r="J18" s="26"/>
      <c r="K18" s="26"/>
    </row>
    <row r="19" spans="2:11" x14ac:dyDescent="0.25">
      <c r="B19" s="10"/>
      <c r="C19" s="67"/>
      <c r="D19" s="68"/>
      <c r="E19" s="67"/>
      <c r="F19" s="11"/>
      <c r="H19" s="26"/>
      <c r="I19" s="26"/>
      <c r="J19" s="26"/>
      <c r="K19" s="26"/>
    </row>
    <row r="20" spans="2:11" x14ac:dyDescent="0.25">
      <c r="B20" s="10"/>
      <c r="C20" s="67"/>
      <c r="D20" s="68"/>
      <c r="E20" s="67"/>
      <c r="F20" s="11"/>
      <c r="H20" s="26"/>
      <c r="I20" s="26"/>
      <c r="J20" s="26"/>
      <c r="K20" s="26"/>
    </row>
    <row r="21" spans="2:11" x14ac:dyDescent="0.25">
      <c r="B21" s="10"/>
      <c r="C21" s="67"/>
      <c r="D21" s="68"/>
      <c r="E21" s="67"/>
      <c r="F21" s="11"/>
      <c r="H21" s="26"/>
      <c r="I21" s="26"/>
      <c r="J21" s="26"/>
      <c r="K21" s="26"/>
    </row>
    <row r="22" spans="2:11" x14ac:dyDescent="0.25">
      <c r="B22" s="10"/>
      <c r="C22" s="67"/>
      <c r="D22" s="68"/>
      <c r="E22" s="67"/>
      <c r="F22" s="11"/>
      <c r="H22" s="26"/>
      <c r="I22" s="26"/>
      <c r="J22" s="26"/>
      <c r="K22" s="26"/>
    </row>
    <row r="23" spans="2:11" x14ac:dyDescent="0.25">
      <c r="B23" s="10"/>
      <c r="C23" s="67"/>
      <c r="D23" s="68"/>
      <c r="E23" s="67"/>
      <c r="F23" s="11"/>
      <c r="H23" s="26"/>
      <c r="I23" s="26"/>
      <c r="J23" s="26"/>
      <c r="K23" s="26"/>
    </row>
    <row r="24" spans="2:11" x14ac:dyDescent="0.25">
      <c r="B24" s="10"/>
      <c r="C24" s="67"/>
      <c r="D24" s="68"/>
      <c r="E24" s="67"/>
      <c r="F24" s="11"/>
      <c r="H24" s="26"/>
      <c r="I24" s="26"/>
      <c r="J24" s="26"/>
      <c r="K24" s="26"/>
    </row>
    <row r="25" spans="2:11" x14ac:dyDescent="0.25">
      <c r="B25" s="10"/>
      <c r="C25" s="67"/>
      <c r="D25" s="68"/>
      <c r="E25" s="67"/>
      <c r="F25" s="11"/>
      <c r="H25" s="49"/>
      <c r="I25" s="180"/>
      <c r="J25" s="180"/>
      <c r="K25" s="180"/>
    </row>
    <row r="26" spans="2:11" x14ac:dyDescent="0.25">
      <c r="B26" s="10"/>
      <c r="C26" s="67"/>
      <c r="D26" s="68"/>
      <c r="E26" s="67"/>
      <c r="F26" s="11"/>
      <c r="H26" s="50"/>
      <c r="I26" s="181"/>
      <c r="J26" s="181"/>
      <c r="K26" s="181"/>
    </row>
    <row r="27" spans="2:11" ht="15" customHeight="1" x14ac:dyDescent="0.25">
      <c r="B27" s="10"/>
      <c r="C27" s="67"/>
      <c r="D27" s="68"/>
      <c r="E27" s="67"/>
      <c r="F27" s="11"/>
      <c r="H27" s="179"/>
      <c r="I27" s="48"/>
      <c r="J27" s="48"/>
      <c r="K27" s="48"/>
    </row>
    <row r="28" spans="2:11" x14ac:dyDescent="0.25">
      <c r="B28" s="10"/>
      <c r="C28" s="67"/>
      <c r="D28" s="68"/>
      <c r="E28" s="67"/>
      <c r="F28" s="11"/>
      <c r="H28" s="179"/>
      <c r="I28" s="48"/>
      <c r="J28" s="48"/>
      <c r="K28" s="48"/>
    </row>
    <row r="29" spans="2:11" x14ac:dyDescent="0.25">
      <c r="B29" s="10"/>
      <c r="C29" s="67"/>
      <c r="D29" s="68"/>
      <c r="E29" s="67"/>
      <c r="F29" s="11"/>
      <c r="H29" s="179"/>
      <c r="I29" s="48"/>
      <c r="J29" s="48"/>
      <c r="K29" s="48"/>
    </row>
    <row r="30" spans="2:11" x14ac:dyDescent="0.25">
      <c r="B30" s="10"/>
      <c r="C30" s="67"/>
      <c r="D30" s="68"/>
      <c r="E30" s="67"/>
      <c r="F30" s="11"/>
      <c r="H30" s="26"/>
      <c r="I30" s="26"/>
      <c r="J30" s="26"/>
      <c r="K30" s="26"/>
    </row>
    <row r="31" spans="2:11" x14ac:dyDescent="0.25">
      <c r="B31" s="10"/>
      <c r="C31" s="67"/>
      <c r="D31" s="68"/>
      <c r="E31" s="67"/>
      <c r="F31" s="11"/>
      <c r="H31" s="26"/>
      <c r="I31" s="26"/>
      <c r="J31" s="26"/>
      <c r="K31" s="26"/>
    </row>
    <row r="32" spans="2:11" x14ac:dyDescent="0.25">
      <c r="B32" s="10"/>
      <c r="C32" s="67"/>
      <c r="D32" s="68"/>
      <c r="E32" s="67"/>
      <c r="F32" s="11"/>
    </row>
    <row r="33" spans="2:11" x14ac:dyDescent="0.25">
      <c r="B33" s="10"/>
      <c r="C33" s="67"/>
      <c r="D33" s="68"/>
      <c r="E33" s="67"/>
      <c r="F33" s="11"/>
      <c r="H33" s="51" t="s">
        <v>27</v>
      </c>
      <c r="I33" s="192" t="s">
        <v>35</v>
      </c>
      <c r="J33" s="193"/>
      <c r="K33" s="194"/>
    </row>
    <row r="34" spans="2:11" ht="15.75" customHeight="1" x14ac:dyDescent="0.25">
      <c r="B34" s="10"/>
      <c r="C34" s="67"/>
      <c r="D34" s="68"/>
      <c r="E34" s="67"/>
      <c r="F34" s="11"/>
      <c r="H34" s="20" t="s">
        <v>28</v>
      </c>
      <c r="I34" s="195" t="s">
        <v>37</v>
      </c>
      <c r="J34" s="196"/>
      <c r="K34" s="197"/>
    </row>
    <row r="35" spans="2:11" x14ac:dyDescent="0.25">
      <c r="B35" s="10"/>
      <c r="C35" s="67"/>
      <c r="D35" s="52"/>
      <c r="E35" s="29"/>
      <c r="F35" s="11"/>
      <c r="H35" s="164" t="s">
        <v>36</v>
      </c>
      <c r="I35" s="167" t="s">
        <v>38</v>
      </c>
      <c r="J35" s="168"/>
      <c r="K35" s="169"/>
    </row>
    <row r="36" spans="2:11" x14ac:dyDescent="0.25">
      <c r="B36" s="10"/>
      <c r="C36" s="67"/>
      <c r="D36" s="30"/>
      <c r="E36" s="29"/>
      <c r="F36" s="11"/>
      <c r="H36" s="165"/>
      <c r="I36" s="170"/>
      <c r="J36" s="171"/>
      <c r="K36" s="172"/>
    </row>
    <row r="37" spans="2:11" x14ac:dyDescent="0.25">
      <c r="B37" s="10"/>
      <c r="C37" s="67"/>
      <c r="D37" s="53"/>
      <c r="E37" s="29"/>
      <c r="F37" s="11"/>
      <c r="H37" s="166"/>
      <c r="I37" s="173"/>
      <c r="J37" s="174"/>
      <c r="K37" s="175"/>
    </row>
    <row r="38" spans="2:11" x14ac:dyDescent="0.25">
      <c r="B38" s="10"/>
      <c r="C38" s="67"/>
      <c r="D38" s="53"/>
      <c r="E38" s="29"/>
      <c r="F38" s="11"/>
      <c r="H38" s="26"/>
      <c r="I38" s="26"/>
      <c r="J38" s="26"/>
      <c r="K38" s="26"/>
    </row>
    <row r="39" spans="2:11" x14ac:dyDescent="0.25">
      <c r="B39" s="10"/>
      <c r="C39" s="67"/>
      <c r="D39" s="53"/>
      <c r="E39" s="29"/>
      <c r="F39" s="11"/>
      <c r="H39" s="26"/>
      <c r="I39" s="26"/>
      <c r="J39" s="26"/>
      <c r="K39" s="26"/>
    </row>
    <row r="40" spans="2:11" x14ac:dyDescent="0.25">
      <c r="B40" s="10"/>
      <c r="C40" s="67"/>
      <c r="D40" s="53"/>
      <c r="E40" s="67"/>
      <c r="F40" s="11"/>
      <c r="H40" s="26"/>
      <c r="I40" s="26"/>
      <c r="J40" s="26"/>
      <c r="K40" s="26"/>
    </row>
    <row r="41" spans="2:11" x14ac:dyDescent="0.25">
      <c r="B41" s="10"/>
      <c r="C41" s="67"/>
      <c r="D41" s="53"/>
      <c r="E41" s="67"/>
      <c r="F41" s="11"/>
      <c r="H41" s="26"/>
      <c r="I41" s="26"/>
      <c r="J41" s="26"/>
      <c r="K41" s="26"/>
    </row>
    <row r="42" spans="2:11" x14ac:dyDescent="0.25">
      <c r="B42" s="10"/>
      <c r="C42" s="67"/>
      <c r="D42" s="53"/>
      <c r="E42" s="67"/>
      <c r="F42" s="11"/>
    </row>
    <row r="43" spans="2:11" x14ac:dyDescent="0.25">
      <c r="B43" s="10"/>
      <c r="C43" s="67"/>
      <c r="D43" s="53"/>
      <c r="E43" s="67"/>
      <c r="F43" s="11"/>
    </row>
    <row r="44" spans="2:11" x14ac:dyDescent="0.25">
      <c r="B44" s="10"/>
      <c r="C44" s="67"/>
      <c r="D44" s="53"/>
      <c r="E44" s="67"/>
      <c r="F44" s="11"/>
    </row>
    <row r="45" spans="2:11" x14ac:dyDescent="0.25">
      <c r="B45" s="10"/>
      <c r="C45" s="67"/>
      <c r="D45" s="53"/>
      <c r="E45" s="67"/>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WPG81"/>
  <sheetViews>
    <sheetView zoomScaleNormal="100" workbookViewId="0">
      <pane xSplit="2" ySplit="4" topLeftCell="AK5" activePane="bottomRight" state="frozenSplit"/>
      <selection pane="topRight" activeCell="AE1" sqref="AE1"/>
      <selection pane="bottomLeft" activeCell="A23" sqref="A23"/>
      <selection pane="bottomRight" activeCell="B29" sqref="B29"/>
    </sheetView>
  </sheetViews>
  <sheetFormatPr defaultColWidth="0" defaultRowHeight="15" x14ac:dyDescent="0.25"/>
  <cols>
    <col min="1" max="2" width="15.7109375" style="61" customWidth="1"/>
    <col min="3" max="3" width="7.5703125" style="62" hidden="1" customWidth="1"/>
    <col min="4" max="17" width="8" style="62" hidden="1" customWidth="1"/>
    <col min="18" max="18" width="22.42578125" style="62" hidden="1" customWidth="1"/>
    <col min="19" max="19" width="4.5703125" style="62" hidden="1" customWidth="1"/>
    <col min="20" max="20" width="6.42578125" style="62" hidden="1" customWidth="1"/>
    <col min="21" max="21" width="22" style="62" hidden="1" customWidth="1"/>
    <col min="22" max="22" width="4.5703125" style="62" hidden="1" customWidth="1"/>
    <col min="23" max="23" width="6.42578125" style="62" hidden="1" customWidth="1"/>
    <col min="24" max="24" width="11" style="62" hidden="1" customWidth="1"/>
    <col min="25" max="25" width="10.42578125" style="62" hidden="1" customWidth="1"/>
    <col min="26" max="26" width="13.42578125" style="62" hidden="1" customWidth="1"/>
    <col min="27" max="27" width="1.7109375" style="62" hidden="1" customWidth="1"/>
    <col min="28" max="28" width="7.5703125" style="62" hidden="1" customWidth="1"/>
    <col min="29" max="42" width="8" style="62" hidden="1" customWidth="1"/>
    <col min="43" max="43" width="22.42578125" style="62" hidden="1" customWidth="1"/>
    <col min="44" max="44" width="4.5703125" style="62" hidden="1" customWidth="1"/>
    <col min="45" max="45" width="6.42578125" style="62" hidden="1" customWidth="1"/>
    <col min="46" max="46" width="22" style="62" hidden="1" customWidth="1"/>
    <col min="47" max="47" width="4.5703125" style="62" hidden="1" customWidth="1"/>
    <col min="48" max="48" width="6.42578125" style="62" hidden="1" customWidth="1"/>
    <col min="49" max="49" width="11" style="62" hidden="1" customWidth="1"/>
    <col min="50" max="50" width="10.42578125" style="62" hidden="1" customWidth="1"/>
    <col min="51" max="51" width="13.42578125" style="62" hidden="1" customWidth="1"/>
    <col min="52" max="52" width="1.7109375" style="62" hidden="1" customWidth="1"/>
    <col min="53" max="15927" width="0" style="62" hidden="1"/>
    <col min="15928" max="16384" width="9.140625" style="62" hidden="1"/>
  </cols>
  <sheetData>
    <row r="1" spans="1:52 15971:15971" s="60" customFormat="1" x14ac:dyDescent="0.25">
      <c r="A1" s="198" t="str">
        <f>_xlfn.CONCAT("Year ",ClassInformation!D4,ClassInformation!E4," ",ClassInformation!D5," - ","Semester 1 ",ClassInformation!D6)</f>
        <v>Year 7A [Subject] - Semester 1 2020</v>
      </c>
      <c r="B1" s="199"/>
      <c r="C1" s="114" t="s">
        <v>65</v>
      </c>
      <c r="D1" s="209"/>
      <c r="E1" s="209"/>
      <c r="F1" s="209"/>
      <c r="G1" s="209"/>
      <c r="H1" s="209"/>
      <c r="I1" s="209"/>
      <c r="J1" s="209"/>
      <c r="K1" s="209"/>
      <c r="L1" s="209"/>
      <c r="M1" s="209"/>
      <c r="N1" s="209"/>
      <c r="O1" s="209"/>
      <c r="P1" s="209"/>
      <c r="Q1" s="209"/>
      <c r="R1" s="209"/>
      <c r="S1" s="209"/>
      <c r="T1" s="209"/>
      <c r="U1" s="209"/>
      <c r="V1" s="209"/>
      <c r="W1" s="209"/>
      <c r="X1" s="209"/>
      <c r="Y1" s="209"/>
      <c r="Z1" s="209"/>
      <c r="AA1" s="210"/>
      <c r="AB1" s="114" t="s">
        <v>65</v>
      </c>
      <c r="AC1" s="209"/>
      <c r="AD1" s="209"/>
      <c r="AE1" s="209"/>
      <c r="AF1" s="209"/>
      <c r="AG1" s="209"/>
      <c r="AH1" s="209"/>
      <c r="AI1" s="209"/>
      <c r="AJ1" s="209"/>
      <c r="AK1" s="209"/>
      <c r="AL1" s="209"/>
      <c r="AM1" s="209"/>
      <c r="AN1" s="209"/>
      <c r="AO1" s="209"/>
      <c r="AP1" s="209"/>
      <c r="AQ1" s="209"/>
      <c r="AR1" s="209"/>
      <c r="AS1" s="209"/>
      <c r="AT1" s="209"/>
      <c r="AU1" s="209"/>
      <c r="AV1" s="209"/>
      <c r="AW1" s="209"/>
      <c r="AX1" s="209"/>
      <c r="AY1" s="209"/>
      <c r="AZ1" s="210"/>
    </row>
    <row r="2" spans="1:52 15971:15971" s="60" customFormat="1" x14ac:dyDescent="0.25">
      <c r="A2" s="198"/>
      <c r="B2" s="199"/>
      <c r="C2" s="211" t="s">
        <v>31</v>
      </c>
      <c r="D2" s="207"/>
      <c r="E2" s="207"/>
      <c r="F2" s="207"/>
      <c r="G2" s="207"/>
      <c r="H2" s="206" t="s">
        <v>33</v>
      </c>
      <c r="I2" s="207"/>
      <c r="J2" s="207"/>
      <c r="K2" s="207"/>
      <c r="L2" s="207"/>
      <c r="M2" s="206" t="s">
        <v>77</v>
      </c>
      <c r="N2" s="207"/>
      <c r="O2" s="207"/>
      <c r="P2" s="207"/>
      <c r="Q2" s="208"/>
      <c r="R2" s="206" t="s">
        <v>96</v>
      </c>
      <c r="S2" s="207"/>
      <c r="T2" s="207"/>
      <c r="U2" s="207"/>
      <c r="V2" s="207"/>
      <c r="W2" s="207"/>
      <c r="X2" s="207"/>
      <c r="Y2" s="207"/>
      <c r="Z2" s="212"/>
      <c r="AA2" s="115" t="s">
        <v>18</v>
      </c>
      <c r="AB2" s="211" t="s">
        <v>31</v>
      </c>
      <c r="AC2" s="207"/>
      <c r="AD2" s="207"/>
      <c r="AE2" s="207"/>
      <c r="AF2" s="207"/>
      <c r="AG2" s="206" t="s">
        <v>33</v>
      </c>
      <c r="AH2" s="207"/>
      <c r="AI2" s="207"/>
      <c r="AJ2" s="207"/>
      <c r="AK2" s="207"/>
      <c r="AL2" s="206" t="s">
        <v>77</v>
      </c>
      <c r="AM2" s="207"/>
      <c r="AN2" s="207"/>
      <c r="AO2" s="207"/>
      <c r="AP2" s="208"/>
      <c r="AQ2" s="206" t="s">
        <v>96</v>
      </c>
      <c r="AR2" s="207"/>
      <c r="AS2" s="207"/>
      <c r="AT2" s="207"/>
      <c r="AU2" s="207"/>
      <c r="AV2" s="207"/>
      <c r="AW2" s="207"/>
      <c r="AX2" s="207"/>
      <c r="AY2" s="212"/>
      <c r="AZ2" s="115" t="s">
        <v>18</v>
      </c>
    </row>
    <row r="3" spans="1:52 15971:15971" s="60" customFormat="1" x14ac:dyDescent="0.25">
      <c r="A3" s="200" t="s">
        <v>21</v>
      </c>
      <c r="B3" s="201"/>
      <c r="C3" s="116" t="s">
        <v>74</v>
      </c>
      <c r="D3" s="116" t="s">
        <v>73</v>
      </c>
      <c r="E3" s="116" t="s">
        <v>73</v>
      </c>
      <c r="F3" s="116" t="s">
        <v>73</v>
      </c>
      <c r="G3" s="116" t="s">
        <v>73</v>
      </c>
      <c r="H3" s="116" t="s">
        <v>73</v>
      </c>
      <c r="I3" s="116" t="s">
        <v>73</v>
      </c>
      <c r="J3" s="116" t="s">
        <v>73</v>
      </c>
      <c r="K3" s="116" t="s">
        <v>73</v>
      </c>
      <c r="L3" s="116" t="s">
        <v>73</v>
      </c>
      <c r="M3" s="116" t="s">
        <v>73</v>
      </c>
      <c r="N3" s="116" t="s">
        <v>73</v>
      </c>
      <c r="O3" s="116" t="s">
        <v>73</v>
      </c>
      <c r="P3" s="116" t="s">
        <v>73</v>
      </c>
      <c r="Q3" s="116" t="s">
        <v>73</v>
      </c>
      <c r="R3" s="117" t="str">
        <f>_xlfn.TEXTJOIN(" ",TRUE,"Max",C2,":")</f>
        <v>Max UD :</v>
      </c>
      <c r="S3" s="202">
        <f>IF(OR(C4="-",D4="-",E4="-",F4="-",G4="-"),"-",SUM(C4,D4,E4,F4,G4))</f>
        <v>0</v>
      </c>
      <c r="T3" s="203"/>
      <c r="U3" s="117" t="str">
        <f>_xlfn.TEXTJOIN(" ",TRUE,"Max",H2,":")</f>
        <v>Max SD :</v>
      </c>
      <c r="V3" s="204">
        <f>IF(OR(H4="-",I4="-",J4="-",K4="-",L4="-"),"-",SUM(H4,I4,J4,K4,L4))</f>
        <v>0</v>
      </c>
      <c r="W3" s="205"/>
      <c r="X3" s="118"/>
      <c r="Y3" s="118"/>
      <c r="Z3" s="118"/>
      <c r="AA3" s="115" t="s">
        <v>18</v>
      </c>
      <c r="AB3" s="116" t="s">
        <v>74</v>
      </c>
      <c r="AC3" s="116" t="s">
        <v>73</v>
      </c>
      <c r="AD3" s="116" t="s">
        <v>73</v>
      </c>
      <c r="AE3" s="116" t="s">
        <v>73</v>
      </c>
      <c r="AF3" s="116" t="s">
        <v>73</v>
      </c>
      <c r="AG3" s="116" t="s">
        <v>73</v>
      </c>
      <c r="AH3" s="116" t="s">
        <v>73</v>
      </c>
      <c r="AI3" s="116" t="s">
        <v>73</v>
      </c>
      <c r="AJ3" s="116" t="s">
        <v>73</v>
      </c>
      <c r="AK3" s="116" t="s">
        <v>73</v>
      </c>
      <c r="AL3" s="116" t="s">
        <v>73</v>
      </c>
      <c r="AM3" s="116" t="s">
        <v>73</v>
      </c>
      <c r="AN3" s="116" t="s">
        <v>73</v>
      </c>
      <c r="AO3" s="116" t="s">
        <v>73</v>
      </c>
      <c r="AP3" s="116" t="s">
        <v>73</v>
      </c>
      <c r="AQ3" s="117" t="str">
        <f>_xlfn.TEXTJOIN(" ",TRUE,"Max",AB2,":")</f>
        <v>Max UD :</v>
      </c>
      <c r="AR3" s="202">
        <f>IF(OR(AB4="-",AC4="-",AD4="-",AE4="-",AF4="-"),"-",SUM(AB4,AC4,AD4,AE4,AF4))</f>
        <v>0</v>
      </c>
      <c r="AS3" s="203"/>
      <c r="AT3" s="117" t="str">
        <f>_xlfn.TEXTJOIN(" ",TRUE,"Max",AG2,":")</f>
        <v>Max SD :</v>
      </c>
      <c r="AU3" s="204">
        <f>IF(OR(AG4="-",AH4="-",AI4="-",AJ4="-",AK4="-"),"-",SUM(AG4,AH4,AI4,AJ4,AK4))</f>
        <v>0</v>
      </c>
      <c r="AV3" s="205"/>
      <c r="AW3" s="118"/>
      <c r="AX3" s="118"/>
      <c r="AY3" s="118"/>
      <c r="AZ3" s="115" t="s">
        <v>18</v>
      </c>
    </row>
    <row r="4" spans="1:52 15971:15971" s="60" customFormat="1" ht="15.75" thickBot="1" x14ac:dyDescent="0.3">
      <c r="A4" s="105" t="str">
        <f>ClassInformation!C9</f>
        <v>Last Name</v>
      </c>
      <c r="B4" s="57" t="str">
        <f>ClassInformation!D9</f>
        <v>First Name</v>
      </c>
      <c r="C4" s="119"/>
      <c r="D4" s="120"/>
      <c r="E4" s="120"/>
      <c r="F4" s="120"/>
      <c r="G4" s="120"/>
      <c r="H4" s="120"/>
      <c r="I4" s="120"/>
      <c r="J4" s="120"/>
      <c r="K4" s="120"/>
      <c r="L4" s="120"/>
      <c r="M4" s="120"/>
      <c r="N4" s="120"/>
      <c r="O4" s="120"/>
      <c r="P4" s="120"/>
      <c r="Q4" s="120"/>
      <c r="R4" s="121" t="str">
        <f>_xlfn.TEXTJOIN(" ",TRUE,R2,C2)</f>
        <v>Overall Assessment  UD</v>
      </c>
      <c r="S4" s="122" t="s">
        <v>87</v>
      </c>
      <c r="T4" s="123" t="s">
        <v>1</v>
      </c>
      <c r="U4" s="124" t="str">
        <f>_xlfn.TEXTJOIN(" ",TRUE,R2,H2)</f>
        <v>Overall Assessment  SD</v>
      </c>
      <c r="V4" s="125" t="s">
        <v>87</v>
      </c>
      <c r="W4" s="126" t="s">
        <v>1</v>
      </c>
      <c r="X4" s="127" t="s">
        <v>49</v>
      </c>
      <c r="Y4" s="127" t="s">
        <v>50</v>
      </c>
      <c r="Z4" s="127" t="s">
        <v>72</v>
      </c>
      <c r="AA4" s="115" t="s">
        <v>18</v>
      </c>
      <c r="AB4" s="119"/>
      <c r="AC4" s="120"/>
      <c r="AD4" s="120"/>
      <c r="AE4" s="120"/>
      <c r="AF4" s="120"/>
      <c r="AG4" s="120"/>
      <c r="AH4" s="120"/>
      <c r="AI4" s="120"/>
      <c r="AJ4" s="120"/>
      <c r="AK4" s="120"/>
      <c r="AL4" s="120"/>
      <c r="AM4" s="120"/>
      <c r="AN4" s="120"/>
      <c r="AO4" s="120"/>
      <c r="AP4" s="120"/>
      <c r="AQ4" s="121" t="str">
        <f>_xlfn.TEXTJOIN(" ",TRUE,AQ2,AB2)</f>
        <v>Overall Assessment  UD</v>
      </c>
      <c r="AR4" s="122" t="s">
        <v>87</v>
      </c>
      <c r="AS4" s="123" t="s">
        <v>1</v>
      </c>
      <c r="AT4" s="124" t="str">
        <f>_xlfn.TEXTJOIN(" ",TRUE,AQ2,AG2)</f>
        <v>Overall Assessment  SD</v>
      </c>
      <c r="AU4" s="125" t="s">
        <v>87</v>
      </c>
      <c r="AV4" s="126" t="s">
        <v>1</v>
      </c>
      <c r="AW4" s="127" t="s">
        <v>49</v>
      </c>
      <c r="AX4" s="127" t="s">
        <v>50</v>
      </c>
      <c r="AY4" s="127" t="s">
        <v>72</v>
      </c>
      <c r="AZ4" s="115" t="s">
        <v>18</v>
      </c>
    </row>
    <row r="5" spans="1:52 15971:15971" s="28" customFormat="1" x14ac:dyDescent="0.25">
      <c r="A5" s="110" t="str">
        <f>IF(ISBLANK(ClassInformation!C10),"ZZZZZ",ClassInformation!C10)</f>
        <v>ZZZZZ</v>
      </c>
      <c r="B5" s="59" t="str">
        <f>IF(ISBLANK(ClassInformation!D10),"ZZZZZ",ClassInformation!D10)</f>
        <v>ZZZZZ</v>
      </c>
      <c r="C5" s="128"/>
      <c r="D5" s="128"/>
      <c r="E5" s="128"/>
      <c r="F5" s="128"/>
      <c r="G5" s="128"/>
      <c r="H5" s="129"/>
      <c r="I5" s="128"/>
      <c r="J5" s="128"/>
      <c r="K5" s="128"/>
      <c r="L5" s="128"/>
      <c r="M5" s="129"/>
      <c r="N5" s="152"/>
      <c r="O5" s="152"/>
      <c r="P5" s="152"/>
      <c r="Q5" s="128"/>
      <c r="R5" s="130" t="str">
        <f t="shared" ref="R5:R40" si="0">_xlfn.IFS(COUNTIF(C5:G5,"*-*")&gt;0,"-",COUNTBLANK(C5:G5)=5,"",S$3="-","-",TRUE,SUM(C5:G5))</f>
        <v/>
      </c>
      <c r="S5" s="131" t="str">
        <f t="shared" ref="S5:S40" si="1">_xlfn.IFS(R5="","",R5="-","-",TRUE,R5/S$3)</f>
        <v/>
      </c>
      <c r="T5" s="132" t="str">
        <f>IF(S5="","",VLOOKUP(S5,Table1[],2,TRUE))</f>
        <v/>
      </c>
      <c r="U5" s="133" t="str">
        <f>_xlfn.IFS(COUNTIF(H5:L5,"*-*")&gt;0,"-",COUNTBLANK(H5:L5)=5,"",V$3="-","-",TRUE,SUM(H5:L5))</f>
        <v/>
      </c>
      <c r="V5" s="134" t="str">
        <f t="shared" ref="V5:V40" si="2">_xlfn.IFS(U5="","",U5="-","-",TRUE,U5/V$3)</f>
        <v/>
      </c>
      <c r="W5" s="135" t="str">
        <f>IF(V5="","",VLOOKUP(V5,Table1[],2,TRUE))</f>
        <v/>
      </c>
      <c r="X5" s="136" t="str">
        <f>_xlfn.IFS(AND(S5="",V5=""),"",OR(S5="-",V5="-"),"-",AND(S$3&lt;&gt;0,V$3&lt;&gt;0),VLOOKUP(AVERAGE(S5,V5),Table1[],2,TRUE),AND(S$3&lt;&gt;0,V$3=0),T5,TRUE,W5)</f>
        <v/>
      </c>
      <c r="Y5" s="137"/>
      <c r="Z5" s="137" t="str">
        <f>IF(ISBLANK(Y5),X5,Y5)</f>
        <v/>
      </c>
      <c r="AA5" s="115" t="s">
        <v>18</v>
      </c>
      <c r="AB5" s="128"/>
      <c r="AC5" s="128"/>
      <c r="AD5" s="128"/>
      <c r="AE5" s="128"/>
      <c r="AF5" s="128"/>
      <c r="AG5" s="129"/>
      <c r="AH5" s="128"/>
      <c r="AI5" s="128"/>
      <c r="AJ5" s="128"/>
      <c r="AK5" s="128"/>
      <c r="AL5" s="129"/>
      <c r="AM5" s="152"/>
      <c r="AN5" s="152"/>
      <c r="AO5" s="152"/>
      <c r="AP5" s="128"/>
      <c r="AQ5" s="130" t="str">
        <f t="shared" ref="AQ5:AQ40" si="3">_xlfn.IFS(COUNTIF(AB5:AF5,"*-*")&gt;0,"-",COUNTBLANK(AB5:AF5)=5,"",AR$3="-","-",TRUE,SUM(AB5:AF5))</f>
        <v/>
      </c>
      <c r="AR5" s="131" t="str">
        <f t="shared" ref="AR5:AR40" si="4">_xlfn.IFS(AQ5="","",AQ5="-","-",TRUE,AQ5/AR$3)</f>
        <v/>
      </c>
      <c r="AS5" s="132" t="str">
        <f>IF(AR5="","",VLOOKUP(AR5,Table1[],2,TRUE))</f>
        <v/>
      </c>
      <c r="AT5" s="133" t="str">
        <f>_xlfn.IFS(COUNTIF(AG5:AK5,"*-*")&gt;0,"-",COUNTBLANK(AG5:AK5)=5,"",AU$3="-","-",TRUE,SUM(AG5:AK5))</f>
        <v/>
      </c>
      <c r="AU5" s="134" t="str">
        <f t="shared" ref="AU5:AU40" si="5">_xlfn.IFS(AT5="","",AT5="-","-",TRUE,AT5/AU$3)</f>
        <v/>
      </c>
      <c r="AV5" s="135" t="str">
        <f>IF(AU5="","",VLOOKUP(AU5,Table1[],2,TRUE))</f>
        <v/>
      </c>
      <c r="AW5" s="136" t="str">
        <f>_xlfn.IFS(AND(AR5="",AU5=""),"",OR(AR5="-",AU5="-"),"-",AND(AR$3&lt;&gt;0,AU$3&lt;&gt;0),VLOOKUP(AVERAGE(AR5,AU5),Table1[],2,TRUE),AND(AR$3&lt;&gt;0,AU$3=0),AS5,TRUE,AV5)</f>
        <v/>
      </c>
      <c r="AX5" s="137"/>
      <c r="AY5" s="137" t="str">
        <f>IF(ISBLANK(AX5),AW5,AX5)</f>
        <v/>
      </c>
      <c r="AZ5" s="115" t="s">
        <v>18</v>
      </c>
      <c r="WPG5" s="28">
        <f>ClassInformation!E10</f>
        <v>0</v>
      </c>
    </row>
    <row r="6" spans="1:52 15971:15971" s="28" customFormat="1" x14ac:dyDescent="0.25">
      <c r="A6" s="58" t="str">
        <f>IF(ISBLANK(ClassInformation!C11),"ZZZZZ",ClassInformation!C11)</f>
        <v>ZZZZZ</v>
      </c>
      <c r="B6" s="59" t="str">
        <f>IF(ISBLANK(ClassInformation!D11),"ZZZZZ",ClassInformation!D11)</f>
        <v>ZZZZZ</v>
      </c>
      <c r="C6" s="128"/>
      <c r="D6" s="128"/>
      <c r="E6" s="128"/>
      <c r="F6" s="128"/>
      <c r="G6" s="128"/>
      <c r="H6" s="129"/>
      <c r="I6" s="128"/>
      <c r="J6" s="128"/>
      <c r="K6" s="128"/>
      <c r="L6" s="128"/>
      <c r="M6" s="129"/>
      <c r="N6" s="152"/>
      <c r="O6" s="152"/>
      <c r="P6" s="152"/>
      <c r="Q6" s="128"/>
      <c r="R6" s="130" t="str">
        <f t="shared" si="0"/>
        <v/>
      </c>
      <c r="S6" s="131" t="str">
        <f t="shared" si="1"/>
        <v/>
      </c>
      <c r="T6" s="132" t="str">
        <f>IF(R6="","",VLOOKUP(S6,Table1[],2,TRUE))</f>
        <v/>
      </c>
      <c r="U6" s="138" t="str">
        <f t="shared" ref="U6:U40" si="6">_xlfn.IFS(COUNTIF(H6:L6,"*-*")&gt;0,"-",COUNTBLANK(H6:L6)=5,"",V$3="-","-",TRUE,SUM(H6:L6))</f>
        <v/>
      </c>
      <c r="V6" s="134" t="str">
        <f t="shared" si="2"/>
        <v/>
      </c>
      <c r="W6" s="135" t="str">
        <f>IF(U6="","",VLOOKUP(V6,Table1[],2,TRUE))</f>
        <v/>
      </c>
      <c r="X6" s="136" t="str">
        <f>_xlfn.IFS(AND(S6="",V6=""),"",OR(S6="-",V6="-"),"-",AND(S$3&lt;&gt;0,V$3&lt;&gt;0),VLOOKUP(AVERAGE(S6,V6),Table1[],2,TRUE),AND(S$3&lt;&gt;0,V$3=0),T6,TRUE,W6)</f>
        <v/>
      </c>
      <c r="Y6" s="137"/>
      <c r="Z6" s="137" t="str">
        <f t="shared" ref="Z6:Z40" si="7">IF(ISBLANK(Y6),X6,Y6)</f>
        <v/>
      </c>
      <c r="AA6" s="115" t="s">
        <v>18</v>
      </c>
      <c r="AB6" s="128"/>
      <c r="AC6" s="128"/>
      <c r="AD6" s="128"/>
      <c r="AE6" s="128"/>
      <c r="AF6" s="128"/>
      <c r="AG6" s="129"/>
      <c r="AH6" s="128"/>
      <c r="AI6" s="128"/>
      <c r="AJ6" s="128"/>
      <c r="AK6" s="128"/>
      <c r="AL6" s="129"/>
      <c r="AM6" s="152"/>
      <c r="AN6" s="152"/>
      <c r="AO6" s="152"/>
      <c r="AP6" s="128"/>
      <c r="AQ6" s="130" t="str">
        <f t="shared" si="3"/>
        <v/>
      </c>
      <c r="AR6" s="131" t="str">
        <f t="shared" si="4"/>
        <v/>
      </c>
      <c r="AS6" s="132" t="str">
        <f>IF(AQ6="","",VLOOKUP(AR6,Table1[],2,TRUE))</f>
        <v/>
      </c>
      <c r="AT6" s="138" t="str">
        <f t="shared" ref="AT6:AT40" si="8">_xlfn.IFS(COUNTIF(AG6:AK6,"*-*")&gt;0,"-",COUNTBLANK(AG6:AK6)=5,"",AU$3="-","-",TRUE,SUM(AG6:AK6))</f>
        <v/>
      </c>
      <c r="AU6" s="134" t="str">
        <f t="shared" si="5"/>
        <v/>
      </c>
      <c r="AV6" s="135" t="str">
        <f>IF(AT6="","",VLOOKUP(AU6,Table1[],2,TRUE))</f>
        <v/>
      </c>
      <c r="AW6" s="136" t="str">
        <f>_xlfn.IFS(AND(AR6="",AU6=""),"",OR(AR6="-",AU6="-"),"-",AND(AR$3&lt;&gt;0,AU$3&lt;&gt;0),VLOOKUP(AVERAGE(AR6,AU6),Table1[],2,TRUE),AND(AR$3&lt;&gt;0,AU$3=0),AS6,TRUE,AV6)</f>
        <v/>
      </c>
      <c r="AX6" s="137"/>
      <c r="AY6" s="137" t="str">
        <f t="shared" ref="AY6:AY40" si="9">IF(ISBLANK(AX6),AW6,AX6)</f>
        <v/>
      </c>
      <c r="AZ6" s="115" t="s">
        <v>18</v>
      </c>
      <c r="WPG6" s="28">
        <f>ClassInformation!E11</f>
        <v>0</v>
      </c>
    </row>
    <row r="7" spans="1:52 15971:15971" s="28" customFormat="1" x14ac:dyDescent="0.25">
      <c r="A7" s="58" t="str">
        <f>IF(ISBLANK(ClassInformation!C12),"ZZZZZ",ClassInformation!C12)</f>
        <v>ZZZZZ</v>
      </c>
      <c r="B7" s="59" t="str">
        <f>IF(ISBLANK(ClassInformation!D12),"ZZZZZ",ClassInformation!D12)</f>
        <v>ZZZZZ</v>
      </c>
      <c r="C7" s="128"/>
      <c r="D7" s="128"/>
      <c r="E7" s="128"/>
      <c r="F7" s="128"/>
      <c r="G7" s="128"/>
      <c r="H7" s="129"/>
      <c r="I7" s="128"/>
      <c r="J7" s="128"/>
      <c r="K7" s="128"/>
      <c r="L7" s="128"/>
      <c r="M7" s="129"/>
      <c r="N7" s="152"/>
      <c r="O7" s="152"/>
      <c r="P7" s="152"/>
      <c r="Q7" s="128"/>
      <c r="R7" s="130" t="str">
        <f t="shared" si="0"/>
        <v/>
      </c>
      <c r="S7" s="131" t="str">
        <f t="shared" si="1"/>
        <v/>
      </c>
      <c r="T7" s="132" t="str">
        <f>IF(R7="","",VLOOKUP(S7,Table1[],2,TRUE))</f>
        <v/>
      </c>
      <c r="U7" s="138" t="str">
        <f t="shared" si="6"/>
        <v/>
      </c>
      <c r="V7" s="134" t="str">
        <f t="shared" si="2"/>
        <v/>
      </c>
      <c r="W7" s="135" t="str">
        <f>IF(U7="","",VLOOKUP(V7,Table1[],2,TRUE))</f>
        <v/>
      </c>
      <c r="X7" s="136" t="str">
        <f>_xlfn.IFS(AND(S7="",V7=""),"",OR(S7="-",V7="-"),"-",AND(S$3&lt;&gt;0,V$3&lt;&gt;0),VLOOKUP(AVERAGE(S7,V7),Table1[],2,TRUE),AND(S$3&lt;&gt;0,V$3=0),T7,TRUE,W7)</f>
        <v/>
      </c>
      <c r="Y7" s="137"/>
      <c r="Z7" s="137" t="str">
        <f t="shared" si="7"/>
        <v/>
      </c>
      <c r="AA7" s="115" t="s">
        <v>18</v>
      </c>
      <c r="AB7" s="128"/>
      <c r="AC7" s="128"/>
      <c r="AD7" s="128"/>
      <c r="AE7" s="128"/>
      <c r="AF7" s="128"/>
      <c r="AG7" s="129"/>
      <c r="AH7" s="128"/>
      <c r="AI7" s="128"/>
      <c r="AJ7" s="128"/>
      <c r="AK7" s="128"/>
      <c r="AL7" s="129"/>
      <c r="AM7" s="152"/>
      <c r="AN7" s="152"/>
      <c r="AO7" s="152"/>
      <c r="AP7" s="128"/>
      <c r="AQ7" s="130" t="str">
        <f t="shared" si="3"/>
        <v/>
      </c>
      <c r="AR7" s="131" t="str">
        <f t="shared" si="4"/>
        <v/>
      </c>
      <c r="AS7" s="132" t="str">
        <f>IF(AQ7="","",VLOOKUP(AR7,Table1[],2,TRUE))</f>
        <v/>
      </c>
      <c r="AT7" s="138" t="str">
        <f t="shared" si="8"/>
        <v/>
      </c>
      <c r="AU7" s="134" t="str">
        <f t="shared" si="5"/>
        <v/>
      </c>
      <c r="AV7" s="135" t="str">
        <f>IF(AT7="","",VLOOKUP(AU7,Table1[],2,TRUE))</f>
        <v/>
      </c>
      <c r="AW7" s="136" t="str">
        <f>_xlfn.IFS(AND(AR7="",AU7=""),"",OR(AR7="-",AU7="-"),"-",AND(AR$3&lt;&gt;0,AU$3&lt;&gt;0),VLOOKUP(AVERAGE(AR7,AU7),Table1[],2,TRUE),AND(AR$3&lt;&gt;0,AU$3=0),AS7,TRUE,AV7)</f>
        <v/>
      </c>
      <c r="AX7" s="137"/>
      <c r="AY7" s="137" t="str">
        <f t="shared" si="9"/>
        <v/>
      </c>
      <c r="AZ7" s="115" t="s">
        <v>18</v>
      </c>
      <c r="WPG7" s="28">
        <f>ClassInformation!E12</f>
        <v>0</v>
      </c>
    </row>
    <row r="8" spans="1:52 15971:15971" s="28" customFormat="1" x14ac:dyDescent="0.25">
      <c r="A8" s="58" t="str">
        <f>IF(ISBLANK(ClassInformation!C13),"ZZZZZ",ClassInformation!C13)</f>
        <v>ZZZZZ</v>
      </c>
      <c r="B8" s="59" t="str">
        <f>IF(ISBLANK(ClassInformation!D13),"ZZZZZ",ClassInformation!D13)</f>
        <v>ZZZZZ</v>
      </c>
      <c r="C8" s="128"/>
      <c r="D8" s="128"/>
      <c r="E8" s="128"/>
      <c r="F8" s="128"/>
      <c r="G8" s="128"/>
      <c r="H8" s="129"/>
      <c r="I8" s="128"/>
      <c r="J8" s="128"/>
      <c r="K8" s="128"/>
      <c r="L8" s="128"/>
      <c r="M8" s="129"/>
      <c r="N8" s="152"/>
      <c r="O8" s="152"/>
      <c r="P8" s="152"/>
      <c r="Q8" s="128"/>
      <c r="R8" s="130" t="str">
        <f t="shared" si="0"/>
        <v/>
      </c>
      <c r="S8" s="131" t="str">
        <f t="shared" si="1"/>
        <v/>
      </c>
      <c r="T8" s="132" t="str">
        <f>IF(R8="","",VLOOKUP(S8,Table1[],2,TRUE))</f>
        <v/>
      </c>
      <c r="U8" s="138" t="str">
        <f t="shared" si="6"/>
        <v/>
      </c>
      <c r="V8" s="134" t="str">
        <f t="shared" si="2"/>
        <v/>
      </c>
      <c r="W8" s="135" t="str">
        <f>IF(U8="","",VLOOKUP(V8,Table1[],2,TRUE))</f>
        <v/>
      </c>
      <c r="X8" s="136" t="str">
        <f>_xlfn.IFS(AND(S8="",V8=""),"",OR(S8="-",V8="-"),"-",AND(S$3&lt;&gt;0,V$3&lt;&gt;0),VLOOKUP(AVERAGE(S8,V8),Table1[],2,TRUE),AND(S$3&lt;&gt;0,V$3=0),T8,TRUE,W8)</f>
        <v/>
      </c>
      <c r="Y8" s="137"/>
      <c r="Z8" s="137" t="str">
        <f t="shared" si="7"/>
        <v/>
      </c>
      <c r="AA8" s="115" t="s">
        <v>18</v>
      </c>
      <c r="AB8" s="128"/>
      <c r="AC8" s="128"/>
      <c r="AD8" s="128"/>
      <c r="AE8" s="128"/>
      <c r="AF8" s="128"/>
      <c r="AG8" s="129"/>
      <c r="AH8" s="128"/>
      <c r="AI8" s="128"/>
      <c r="AJ8" s="128"/>
      <c r="AK8" s="128"/>
      <c r="AL8" s="129"/>
      <c r="AM8" s="152"/>
      <c r="AN8" s="152"/>
      <c r="AO8" s="152"/>
      <c r="AP8" s="128"/>
      <c r="AQ8" s="130" t="str">
        <f t="shared" si="3"/>
        <v/>
      </c>
      <c r="AR8" s="131" t="str">
        <f t="shared" si="4"/>
        <v/>
      </c>
      <c r="AS8" s="132" t="str">
        <f>IF(AQ8="","",VLOOKUP(AR8,Table1[],2,TRUE))</f>
        <v/>
      </c>
      <c r="AT8" s="138" t="str">
        <f t="shared" si="8"/>
        <v/>
      </c>
      <c r="AU8" s="134" t="str">
        <f t="shared" si="5"/>
        <v/>
      </c>
      <c r="AV8" s="135" t="str">
        <f>IF(AT8="","",VLOOKUP(AU8,Table1[],2,TRUE))</f>
        <v/>
      </c>
      <c r="AW8" s="136" t="str">
        <f>_xlfn.IFS(AND(AR8="",AU8=""),"",OR(AR8="-",AU8="-"),"-",AND(AR$3&lt;&gt;0,AU$3&lt;&gt;0),VLOOKUP(AVERAGE(AR8,AU8),Table1[],2,TRUE),AND(AR$3&lt;&gt;0,AU$3=0),AS8,TRUE,AV8)</f>
        <v/>
      </c>
      <c r="AX8" s="137"/>
      <c r="AY8" s="137" t="str">
        <f t="shared" si="9"/>
        <v/>
      </c>
      <c r="AZ8" s="115" t="s">
        <v>18</v>
      </c>
      <c r="WPG8" s="28">
        <f>ClassInformation!E13</f>
        <v>0</v>
      </c>
    </row>
    <row r="9" spans="1:52 15971:15971" s="28" customFormat="1" x14ac:dyDescent="0.25">
      <c r="A9" s="58" t="str">
        <f>IF(ISBLANK(ClassInformation!C14),"ZZZZZ",ClassInformation!C14)</f>
        <v>ZZZZZ</v>
      </c>
      <c r="B9" s="59" t="str">
        <f>IF(ISBLANK(ClassInformation!D14),"ZZZZZ",ClassInformation!D14)</f>
        <v>ZZZZZ</v>
      </c>
      <c r="C9" s="128"/>
      <c r="D9" s="128"/>
      <c r="E9" s="128"/>
      <c r="F9" s="128"/>
      <c r="G9" s="128"/>
      <c r="H9" s="129"/>
      <c r="I9" s="128"/>
      <c r="J9" s="128"/>
      <c r="K9" s="128"/>
      <c r="L9" s="128"/>
      <c r="M9" s="129"/>
      <c r="N9" s="152"/>
      <c r="O9" s="152"/>
      <c r="P9" s="152"/>
      <c r="Q9" s="128"/>
      <c r="R9" s="130" t="str">
        <f t="shared" si="0"/>
        <v/>
      </c>
      <c r="S9" s="131" t="str">
        <f t="shared" si="1"/>
        <v/>
      </c>
      <c r="T9" s="132" t="str">
        <f>IF(R9="","",VLOOKUP(S9,Table1[],2,TRUE))</f>
        <v/>
      </c>
      <c r="U9" s="138" t="str">
        <f t="shared" si="6"/>
        <v/>
      </c>
      <c r="V9" s="134" t="str">
        <f t="shared" si="2"/>
        <v/>
      </c>
      <c r="W9" s="135" t="str">
        <f>IF(U9="","",VLOOKUP(V9,Table1[],2,TRUE))</f>
        <v/>
      </c>
      <c r="X9" s="136" t="str">
        <f>_xlfn.IFS(AND(S9="",V9=""),"",OR(S9="-",V9="-"),"-",AND(S$3&lt;&gt;0,V$3&lt;&gt;0),VLOOKUP(AVERAGE(S9,V9),Table1[],2,TRUE),AND(S$3&lt;&gt;0,V$3=0),T9,TRUE,W9)</f>
        <v/>
      </c>
      <c r="Y9" s="137"/>
      <c r="Z9" s="137" t="str">
        <f t="shared" si="7"/>
        <v/>
      </c>
      <c r="AA9" s="115" t="s">
        <v>18</v>
      </c>
      <c r="AB9" s="128"/>
      <c r="AC9" s="128"/>
      <c r="AD9" s="128"/>
      <c r="AE9" s="128"/>
      <c r="AF9" s="128"/>
      <c r="AG9" s="129"/>
      <c r="AH9" s="128"/>
      <c r="AI9" s="128"/>
      <c r="AJ9" s="128"/>
      <c r="AK9" s="128"/>
      <c r="AL9" s="129"/>
      <c r="AM9" s="152"/>
      <c r="AN9" s="152"/>
      <c r="AO9" s="152"/>
      <c r="AP9" s="128"/>
      <c r="AQ9" s="130" t="str">
        <f t="shared" si="3"/>
        <v/>
      </c>
      <c r="AR9" s="131" t="str">
        <f t="shared" si="4"/>
        <v/>
      </c>
      <c r="AS9" s="132" t="str">
        <f>IF(AQ9="","",VLOOKUP(AR9,Table1[],2,TRUE))</f>
        <v/>
      </c>
      <c r="AT9" s="138" t="str">
        <f t="shared" si="8"/>
        <v/>
      </c>
      <c r="AU9" s="134" t="str">
        <f t="shared" si="5"/>
        <v/>
      </c>
      <c r="AV9" s="135" t="str">
        <f>IF(AT9="","",VLOOKUP(AU9,Table1[],2,TRUE))</f>
        <v/>
      </c>
      <c r="AW9" s="136" t="str">
        <f>_xlfn.IFS(AND(AR9="",AU9=""),"",OR(AR9="-",AU9="-"),"-",AND(AR$3&lt;&gt;0,AU$3&lt;&gt;0),VLOOKUP(AVERAGE(AR9,AU9),Table1[],2,TRUE),AND(AR$3&lt;&gt;0,AU$3=0),AS9,TRUE,AV9)</f>
        <v/>
      </c>
      <c r="AX9" s="137"/>
      <c r="AY9" s="137" t="str">
        <f t="shared" si="9"/>
        <v/>
      </c>
      <c r="AZ9" s="115" t="s">
        <v>18</v>
      </c>
      <c r="WPG9" s="28">
        <f>ClassInformation!E14</f>
        <v>0</v>
      </c>
    </row>
    <row r="10" spans="1:52 15971:15971" s="28" customFormat="1" x14ac:dyDescent="0.25">
      <c r="A10" s="58" t="str">
        <f>IF(ISBLANK(ClassInformation!C15),"ZZZZZ",ClassInformation!C15)</f>
        <v>ZZZZZ</v>
      </c>
      <c r="B10" s="59" t="str">
        <f>IF(ISBLANK(ClassInformation!D15),"ZZZZZ",ClassInformation!D15)</f>
        <v>ZZZZZ</v>
      </c>
      <c r="C10" s="128"/>
      <c r="D10" s="128"/>
      <c r="E10" s="128"/>
      <c r="F10" s="128"/>
      <c r="G10" s="128"/>
      <c r="H10" s="129"/>
      <c r="I10" s="128"/>
      <c r="J10" s="128"/>
      <c r="K10" s="128"/>
      <c r="L10" s="128"/>
      <c r="M10" s="129"/>
      <c r="N10" s="152"/>
      <c r="O10" s="152"/>
      <c r="P10" s="152"/>
      <c r="Q10" s="128"/>
      <c r="R10" s="130" t="str">
        <f t="shared" si="0"/>
        <v/>
      </c>
      <c r="S10" s="131" t="str">
        <f t="shared" si="1"/>
        <v/>
      </c>
      <c r="T10" s="132" t="str">
        <f>IF(R10="","",VLOOKUP(S10,Table1[],2,TRUE))</f>
        <v/>
      </c>
      <c r="U10" s="138" t="str">
        <f t="shared" si="6"/>
        <v/>
      </c>
      <c r="V10" s="134" t="str">
        <f t="shared" si="2"/>
        <v/>
      </c>
      <c r="W10" s="135" t="str">
        <f>IF(U10="","",VLOOKUP(V10,Table1[],2,TRUE))</f>
        <v/>
      </c>
      <c r="X10" s="136" t="str">
        <f>_xlfn.IFS(AND(S10="",V10=""),"",OR(S10="-",V10="-"),"-",AND(S$3&lt;&gt;0,V$3&lt;&gt;0),VLOOKUP(AVERAGE(S10,V10),Table1[],2,TRUE),AND(S$3&lt;&gt;0,V$3=0),T10,TRUE,W10)</f>
        <v/>
      </c>
      <c r="Y10" s="137"/>
      <c r="Z10" s="137" t="str">
        <f t="shared" si="7"/>
        <v/>
      </c>
      <c r="AA10" s="115" t="s">
        <v>18</v>
      </c>
      <c r="AB10" s="128"/>
      <c r="AC10" s="128"/>
      <c r="AD10" s="128"/>
      <c r="AE10" s="128"/>
      <c r="AF10" s="128"/>
      <c r="AG10" s="129"/>
      <c r="AH10" s="128"/>
      <c r="AI10" s="128"/>
      <c r="AJ10" s="128"/>
      <c r="AK10" s="128"/>
      <c r="AL10" s="129"/>
      <c r="AM10" s="152"/>
      <c r="AN10" s="152"/>
      <c r="AO10" s="152"/>
      <c r="AP10" s="128"/>
      <c r="AQ10" s="130" t="str">
        <f t="shared" si="3"/>
        <v/>
      </c>
      <c r="AR10" s="131" t="str">
        <f t="shared" si="4"/>
        <v/>
      </c>
      <c r="AS10" s="132" t="str">
        <f>IF(AQ10="","",VLOOKUP(AR10,Table1[],2,TRUE))</f>
        <v/>
      </c>
      <c r="AT10" s="138" t="str">
        <f t="shared" si="8"/>
        <v/>
      </c>
      <c r="AU10" s="134" t="str">
        <f t="shared" si="5"/>
        <v/>
      </c>
      <c r="AV10" s="135" t="str">
        <f>IF(AT10="","",VLOOKUP(AU10,Table1[],2,TRUE))</f>
        <v/>
      </c>
      <c r="AW10" s="136" t="str">
        <f>_xlfn.IFS(AND(AR10="",AU10=""),"",OR(AR10="-",AU10="-"),"-",AND(AR$3&lt;&gt;0,AU$3&lt;&gt;0),VLOOKUP(AVERAGE(AR10,AU10),Table1[],2,TRUE),AND(AR$3&lt;&gt;0,AU$3=0),AS10,TRUE,AV10)</f>
        <v/>
      </c>
      <c r="AX10" s="137"/>
      <c r="AY10" s="137" t="str">
        <f t="shared" si="9"/>
        <v/>
      </c>
      <c r="AZ10" s="115" t="s">
        <v>18</v>
      </c>
      <c r="WPG10" s="28">
        <f>ClassInformation!E15</f>
        <v>0</v>
      </c>
    </row>
    <row r="11" spans="1:52 15971:15971" s="28" customFormat="1" x14ac:dyDescent="0.25">
      <c r="A11" s="58" t="str">
        <f>IF(ISBLANK(ClassInformation!C16),"ZZZZZ",ClassInformation!C16)</f>
        <v>ZZZZZ</v>
      </c>
      <c r="B11" s="59" t="str">
        <f>IF(ISBLANK(ClassInformation!D16),"ZZZZZ",ClassInformation!D16)</f>
        <v>ZZZZZ</v>
      </c>
      <c r="C11" s="128"/>
      <c r="D11" s="128"/>
      <c r="E11" s="128"/>
      <c r="F11" s="128"/>
      <c r="G11" s="128"/>
      <c r="H11" s="129"/>
      <c r="I11" s="128"/>
      <c r="J11" s="128"/>
      <c r="K11" s="128"/>
      <c r="L11" s="128"/>
      <c r="M11" s="129"/>
      <c r="N11" s="152"/>
      <c r="O11" s="152"/>
      <c r="P11" s="152"/>
      <c r="Q11" s="128"/>
      <c r="R11" s="130" t="str">
        <f t="shared" si="0"/>
        <v/>
      </c>
      <c r="S11" s="131" t="str">
        <f t="shared" si="1"/>
        <v/>
      </c>
      <c r="T11" s="132" t="str">
        <f>IF(R11="","",VLOOKUP(S11,Table1[],2,TRUE))</f>
        <v/>
      </c>
      <c r="U11" s="138" t="str">
        <f t="shared" si="6"/>
        <v/>
      </c>
      <c r="V11" s="134" t="str">
        <f t="shared" si="2"/>
        <v/>
      </c>
      <c r="W11" s="135" t="str">
        <f>IF(U11="","",VLOOKUP(V11,Table1[],2,TRUE))</f>
        <v/>
      </c>
      <c r="X11" s="136" t="str">
        <f>_xlfn.IFS(AND(S11="",V11=""),"",OR(S11="-",V11="-"),"-",AND(S$3&lt;&gt;0,V$3&lt;&gt;0),VLOOKUP(AVERAGE(S11,V11),Table1[],2,TRUE),AND(S$3&lt;&gt;0,V$3=0),T11,TRUE,W11)</f>
        <v/>
      </c>
      <c r="Y11" s="137"/>
      <c r="Z11" s="137" t="str">
        <f t="shared" si="7"/>
        <v/>
      </c>
      <c r="AA11" s="115" t="s">
        <v>18</v>
      </c>
      <c r="AB11" s="128"/>
      <c r="AC11" s="128"/>
      <c r="AD11" s="128"/>
      <c r="AE11" s="128"/>
      <c r="AF11" s="128"/>
      <c r="AG11" s="129"/>
      <c r="AH11" s="128"/>
      <c r="AI11" s="128"/>
      <c r="AJ11" s="128"/>
      <c r="AK11" s="128"/>
      <c r="AL11" s="129"/>
      <c r="AM11" s="152"/>
      <c r="AN11" s="152"/>
      <c r="AO11" s="152"/>
      <c r="AP11" s="128"/>
      <c r="AQ11" s="130" t="str">
        <f t="shared" si="3"/>
        <v/>
      </c>
      <c r="AR11" s="131" t="str">
        <f t="shared" si="4"/>
        <v/>
      </c>
      <c r="AS11" s="132" t="str">
        <f>IF(AQ11="","",VLOOKUP(AR11,Table1[],2,TRUE))</f>
        <v/>
      </c>
      <c r="AT11" s="138" t="str">
        <f t="shared" si="8"/>
        <v/>
      </c>
      <c r="AU11" s="134" t="str">
        <f t="shared" si="5"/>
        <v/>
      </c>
      <c r="AV11" s="135" t="str">
        <f>IF(AT11="","",VLOOKUP(AU11,Table1[],2,TRUE))</f>
        <v/>
      </c>
      <c r="AW11" s="136" t="str">
        <f>_xlfn.IFS(AND(AR11="",AU11=""),"",OR(AR11="-",AU11="-"),"-",AND(AR$3&lt;&gt;0,AU$3&lt;&gt;0),VLOOKUP(AVERAGE(AR11,AU11),Table1[],2,TRUE),AND(AR$3&lt;&gt;0,AU$3=0),AS11,TRUE,AV11)</f>
        <v/>
      </c>
      <c r="AX11" s="137"/>
      <c r="AY11" s="137" t="str">
        <f t="shared" si="9"/>
        <v/>
      </c>
      <c r="AZ11" s="115" t="s">
        <v>18</v>
      </c>
      <c r="WPG11" s="28">
        <f>ClassInformation!E16</f>
        <v>0</v>
      </c>
    </row>
    <row r="12" spans="1:52 15971:15971" s="28" customFormat="1" x14ac:dyDescent="0.25">
      <c r="A12" s="58" t="str">
        <f>IF(ISBLANK(ClassInformation!C17),"ZZZZZ",ClassInformation!C17)</f>
        <v>ZZZZZ</v>
      </c>
      <c r="B12" s="59" t="str">
        <f>IF(ISBLANK(ClassInformation!D17),"ZZZZZ",ClassInformation!D17)</f>
        <v>ZZZZZ</v>
      </c>
      <c r="C12" s="128"/>
      <c r="D12" s="128"/>
      <c r="E12" s="128"/>
      <c r="F12" s="128"/>
      <c r="G12" s="128"/>
      <c r="H12" s="129"/>
      <c r="I12" s="128"/>
      <c r="J12" s="128"/>
      <c r="K12" s="128"/>
      <c r="L12" s="128"/>
      <c r="M12" s="129"/>
      <c r="N12" s="152"/>
      <c r="O12" s="152"/>
      <c r="P12" s="152"/>
      <c r="Q12" s="128"/>
      <c r="R12" s="130" t="str">
        <f t="shared" si="0"/>
        <v/>
      </c>
      <c r="S12" s="131" t="str">
        <f t="shared" si="1"/>
        <v/>
      </c>
      <c r="T12" s="132" t="str">
        <f>IF(R12="","",VLOOKUP(S12,Table1[],2,TRUE))</f>
        <v/>
      </c>
      <c r="U12" s="138" t="str">
        <f t="shared" si="6"/>
        <v/>
      </c>
      <c r="V12" s="134" t="str">
        <f t="shared" si="2"/>
        <v/>
      </c>
      <c r="W12" s="135" t="str">
        <f>IF(U12="","",VLOOKUP(V12,Table1[],2,TRUE))</f>
        <v/>
      </c>
      <c r="X12" s="136" t="str">
        <f>_xlfn.IFS(AND(S12="",V12=""),"",OR(S12="-",V12="-"),"-",AND(S$3&lt;&gt;0,V$3&lt;&gt;0),VLOOKUP(AVERAGE(S12,V12),Table1[],2,TRUE),AND(S$3&lt;&gt;0,V$3=0),T12,TRUE,W12)</f>
        <v/>
      </c>
      <c r="Y12" s="137"/>
      <c r="Z12" s="137" t="str">
        <f t="shared" si="7"/>
        <v/>
      </c>
      <c r="AA12" s="115" t="s">
        <v>18</v>
      </c>
      <c r="AB12" s="128"/>
      <c r="AC12" s="128"/>
      <c r="AD12" s="128"/>
      <c r="AE12" s="128"/>
      <c r="AF12" s="128"/>
      <c r="AG12" s="129"/>
      <c r="AH12" s="128"/>
      <c r="AI12" s="128"/>
      <c r="AJ12" s="128"/>
      <c r="AK12" s="128"/>
      <c r="AL12" s="129"/>
      <c r="AM12" s="152"/>
      <c r="AN12" s="152"/>
      <c r="AO12" s="152"/>
      <c r="AP12" s="128"/>
      <c r="AQ12" s="130" t="str">
        <f t="shared" si="3"/>
        <v/>
      </c>
      <c r="AR12" s="131" t="str">
        <f t="shared" si="4"/>
        <v/>
      </c>
      <c r="AS12" s="132" t="str">
        <f>IF(AQ12="","",VLOOKUP(AR12,Table1[],2,TRUE))</f>
        <v/>
      </c>
      <c r="AT12" s="138" t="str">
        <f t="shared" si="8"/>
        <v/>
      </c>
      <c r="AU12" s="134" t="str">
        <f t="shared" si="5"/>
        <v/>
      </c>
      <c r="AV12" s="135" t="str">
        <f>IF(AT12="","",VLOOKUP(AU12,Table1[],2,TRUE))</f>
        <v/>
      </c>
      <c r="AW12" s="136" t="str">
        <f>_xlfn.IFS(AND(AR12="",AU12=""),"",OR(AR12="-",AU12="-"),"-",AND(AR$3&lt;&gt;0,AU$3&lt;&gt;0),VLOOKUP(AVERAGE(AR12,AU12),Table1[],2,TRUE),AND(AR$3&lt;&gt;0,AU$3=0),AS12,TRUE,AV12)</f>
        <v/>
      </c>
      <c r="AX12" s="137"/>
      <c r="AY12" s="137" t="str">
        <f t="shared" si="9"/>
        <v/>
      </c>
      <c r="AZ12" s="115" t="s">
        <v>18</v>
      </c>
      <c r="WPG12" s="28">
        <f>ClassInformation!E17</f>
        <v>0</v>
      </c>
    </row>
    <row r="13" spans="1:52 15971:15971" s="28" customFormat="1" x14ac:dyDescent="0.25">
      <c r="A13" s="58" t="str">
        <f>IF(ISBLANK(ClassInformation!C18),"ZZZZZ",ClassInformation!C18)</f>
        <v>ZZZZZ</v>
      </c>
      <c r="B13" s="59" t="str">
        <f>IF(ISBLANK(ClassInformation!D18),"ZZZZZ",ClassInformation!D18)</f>
        <v>ZZZZZ</v>
      </c>
      <c r="C13" s="128"/>
      <c r="D13" s="128"/>
      <c r="E13" s="128"/>
      <c r="F13" s="128"/>
      <c r="G13" s="128"/>
      <c r="H13" s="129"/>
      <c r="I13" s="128"/>
      <c r="J13" s="128"/>
      <c r="K13" s="128"/>
      <c r="L13" s="128"/>
      <c r="M13" s="129"/>
      <c r="N13" s="152"/>
      <c r="O13" s="152"/>
      <c r="P13" s="152"/>
      <c r="Q13" s="128"/>
      <c r="R13" s="130" t="str">
        <f t="shared" si="0"/>
        <v/>
      </c>
      <c r="S13" s="131" t="str">
        <f t="shared" si="1"/>
        <v/>
      </c>
      <c r="T13" s="132" t="str">
        <f>IF(R13="","",VLOOKUP(S13,Table1[],2,TRUE))</f>
        <v/>
      </c>
      <c r="U13" s="138" t="str">
        <f t="shared" si="6"/>
        <v/>
      </c>
      <c r="V13" s="134" t="str">
        <f t="shared" si="2"/>
        <v/>
      </c>
      <c r="W13" s="135" t="str">
        <f>IF(U13="","",VLOOKUP(V13,Table1[],2,TRUE))</f>
        <v/>
      </c>
      <c r="X13" s="136" t="str">
        <f>_xlfn.IFS(AND(S13="",V13=""),"",OR(S13="-",V13="-"),"-",AND(S$3&lt;&gt;0,V$3&lt;&gt;0),VLOOKUP(AVERAGE(S13,V13),Table1[],2,TRUE),AND(S$3&lt;&gt;0,V$3=0),T13,TRUE,W13)</f>
        <v/>
      </c>
      <c r="Y13" s="137"/>
      <c r="Z13" s="137" t="str">
        <f t="shared" si="7"/>
        <v/>
      </c>
      <c r="AA13" s="115" t="s">
        <v>18</v>
      </c>
      <c r="AB13" s="128"/>
      <c r="AC13" s="128"/>
      <c r="AD13" s="128"/>
      <c r="AE13" s="128"/>
      <c r="AF13" s="128"/>
      <c r="AG13" s="129"/>
      <c r="AH13" s="128"/>
      <c r="AI13" s="128"/>
      <c r="AJ13" s="128"/>
      <c r="AK13" s="128"/>
      <c r="AL13" s="129"/>
      <c r="AM13" s="152"/>
      <c r="AN13" s="152"/>
      <c r="AO13" s="152"/>
      <c r="AP13" s="128"/>
      <c r="AQ13" s="130" t="str">
        <f t="shared" si="3"/>
        <v/>
      </c>
      <c r="AR13" s="131" t="str">
        <f t="shared" si="4"/>
        <v/>
      </c>
      <c r="AS13" s="132" t="str">
        <f>IF(AQ13="","",VLOOKUP(AR13,Table1[],2,TRUE))</f>
        <v/>
      </c>
      <c r="AT13" s="138" t="str">
        <f t="shared" si="8"/>
        <v/>
      </c>
      <c r="AU13" s="134" t="str">
        <f t="shared" si="5"/>
        <v/>
      </c>
      <c r="AV13" s="135" t="str">
        <f>IF(AT13="","",VLOOKUP(AU13,Table1[],2,TRUE))</f>
        <v/>
      </c>
      <c r="AW13" s="136" t="str">
        <f>_xlfn.IFS(AND(AR13="",AU13=""),"",OR(AR13="-",AU13="-"),"-",AND(AR$3&lt;&gt;0,AU$3&lt;&gt;0),VLOOKUP(AVERAGE(AR13,AU13),Table1[],2,TRUE),AND(AR$3&lt;&gt;0,AU$3=0),AS13,TRUE,AV13)</f>
        <v/>
      </c>
      <c r="AX13" s="137"/>
      <c r="AY13" s="137" t="str">
        <f t="shared" si="9"/>
        <v/>
      </c>
      <c r="AZ13" s="115" t="s">
        <v>18</v>
      </c>
      <c r="WPG13" s="28">
        <f>ClassInformation!E18</f>
        <v>0</v>
      </c>
    </row>
    <row r="14" spans="1:52 15971:15971" s="28" customFormat="1" x14ac:dyDescent="0.25">
      <c r="A14" s="58" t="str">
        <f>IF(ISBLANK(ClassInformation!C19),"ZZZZZ",ClassInformation!C19)</f>
        <v>ZZZZZ</v>
      </c>
      <c r="B14" s="59" t="str">
        <f>IF(ISBLANK(ClassInformation!D19),"ZZZZZ",ClassInformation!D19)</f>
        <v>ZZZZZ</v>
      </c>
      <c r="C14" s="128"/>
      <c r="D14" s="128"/>
      <c r="E14" s="128"/>
      <c r="F14" s="128"/>
      <c r="G14" s="128"/>
      <c r="H14" s="129"/>
      <c r="I14" s="128"/>
      <c r="J14" s="128"/>
      <c r="K14" s="128"/>
      <c r="L14" s="128"/>
      <c r="M14" s="129"/>
      <c r="N14" s="152"/>
      <c r="O14" s="152"/>
      <c r="P14" s="152"/>
      <c r="Q14" s="128"/>
      <c r="R14" s="130" t="str">
        <f t="shared" si="0"/>
        <v/>
      </c>
      <c r="S14" s="131" t="str">
        <f t="shared" si="1"/>
        <v/>
      </c>
      <c r="T14" s="132" t="str">
        <f>IF(R14="","",VLOOKUP(S14,Table1[],2,TRUE))</f>
        <v/>
      </c>
      <c r="U14" s="138" t="str">
        <f t="shared" si="6"/>
        <v/>
      </c>
      <c r="V14" s="134" t="str">
        <f t="shared" si="2"/>
        <v/>
      </c>
      <c r="W14" s="135" t="str">
        <f>IF(U14="","",VLOOKUP(V14,Table1[],2,TRUE))</f>
        <v/>
      </c>
      <c r="X14" s="136" t="str">
        <f>_xlfn.IFS(AND(S14="",V14=""),"",OR(S14="-",V14="-"),"-",AND(S$3&lt;&gt;0,V$3&lt;&gt;0),VLOOKUP(AVERAGE(S14,V14),Table1[],2,TRUE),AND(S$3&lt;&gt;0,V$3=0),T14,TRUE,W14)</f>
        <v/>
      </c>
      <c r="Y14" s="137"/>
      <c r="Z14" s="137" t="str">
        <f t="shared" si="7"/>
        <v/>
      </c>
      <c r="AA14" s="115" t="s">
        <v>18</v>
      </c>
      <c r="AB14" s="128"/>
      <c r="AC14" s="128"/>
      <c r="AD14" s="128"/>
      <c r="AE14" s="128"/>
      <c r="AF14" s="128"/>
      <c r="AG14" s="129"/>
      <c r="AH14" s="128"/>
      <c r="AI14" s="128"/>
      <c r="AJ14" s="128"/>
      <c r="AK14" s="128"/>
      <c r="AL14" s="129"/>
      <c r="AM14" s="152"/>
      <c r="AN14" s="152"/>
      <c r="AO14" s="152"/>
      <c r="AP14" s="128"/>
      <c r="AQ14" s="130" t="str">
        <f t="shared" si="3"/>
        <v/>
      </c>
      <c r="AR14" s="131" t="str">
        <f t="shared" si="4"/>
        <v/>
      </c>
      <c r="AS14" s="132" t="str">
        <f>IF(AQ14="","",VLOOKUP(AR14,Table1[],2,TRUE))</f>
        <v/>
      </c>
      <c r="AT14" s="138" t="str">
        <f t="shared" si="8"/>
        <v/>
      </c>
      <c r="AU14" s="134" t="str">
        <f t="shared" si="5"/>
        <v/>
      </c>
      <c r="AV14" s="135" t="str">
        <f>IF(AT14="","",VLOOKUP(AU14,Table1[],2,TRUE))</f>
        <v/>
      </c>
      <c r="AW14" s="136" t="str">
        <f>_xlfn.IFS(AND(AR14="",AU14=""),"",OR(AR14="-",AU14="-"),"-",AND(AR$3&lt;&gt;0,AU$3&lt;&gt;0),VLOOKUP(AVERAGE(AR14,AU14),Table1[],2,TRUE),AND(AR$3&lt;&gt;0,AU$3=0),AS14,TRUE,AV14)</f>
        <v/>
      </c>
      <c r="AX14" s="137"/>
      <c r="AY14" s="137" t="str">
        <f t="shared" si="9"/>
        <v/>
      </c>
      <c r="AZ14" s="115" t="s">
        <v>18</v>
      </c>
      <c r="WPG14" s="28">
        <f>ClassInformation!E19</f>
        <v>0</v>
      </c>
    </row>
    <row r="15" spans="1:52 15971:15971" s="28" customFormat="1" x14ac:dyDescent="0.25">
      <c r="A15" s="58" t="str">
        <f>IF(ISBLANK(ClassInformation!C20),"ZZZZZ",ClassInformation!C20)</f>
        <v>ZZZZZ</v>
      </c>
      <c r="B15" s="59" t="str">
        <f>IF(ISBLANK(ClassInformation!D20),"ZZZZZ",ClassInformation!D20)</f>
        <v>ZZZZZ</v>
      </c>
      <c r="C15" s="128"/>
      <c r="D15" s="128"/>
      <c r="E15" s="128"/>
      <c r="F15" s="128"/>
      <c r="G15" s="128"/>
      <c r="H15" s="129"/>
      <c r="I15" s="128"/>
      <c r="J15" s="128"/>
      <c r="K15" s="128"/>
      <c r="L15" s="128"/>
      <c r="M15" s="129"/>
      <c r="N15" s="152"/>
      <c r="O15" s="152"/>
      <c r="P15" s="152"/>
      <c r="Q15" s="128"/>
      <c r="R15" s="130" t="str">
        <f t="shared" si="0"/>
        <v/>
      </c>
      <c r="S15" s="131" t="str">
        <f t="shared" si="1"/>
        <v/>
      </c>
      <c r="T15" s="132" t="str">
        <f>IF(R15="","",VLOOKUP(S15,Table1[],2,TRUE))</f>
        <v/>
      </c>
      <c r="U15" s="138" t="str">
        <f t="shared" si="6"/>
        <v/>
      </c>
      <c r="V15" s="134" t="str">
        <f t="shared" si="2"/>
        <v/>
      </c>
      <c r="W15" s="135" t="str">
        <f>IF(U15="","",VLOOKUP(V15,Table1[],2,TRUE))</f>
        <v/>
      </c>
      <c r="X15" s="136" t="str">
        <f>_xlfn.IFS(AND(S15="",V15=""),"",OR(S15="-",V15="-"),"-",AND(S$3&lt;&gt;0,V$3&lt;&gt;0),VLOOKUP(AVERAGE(S15,V15),Table1[],2,TRUE),AND(S$3&lt;&gt;0,V$3=0),T15,TRUE,W15)</f>
        <v/>
      </c>
      <c r="Y15" s="137"/>
      <c r="Z15" s="137" t="str">
        <f t="shared" si="7"/>
        <v/>
      </c>
      <c r="AA15" s="115" t="s">
        <v>18</v>
      </c>
      <c r="AB15" s="128"/>
      <c r="AC15" s="128"/>
      <c r="AD15" s="128"/>
      <c r="AE15" s="128"/>
      <c r="AF15" s="128"/>
      <c r="AG15" s="129"/>
      <c r="AH15" s="128"/>
      <c r="AI15" s="128"/>
      <c r="AJ15" s="128"/>
      <c r="AK15" s="128"/>
      <c r="AL15" s="129"/>
      <c r="AM15" s="152"/>
      <c r="AN15" s="152"/>
      <c r="AO15" s="152"/>
      <c r="AP15" s="128"/>
      <c r="AQ15" s="130" t="str">
        <f t="shared" si="3"/>
        <v/>
      </c>
      <c r="AR15" s="131" t="str">
        <f t="shared" si="4"/>
        <v/>
      </c>
      <c r="AS15" s="132" t="str">
        <f>IF(AQ15="","",VLOOKUP(AR15,Table1[],2,TRUE))</f>
        <v/>
      </c>
      <c r="AT15" s="138" t="str">
        <f t="shared" si="8"/>
        <v/>
      </c>
      <c r="AU15" s="134" t="str">
        <f t="shared" si="5"/>
        <v/>
      </c>
      <c r="AV15" s="135" t="str">
        <f>IF(AT15="","",VLOOKUP(AU15,Table1[],2,TRUE))</f>
        <v/>
      </c>
      <c r="AW15" s="136" t="str">
        <f>_xlfn.IFS(AND(AR15="",AU15=""),"",OR(AR15="-",AU15="-"),"-",AND(AR$3&lt;&gt;0,AU$3&lt;&gt;0),VLOOKUP(AVERAGE(AR15,AU15),Table1[],2,TRUE),AND(AR$3&lt;&gt;0,AU$3=0),AS15,TRUE,AV15)</f>
        <v/>
      </c>
      <c r="AX15" s="137"/>
      <c r="AY15" s="137" t="str">
        <f t="shared" si="9"/>
        <v/>
      </c>
      <c r="AZ15" s="115" t="s">
        <v>18</v>
      </c>
      <c r="WPG15" s="28">
        <f>ClassInformation!E20</f>
        <v>0</v>
      </c>
    </row>
    <row r="16" spans="1:52 15971:15971" s="28" customFormat="1" x14ac:dyDescent="0.25">
      <c r="A16" s="58" t="str">
        <f>IF(ISBLANK(ClassInformation!C21),"ZZZZZ",ClassInformation!C21)</f>
        <v>ZZZZZ</v>
      </c>
      <c r="B16" s="59" t="str">
        <f>IF(ISBLANK(ClassInformation!D21),"ZZZZZ",ClassInformation!D21)</f>
        <v>ZZZZZ</v>
      </c>
      <c r="C16" s="128"/>
      <c r="D16" s="128"/>
      <c r="E16" s="128"/>
      <c r="F16" s="128"/>
      <c r="G16" s="128"/>
      <c r="H16" s="129"/>
      <c r="I16" s="128"/>
      <c r="J16" s="128"/>
      <c r="K16" s="128"/>
      <c r="L16" s="128"/>
      <c r="M16" s="129"/>
      <c r="N16" s="152"/>
      <c r="O16" s="152"/>
      <c r="P16" s="152"/>
      <c r="Q16" s="128"/>
      <c r="R16" s="130" t="str">
        <f t="shared" si="0"/>
        <v/>
      </c>
      <c r="S16" s="131" t="str">
        <f t="shared" si="1"/>
        <v/>
      </c>
      <c r="T16" s="132" t="str">
        <f>IF(R16="","",VLOOKUP(S16,Table1[],2,TRUE))</f>
        <v/>
      </c>
      <c r="U16" s="138" t="str">
        <f t="shared" si="6"/>
        <v/>
      </c>
      <c r="V16" s="134" t="str">
        <f t="shared" si="2"/>
        <v/>
      </c>
      <c r="W16" s="135" t="str">
        <f>IF(U16="","",VLOOKUP(V16,Table1[],2,TRUE))</f>
        <v/>
      </c>
      <c r="X16" s="136" t="str">
        <f>_xlfn.IFS(AND(S16="",V16=""),"",OR(S16="-",V16="-"),"-",AND(S$3&lt;&gt;0,V$3&lt;&gt;0),VLOOKUP(AVERAGE(S16,V16),Table1[],2,TRUE),AND(S$3&lt;&gt;0,V$3=0),T16,TRUE,W16)</f>
        <v/>
      </c>
      <c r="Y16" s="137"/>
      <c r="Z16" s="137" t="str">
        <f t="shared" si="7"/>
        <v/>
      </c>
      <c r="AA16" s="115" t="s">
        <v>18</v>
      </c>
      <c r="AB16" s="128"/>
      <c r="AC16" s="128"/>
      <c r="AD16" s="128"/>
      <c r="AE16" s="128"/>
      <c r="AF16" s="128"/>
      <c r="AG16" s="129"/>
      <c r="AH16" s="128"/>
      <c r="AI16" s="128"/>
      <c r="AJ16" s="128"/>
      <c r="AK16" s="128"/>
      <c r="AL16" s="129"/>
      <c r="AM16" s="152"/>
      <c r="AN16" s="152"/>
      <c r="AO16" s="152"/>
      <c r="AP16" s="128"/>
      <c r="AQ16" s="130" t="str">
        <f t="shared" si="3"/>
        <v/>
      </c>
      <c r="AR16" s="131" t="str">
        <f t="shared" si="4"/>
        <v/>
      </c>
      <c r="AS16" s="132" t="str">
        <f>IF(AQ16="","",VLOOKUP(AR16,Table1[],2,TRUE))</f>
        <v/>
      </c>
      <c r="AT16" s="138" t="str">
        <f t="shared" si="8"/>
        <v/>
      </c>
      <c r="AU16" s="134" t="str">
        <f t="shared" si="5"/>
        <v/>
      </c>
      <c r="AV16" s="135" t="str">
        <f>IF(AT16="","",VLOOKUP(AU16,Table1[],2,TRUE))</f>
        <v/>
      </c>
      <c r="AW16" s="136" t="str">
        <f>_xlfn.IFS(AND(AR16="",AU16=""),"",OR(AR16="-",AU16="-"),"-",AND(AR$3&lt;&gt;0,AU$3&lt;&gt;0),VLOOKUP(AVERAGE(AR16,AU16),Table1[],2,TRUE),AND(AR$3&lt;&gt;0,AU$3=0),AS16,TRUE,AV16)</f>
        <v/>
      </c>
      <c r="AX16" s="137"/>
      <c r="AY16" s="137" t="str">
        <f t="shared" si="9"/>
        <v/>
      </c>
      <c r="AZ16" s="115" t="s">
        <v>18</v>
      </c>
      <c r="WPG16" s="28">
        <f>ClassInformation!E21</f>
        <v>0</v>
      </c>
    </row>
    <row r="17" spans="1:52 15971:15971" s="28" customFormat="1" x14ac:dyDescent="0.25">
      <c r="A17" s="58" t="str">
        <f>IF(ISBLANK(ClassInformation!C22),"ZZZZZ",ClassInformation!C22)</f>
        <v>ZZZZZ</v>
      </c>
      <c r="B17" s="59" t="str">
        <f>IF(ISBLANK(ClassInformation!D22),"ZZZZZ",ClassInformation!D22)</f>
        <v>ZZZZZ</v>
      </c>
      <c r="C17" s="128"/>
      <c r="D17" s="128"/>
      <c r="E17" s="128"/>
      <c r="F17" s="128"/>
      <c r="G17" s="128"/>
      <c r="H17" s="129"/>
      <c r="I17" s="128"/>
      <c r="J17" s="128"/>
      <c r="K17" s="128"/>
      <c r="L17" s="128"/>
      <c r="M17" s="129"/>
      <c r="N17" s="152"/>
      <c r="O17" s="152"/>
      <c r="P17" s="152"/>
      <c r="Q17" s="128"/>
      <c r="R17" s="130" t="str">
        <f t="shared" si="0"/>
        <v/>
      </c>
      <c r="S17" s="131" t="str">
        <f t="shared" si="1"/>
        <v/>
      </c>
      <c r="T17" s="132" t="str">
        <f>IF(R17="","",VLOOKUP(S17,Table1[],2,TRUE))</f>
        <v/>
      </c>
      <c r="U17" s="138" t="str">
        <f t="shared" si="6"/>
        <v/>
      </c>
      <c r="V17" s="134" t="str">
        <f t="shared" si="2"/>
        <v/>
      </c>
      <c r="W17" s="135" t="str">
        <f>IF(U17="","",VLOOKUP(V17,Table1[],2,TRUE))</f>
        <v/>
      </c>
      <c r="X17" s="136" t="str">
        <f>_xlfn.IFS(AND(S17="",V17=""),"",OR(S17="-",V17="-"),"-",AND(S$3&lt;&gt;0,V$3&lt;&gt;0),VLOOKUP(AVERAGE(S17,V17),Table1[],2,TRUE),AND(S$3&lt;&gt;0,V$3=0),T17,TRUE,W17)</f>
        <v/>
      </c>
      <c r="Y17" s="137"/>
      <c r="Z17" s="137" t="str">
        <f t="shared" si="7"/>
        <v/>
      </c>
      <c r="AA17" s="115" t="s">
        <v>18</v>
      </c>
      <c r="AB17" s="128"/>
      <c r="AC17" s="128"/>
      <c r="AD17" s="128"/>
      <c r="AE17" s="128"/>
      <c r="AF17" s="128"/>
      <c r="AG17" s="129"/>
      <c r="AH17" s="128"/>
      <c r="AI17" s="128"/>
      <c r="AJ17" s="128"/>
      <c r="AK17" s="128"/>
      <c r="AL17" s="129"/>
      <c r="AM17" s="152"/>
      <c r="AN17" s="152"/>
      <c r="AO17" s="152"/>
      <c r="AP17" s="128"/>
      <c r="AQ17" s="130" t="str">
        <f t="shared" si="3"/>
        <v/>
      </c>
      <c r="AR17" s="131" t="str">
        <f t="shared" si="4"/>
        <v/>
      </c>
      <c r="AS17" s="132" t="str">
        <f>IF(AQ17="","",VLOOKUP(AR17,Table1[],2,TRUE))</f>
        <v/>
      </c>
      <c r="AT17" s="138" t="str">
        <f t="shared" si="8"/>
        <v/>
      </c>
      <c r="AU17" s="134" t="str">
        <f t="shared" si="5"/>
        <v/>
      </c>
      <c r="AV17" s="135" t="str">
        <f>IF(AT17="","",VLOOKUP(AU17,Table1[],2,TRUE))</f>
        <v/>
      </c>
      <c r="AW17" s="136" t="str">
        <f>_xlfn.IFS(AND(AR17="",AU17=""),"",OR(AR17="-",AU17="-"),"-",AND(AR$3&lt;&gt;0,AU$3&lt;&gt;0),VLOOKUP(AVERAGE(AR17,AU17),Table1[],2,TRUE),AND(AR$3&lt;&gt;0,AU$3=0),AS17,TRUE,AV17)</f>
        <v/>
      </c>
      <c r="AX17" s="137"/>
      <c r="AY17" s="137" t="str">
        <f t="shared" si="9"/>
        <v/>
      </c>
      <c r="AZ17" s="115" t="s">
        <v>18</v>
      </c>
      <c r="WPG17" s="28">
        <f>ClassInformation!E22</f>
        <v>0</v>
      </c>
    </row>
    <row r="18" spans="1:52 15971:15971" s="28" customFormat="1" x14ac:dyDescent="0.25">
      <c r="A18" s="58" t="str">
        <f>IF(ISBLANK(ClassInformation!C23),"ZZZZZ",ClassInformation!C23)</f>
        <v>ZZZZZ</v>
      </c>
      <c r="B18" s="59" t="str">
        <f>IF(ISBLANK(ClassInformation!D23),"ZZZZZ",ClassInformation!D23)</f>
        <v>ZZZZZ</v>
      </c>
      <c r="C18" s="128"/>
      <c r="D18" s="128"/>
      <c r="E18" s="128"/>
      <c r="F18" s="128"/>
      <c r="G18" s="128"/>
      <c r="H18" s="129"/>
      <c r="I18" s="128"/>
      <c r="J18" s="128"/>
      <c r="K18" s="128"/>
      <c r="L18" s="128"/>
      <c r="M18" s="129"/>
      <c r="N18" s="152"/>
      <c r="O18" s="152"/>
      <c r="P18" s="152"/>
      <c r="Q18" s="128"/>
      <c r="R18" s="130" t="str">
        <f t="shared" si="0"/>
        <v/>
      </c>
      <c r="S18" s="131" t="str">
        <f t="shared" si="1"/>
        <v/>
      </c>
      <c r="T18" s="132" t="str">
        <f>IF(R18="","",VLOOKUP(S18,Table1[],2,TRUE))</f>
        <v/>
      </c>
      <c r="U18" s="138" t="str">
        <f t="shared" si="6"/>
        <v/>
      </c>
      <c r="V18" s="134" t="str">
        <f t="shared" si="2"/>
        <v/>
      </c>
      <c r="W18" s="135" t="str">
        <f>IF(U18="","",VLOOKUP(V18,Table1[],2,TRUE))</f>
        <v/>
      </c>
      <c r="X18" s="136" t="str">
        <f>_xlfn.IFS(AND(S18="",V18=""),"",OR(S18="-",V18="-"),"-",AND(S$3&lt;&gt;0,V$3&lt;&gt;0),VLOOKUP(AVERAGE(S18,V18),Table1[],2,TRUE),AND(S$3&lt;&gt;0,V$3=0),T18,TRUE,W18)</f>
        <v/>
      </c>
      <c r="Y18" s="137"/>
      <c r="Z18" s="137" t="str">
        <f t="shared" si="7"/>
        <v/>
      </c>
      <c r="AA18" s="115" t="s">
        <v>18</v>
      </c>
      <c r="AB18" s="128"/>
      <c r="AC18" s="128"/>
      <c r="AD18" s="128"/>
      <c r="AE18" s="128"/>
      <c r="AF18" s="128"/>
      <c r="AG18" s="129"/>
      <c r="AH18" s="128"/>
      <c r="AI18" s="128"/>
      <c r="AJ18" s="128"/>
      <c r="AK18" s="128"/>
      <c r="AL18" s="129"/>
      <c r="AM18" s="152"/>
      <c r="AN18" s="152"/>
      <c r="AO18" s="152"/>
      <c r="AP18" s="128"/>
      <c r="AQ18" s="130" t="str">
        <f t="shared" si="3"/>
        <v/>
      </c>
      <c r="AR18" s="131" t="str">
        <f t="shared" si="4"/>
        <v/>
      </c>
      <c r="AS18" s="132" t="str">
        <f>IF(AQ18="","",VLOOKUP(AR18,Table1[],2,TRUE))</f>
        <v/>
      </c>
      <c r="AT18" s="138" t="str">
        <f t="shared" si="8"/>
        <v/>
      </c>
      <c r="AU18" s="134" t="str">
        <f t="shared" si="5"/>
        <v/>
      </c>
      <c r="AV18" s="135" t="str">
        <f>IF(AT18="","",VLOOKUP(AU18,Table1[],2,TRUE))</f>
        <v/>
      </c>
      <c r="AW18" s="136" t="str">
        <f>_xlfn.IFS(AND(AR18="",AU18=""),"",OR(AR18="-",AU18="-"),"-",AND(AR$3&lt;&gt;0,AU$3&lt;&gt;0),VLOOKUP(AVERAGE(AR18,AU18),Table1[],2,TRUE),AND(AR$3&lt;&gt;0,AU$3=0),AS18,TRUE,AV18)</f>
        <v/>
      </c>
      <c r="AX18" s="137"/>
      <c r="AY18" s="137" t="str">
        <f t="shared" si="9"/>
        <v/>
      </c>
      <c r="AZ18" s="115" t="s">
        <v>18</v>
      </c>
      <c r="WPG18" s="28">
        <f>ClassInformation!E23</f>
        <v>0</v>
      </c>
    </row>
    <row r="19" spans="1:52 15971:15971" s="28" customFormat="1" x14ac:dyDescent="0.25">
      <c r="A19" s="58" t="str">
        <f>IF(ISBLANK(ClassInformation!C24),"ZZZZZ",ClassInformation!C24)</f>
        <v>ZZZZZ</v>
      </c>
      <c r="B19" s="59" t="str">
        <f>IF(ISBLANK(ClassInformation!D24),"ZZZZZ",ClassInformation!D24)</f>
        <v>ZZZZZ</v>
      </c>
      <c r="C19" s="128"/>
      <c r="D19" s="128"/>
      <c r="E19" s="128"/>
      <c r="F19" s="128"/>
      <c r="G19" s="128"/>
      <c r="H19" s="129"/>
      <c r="I19" s="128"/>
      <c r="J19" s="128"/>
      <c r="K19" s="128"/>
      <c r="L19" s="128"/>
      <c r="M19" s="129"/>
      <c r="N19" s="152"/>
      <c r="O19" s="152"/>
      <c r="P19" s="152"/>
      <c r="Q19" s="128"/>
      <c r="R19" s="130" t="str">
        <f t="shared" si="0"/>
        <v/>
      </c>
      <c r="S19" s="131" t="str">
        <f t="shared" si="1"/>
        <v/>
      </c>
      <c r="T19" s="132" t="str">
        <f>IF(R19="","",VLOOKUP(S19,Table1[],2,TRUE))</f>
        <v/>
      </c>
      <c r="U19" s="138" t="str">
        <f t="shared" si="6"/>
        <v/>
      </c>
      <c r="V19" s="134" t="str">
        <f t="shared" si="2"/>
        <v/>
      </c>
      <c r="W19" s="135" t="str">
        <f>IF(U19="","",VLOOKUP(V19,Table1[],2,TRUE))</f>
        <v/>
      </c>
      <c r="X19" s="136" t="str">
        <f>_xlfn.IFS(AND(S19="",V19=""),"",OR(S19="-",V19="-"),"-",AND(S$3&lt;&gt;0,V$3&lt;&gt;0),VLOOKUP(AVERAGE(S19,V19),Table1[],2,TRUE),AND(S$3&lt;&gt;0,V$3=0),T19,TRUE,W19)</f>
        <v/>
      </c>
      <c r="Y19" s="137"/>
      <c r="Z19" s="137" t="str">
        <f t="shared" si="7"/>
        <v/>
      </c>
      <c r="AA19" s="115" t="s">
        <v>18</v>
      </c>
      <c r="AB19" s="128"/>
      <c r="AC19" s="128"/>
      <c r="AD19" s="128"/>
      <c r="AE19" s="128"/>
      <c r="AF19" s="128"/>
      <c r="AG19" s="129"/>
      <c r="AH19" s="128"/>
      <c r="AI19" s="128"/>
      <c r="AJ19" s="128"/>
      <c r="AK19" s="128"/>
      <c r="AL19" s="129"/>
      <c r="AM19" s="152"/>
      <c r="AN19" s="152"/>
      <c r="AO19" s="152"/>
      <c r="AP19" s="128"/>
      <c r="AQ19" s="130" t="str">
        <f t="shared" si="3"/>
        <v/>
      </c>
      <c r="AR19" s="131" t="str">
        <f t="shared" si="4"/>
        <v/>
      </c>
      <c r="AS19" s="132" t="str">
        <f>IF(AQ19="","",VLOOKUP(AR19,Table1[],2,TRUE))</f>
        <v/>
      </c>
      <c r="AT19" s="138" t="str">
        <f t="shared" si="8"/>
        <v/>
      </c>
      <c r="AU19" s="134" t="str">
        <f t="shared" si="5"/>
        <v/>
      </c>
      <c r="AV19" s="135" t="str">
        <f>IF(AT19="","",VLOOKUP(AU19,Table1[],2,TRUE))</f>
        <v/>
      </c>
      <c r="AW19" s="136" t="str">
        <f>_xlfn.IFS(AND(AR19="",AU19=""),"",OR(AR19="-",AU19="-"),"-",AND(AR$3&lt;&gt;0,AU$3&lt;&gt;0),VLOOKUP(AVERAGE(AR19,AU19),Table1[],2,TRUE),AND(AR$3&lt;&gt;0,AU$3=0),AS19,TRUE,AV19)</f>
        <v/>
      </c>
      <c r="AX19" s="137"/>
      <c r="AY19" s="137" t="str">
        <f t="shared" si="9"/>
        <v/>
      </c>
      <c r="AZ19" s="115" t="s">
        <v>18</v>
      </c>
      <c r="WPG19" s="28">
        <f>ClassInformation!E24</f>
        <v>0</v>
      </c>
    </row>
    <row r="20" spans="1:52 15971:15971" s="28" customFormat="1" x14ac:dyDescent="0.25">
      <c r="A20" s="58" t="str">
        <f>IF(ISBLANK(ClassInformation!C25),"ZZZZZ",ClassInformation!C25)</f>
        <v>ZZZZZ</v>
      </c>
      <c r="B20" s="59" t="str">
        <f>IF(ISBLANK(ClassInformation!D25),"ZZZZZ",ClassInformation!D25)</f>
        <v>ZZZZZ</v>
      </c>
      <c r="C20" s="128"/>
      <c r="D20" s="128"/>
      <c r="E20" s="128"/>
      <c r="F20" s="128"/>
      <c r="G20" s="128"/>
      <c r="H20" s="129"/>
      <c r="I20" s="128"/>
      <c r="J20" s="128"/>
      <c r="K20" s="128"/>
      <c r="L20" s="128"/>
      <c r="M20" s="129"/>
      <c r="N20" s="152"/>
      <c r="O20" s="152"/>
      <c r="P20" s="152"/>
      <c r="Q20" s="128"/>
      <c r="R20" s="130" t="str">
        <f t="shared" si="0"/>
        <v/>
      </c>
      <c r="S20" s="131" t="str">
        <f t="shared" si="1"/>
        <v/>
      </c>
      <c r="T20" s="132" t="str">
        <f>IF(R20="","",VLOOKUP(S20,Table1[],2,TRUE))</f>
        <v/>
      </c>
      <c r="U20" s="138" t="str">
        <f t="shared" si="6"/>
        <v/>
      </c>
      <c r="V20" s="134" t="str">
        <f t="shared" si="2"/>
        <v/>
      </c>
      <c r="W20" s="135" t="str">
        <f>IF(U20="","",VLOOKUP(V20,Table1[],2,TRUE))</f>
        <v/>
      </c>
      <c r="X20" s="136" t="str">
        <f>_xlfn.IFS(AND(S20="",V20=""),"",OR(S20="-",V20="-"),"-",AND(S$3&lt;&gt;0,V$3&lt;&gt;0),VLOOKUP(AVERAGE(S20,V20),Table1[],2,TRUE),AND(S$3&lt;&gt;0,V$3=0),T20,TRUE,W20)</f>
        <v/>
      </c>
      <c r="Y20" s="137"/>
      <c r="Z20" s="137" t="str">
        <f t="shared" si="7"/>
        <v/>
      </c>
      <c r="AA20" s="115" t="s">
        <v>18</v>
      </c>
      <c r="AB20" s="128"/>
      <c r="AC20" s="128"/>
      <c r="AD20" s="128"/>
      <c r="AE20" s="128"/>
      <c r="AF20" s="128"/>
      <c r="AG20" s="129"/>
      <c r="AH20" s="128"/>
      <c r="AI20" s="128"/>
      <c r="AJ20" s="128"/>
      <c r="AK20" s="128"/>
      <c r="AL20" s="129"/>
      <c r="AM20" s="152"/>
      <c r="AN20" s="152"/>
      <c r="AO20" s="152"/>
      <c r="AP20" s="128"/>
      <c r="AQ20" s="130" t="str">
        <f t="shared" si="3"/>
        <v/>
      </c>
      <c r="AR20" s="131" t="str">
        <f t="shared" si="4"/>
        <v/>
      </c>
      <c r="AS20" s="132" t="str">
        <f>IF(AQ20="","",VLOOKUP(AR20,Table1[],2,TRUE))</f>
        <v/>
      </c>
      <c r="AT20" s="138" t="str">
        <f t="shared" si="8"/>
        <v/>
      </c>
      <c r="AU20" s="134" t="str">
        <f t="shared" si="5"/>
        <v/>
      </c>
      <c r="AV20" s="135" t="str">
        <f>IF(AT20="","",VLOOKUP(AU20,Table1[],2,TRUE))</f>
        <v/>
      </c>
      <c r="AW20" s="136" t="str">
        <f>_xlfn.IFS(AND(AR20="",AU20=""),"",OR(AR20="-",AU20="-"),"-",AND(AR$3&lt;&gt;0,AU$3&lt;&gt;0),VLOOKUP(AVERAGE(AR20,AU20),Table1[],2,TRUE),AND(AR$3&lt;&gt;0,AU$3=0),AS20,TRUE,AV20)</f>
        <v/>
      </c>
      <c r="AX20" s="137"/>
      <c r="AY20" s="137" t="str">
        <f t="shared" si="9"/>
        <v/>
      </c>
      <c r="AZ20" s="115" t="s">
        <v>18</v>
      </c>
      <c r="WPG20" s="28">
        <f>ClassInformation!E25</f>
        <v>0</v>
      </c>
    </row>
    <row r="21" spans="1:52 15971:15971" s="28" customFormat="1" x14ac:dyDescent="0.25">
      <c r="A21" s="58" t="str">
        <f>IF(ISBLANK(ClassInformation!C26),"ZZZZZ",ClassInformation!C26)</f>
        <v>ZZZZZ</v>
      </c>
      <c r="B21" s="59" t="str">
        <f>IF(ISBLANK(ClassInformation!D26),"ZZZZZ",ClassInformation!D26)</f>
        <v>ZZZZZ</v>
      </c>
      <c r="C21" s="128"/>
      <c r="D21" s="128"/>
      <c r="E21" s="128"/>
      <c r="F21" s="128"/>
      <c r="G21" s="128"/>
      <c r="H21" s="129"/>
      <c r="I21" s="128"/>
      <c r="J21" s="128"/>
      <c r="K21" s="128"/>
      <c r="L21" s="128"/>
      <c r="M21" s="129"/>
      <c r="N21" s="152"/>
      <c r="O21" s="152"/>
      <c r="P21" s="152"/>
      <c r="Q21" s="128"/>
      <c r="R21" s="130" t="str">
        <f t="shared" si="0"/>
        <v/>
      </c>
      <c r="S21" s="131" t="str">
        <f t="shared" si="1"/>
        <v/>
      </c>
      <c r="T21" s="132" t="str">
        <f>IF(R21="","",VLOOKUP(S21,Table1[],2,TRUE))</f>
        <v/>
      </c>
      <c r="U21" s="138" t="str">
        <f t="shared" si="6"/>
        <v/>
      </c>
      <c r="V21" s="134" t="str">
        <f t="shared" si="2"/>
        <v/>
      </c>
      <c r="W21" s="135" t="str">
        <f>IF(U21="","",VLOOKUP(V21,Table1[],2,TRUE))</f>
        <v/>
      </c>
      <c r="X21" s="136" t="str">
        <f>_xlfn.IFS(AND(S21="",V21=""),"",OR(S21="-",V21="-"),"-",AND(S$3&lt;&gt;0,V$3&lt;&gt;0),VLOOKUP(AVERAGE(S21,V21),Table1[],2,TRUE),AND(S$3&lt;&gt;0,V$3=0),T21,TRUE,W21)</f>
        <v/>
      </c>
      <c r="Y21" s="137"/>
      <c r="Z21" s="137" t="str">
        <f t="shared" si="7"/>
        <v/>
      </c>
      <c r="AA21" s="115" t="s">
        <v>18</v>
      </c>
      <c r="AB21" s="128"/>
      <c r="AC21" s="128"/>
      <c r="AD21" s="128"/>
      <c r="AE21" s="128"/>
      <c r="AF21" s="128"/>
      <c r="AG21" s="129"/>
      <c r="AH21" s="128"/>
      <c r="AI21" s="128"/>
      <c r="AJ21" s="128"/>
      <c r="AK21" s="128"/>
      <c r="AL21" s="129"/>
      <c r="AM21" s="152"/>
      <c r="AN21" s="152"/>
      <c r="AO21" s="152"/>
      <c r="AP21" s="128"/>
      <c r="AQ21" s="130" t="str">
        <f t="shared" si="3"/>
        <v/>
      </c>
      <c r="AR21" s="131" t="str">
        <f t="shared" si="4"/>
        <v/>
      </c>
      <c r="AS21" s="132" t="str">
        <f>IF(AQ21="","",VLOOKUP(AR21,Table1[],2,TRUE))</f>
        <v/>
      </c>
      <c r="AT21" s="138" t="str">
        <f t="shared" si="8"/>
        <v/>
      </c>
      <c r="AU21" s="134" t="str">
        <f t="shared" si="5"/>
        <v/>
      </c>
      <c r="AV21" s="135" t="str">
        <f>IF(AT21="","",VLOOKUP(AU21,Table1[],2,TRUE))</f>
        <v/>
      </c>
      <c r="AW21" s="136" t="str">
        <f>_xlfn.IFS(AND(AR21="",AU21=""),"",OR(AR21="-",AU21="-"),"-",AND(AR$3&lt;&gt;0,AU$3&lt;&gt;0),VLOOKUP(AVERAGE(AR21,AU21),Table1[],2,TRUE),AND(AR$3&lt;&gt;0,AU$3=0),AS21,TRUE,AV21)</f>
        <v/>
      </c>
      <c r="AX21" s="137"/>
      <c r="AY21" s="137" t="str">
        <f t="shared" si="9"/>
        <v/>
      </c>
      <c r="AZ21" s="115" t="s">
        <v>18</v>
      </c>
      <c r="WPG21" s="28">
        <f>ClassInformation!E26</f>
        <v>0</v>
      </c>
    </row>
    <row r="22" spans="1:52 15971:15971" s="28" customFormat="1" x14ac:dyDescent="0.25">
      <c r="A22" s="58" t="str">
        <f>IF(ISBLANK(ClassInformation!C27),"ZZZZZ",ClassInformation!C27)</f>
        <v>ZZZZZ</v>
      </c>
      <c r="B22" s="59" t="str">
        <f>IF(ISBLANK(ClassInformation!D27),"ZZZZZ",ClassInformation!D27)</f>
        <v>ZZZZZ</v>
      </c>
      <c r="C22" s="128"/>
      <c r="D22" s="128"/>
      <c r="E22" s="128"/>
      <c r="F22" s="128"/>
      <c r="G22" s="128"/>
      <c r="H22" s="129"/>
      <c r="I22" s="128"/>
      <c r="J22" s="128"/>
      <c r="K22" s="128"/>
      <c r="L22" s="128"/>
      <c r="M22" s="129"/>
      <c r="N22" s="152"/>
      <c r="O22" s="152"/>
      <c r="P22" s="152"/>
      <c r="Q22" s="128"/>
      <c r="R22" s="130" t="str">
        <f t="shared" si="0"/>
        <v/>
      </c>
      <c r="S22" s="131" t="str">
        <f t="shared" si="1"/>
        <v/>
      </c>
      <c r="T22" s="132" t="str">
        <f>IF(R22="","",VLOOKUP(S22,Table1[],2,TRUE))</f>
        <v/>
      </c>
      <c r="U22" s="138" t="str">
        <f t="shared" si="6"/>
        <v/>
      </c>
      <c r="V22" s="134" t="str">
        <f t="shared" si="2"/>
        <v/>
      </c>
      <c r="W22" s="135" t="str">
        <f>IF(U22="","",VLOOKUP(V22,Table1[],2,TRUE))</f>
        <v/>
      </c>
      <c r="X22" s="136" t="str">
        <f>_xlfn.IFS(AND(S22="",V22=""),"",OR(S22="-",V22="-"),"-",AND(S$3&lt;&gt;0,V$3&lt;&gt;0),VLOOKUP(AVERAGE(S22,V22),Table1[],2,TRUE),AND(S$3&lt;&gt;0,V$3=0),T22,TRUE,W22)</f>
        <v/>
      </c>
      <c r="Y22" s="137"/>
      <c r="Z22" s="137" t="str">
        <f t="shared" si="7"/>
        <v/>
      </c>
      <c r="AA22" s="115" t="s">
        <v>18</v>
      </c>
      <c r="AB22" s="128"/>
      <c r="AC22" s="128"/>
      <c r="AD22" s="128"/>
      <c r="AE22" s="128"/>
      <c r="AF22" s="128"/>
      <c r="AG22" s="129"/>
      <c r="AH22" s="128"/>
      <c r="AI22" s="128"/>
      <c r="AJ22" s="128"/>
      <c r="AK22" s="128"/>
      <c r="AL22" s="129"/>
      <c r="AM22" s="152"/>
      <c r="AN22" s="152"/>
      <c r="AO22" s="152"/>
      <c r="AP22" s="128"/>
      <c r="AQ22" s="130" t="str">
        <f t="shared" si="3"/>
        <v/>
      </c>
      <c r="AR22" s="131" t="str">
        <f t="shared" si="4"/>
        <v/>
      </c>
      <c r="AS22" s="132" t="str">
        <f>IF(AQ22="","",VLOOKUP(AR22,Table1[],2,TRUE))</f>
        <v/>
      </c>
      <c r="AT22" s="138" t="str">
        <f t="shared" si="8"/>
        <v/>
      </c>
      <c r="AU22" s="134" t="str">
        <f t="shared" si="5"/>
        <v/>
      </c>
      <c r="AV22" s="135" t="str">
        <f>IF(AT22="","",VLOOKUP(AU22,Table1[],2,TRUE))</f>
        <v/>
      </c>
      <c r="AW22" s="136" t="str">
        <f>_xlfn.IFS(AND(AR22="",AU22=""),"",OR(AR22="-",AU22="-"),"-",AND(AR$3&lt;&gt;0,AU$3&lt;&gt;0),VLOOKUP(AVERAGE(AR22,AU22),Table1[],2,TRUE),AND(AR$3&lt;&gt;0,AU$3=0),AS22,TRUE,AV22)</f>
        <v/>
      </c>
      <c r="AX22" s="137"/>
      <c r="AY22" s="137" t="str">
        <f t="shared" si="9"/>
        <v/>
      </c>
      <c r="AZ22" s="115" t="s">
        <v>18</v>
      </c>
      <c r="WPG22" s="28">
        <f>ClassInformation!E27</f>
        <v>0</v>
      </c>
    </row>
    <row r="23" spans="1:52 15971:15971" s="28" customFormat="1" x14ac:dyDescent="0.25">
      <c r="A23" s="58" t="str">
        <f>IF(ISBLANK(ClassInformation!C28),"ZZZZZ",ClassInformation!C28)</f>
        <v>ZZZZZ</v>
      </c>
      <c r="B23" s="59" t="str">
        <f>IF(ISBLANK(ClassInformation!D28),"ZZZZZ",ClassInformation!D28)</f>
        <v>ZZZZZ</v>
      </c>
      <c r="C23" s="128"/>
      <c r="D23" s="128"/>
      <c r="E23" s="128"/>
      <c r="F23" s="128"/>
      <c r="G23" s="128"/>
      <c r="H23" s="129"/>
      <c r="I23" s="128"/>
      <c r="J23" s="128"/>
      <c r="K23" s="128"/>
      <c r="L23" s="128"/>
      <c r="M23" s="129"/>
      <c r="N23" s="152"/>
      <c r="O23" s="152"/>
      <c r="P23" s="152"/>
      <c r="Q23" s="128"/>
      <c r="R23" s="130" t="str">
        <f t="shared" si="0"/>
        <v/>
      </c>
      <c r="S23" s="131" t="str">
        <f t="shared" si="1"/>
        <v/>
      </c>
      <c r="T23" s="132" t="str">
        <f>IF(R23="","",VLOOKUP(S23,Table1[],2,TRUE))</f>
        <v/>
      </c>
      <c r="U23" s="138" t="str">
        <f t="shared" si="6"/>
        <v/>
      </c>
      <c r="V23" s="134" t="str">
        <f t="shared" si="2"/>
        <v/>
      </c>
      <c r="W23" s="135" t="str">
        <f>IF(U23="","",VLOOKUP(V23,Table1[],2,TRUE))</f>
        <v/>
      </c>
      <c r="X23" s="136" t="str">
        <f>_xlfn.IFS(AND(S23="",V23=""),"",OR(S23="-",V23="-"),"-",AND(S$3&lt;&gt;0,V$3&lt;&gt;0),VLOOKUP(AVERAGE(S23,V23),Table1[],2,TRUE),AND(S$3&lt;&gt;0,V$3=0),T23,TRUE,W23)</f>
        <v/>
      </c>
      <c r="Y23" s="137"/>
      <c r="Z23" s="137" t="str">
        <f t="shared" si="7"/>
        <v/>
      </c>
      <c r="AA23" s="115" t="s">
        <v>18</v>
      </c>
      <c r="AB23" s="128"/>
      <c r="AC23" s="128"/>
      <c r="AD23" s="128"/>
      <c r="AE23" s="128"/>
      <c r="AF23" s="128"/>
      <c r="AG23" s="129"/>
      <c r="AH23" s="128"/>
      <c r="AI23" s="128"/>
      <c r="AJ23" s="128"/>
      <c r="AK23" s="128"/>
      <c r="AL23" s="129"/>
      <c r="AM23" s="152"/>
      <c r="AN23" s="152"/>
      <c r="AO23" s="152"/>
      <c r="AP23" s="128"/>
      <c r="AQ23" s="130" t="str">
        <f t="shared" si="3"/>
        <v/>
      </c>
      <c r="AR23" s="131" t="str">
        <f t="shared" si="4"/>
        <v/>
      </c>
      <c r="AS23" s="132" t="str">
        <f>IF(AQ23="","",VLOOKUP(AR23,Table1[],2,TRUE))</f>
        <v/>
      </c>
      <c r="AT23" s="138" t="str">
        <f t="shared" si="8"/>
        <v/>
      </c>
      <c r="AU23" s="134" t="str">
        <f t="shared" si="5"/>
        <v/>
      </c>
      <c r="AV23" s="135" t="str">
        <f>IF(AT23="","",VLOOKUP(AU23,Table1[],2,TRUE))</f>
        <v/>
      </c>
      <c r="AW23" s="136" t="str">
        <f>_xlfn.IFS(AND(AR23="",AU23=""),"",OR(AR23="-",AU23="-"),"-",AND(AR$3&lt;&gt;0,AU$3&lt;&gt;0),VLOOKUP(AVERAGE(AR23,AU23),Table1[],2,TRUE),AND(AR$3&lt;&gt;0,AU$3=0),AS23,TRUE,AV23)</f>
        <v/>
      </c>
      <c r="AX23" s="137"/>
      <c r="AY23" s="137" t="str">
        <f t="shared" si="9"/>
        <v/>
      </c>
      <c r="AZ23" s="115" t="s">
        <v>18</v>
      </c>
      <c r="WPG23" s="28">
        <f>ClassInformation!E28</f>
        <v>0</v>
      </c>
    </row>
    <row r="24" spans="1:52 15971:15971" s="28" customFormat="1" x14ac:dyDescent="0.25">
      <c r="A24" s="58" t="str">
        <f>IF(ISBLANK(ClassInformation!C29),"ZZZZZ",ClassInformation!C29)</f>
        <v>ZZZZZ</v>
      </c>
      <c r="B24" s="59" t="str">
        <f>IF(ISBLANK(ClassInformation!D29),"ZZZZZ",ClassInformation!D29)</f>
        <v>ZZZZZ</v>
      </c>
      <c r="C24" s="128"/>
      <c r="D24" s="128"/>
      <c r="E24" s="128"/>
      <c r="F24" s="128"/>
      <c r="G24" s="128"/>
      <c r="H24" s="129"/>
      <c r="I24" s="128"/>
      <c r="J24" s="128"/>
      <c r="K24" s="128"/>
      <c r="L24" s="128"/>
      <c r="M24" s="129"/>
      <c r="N24" s="152"/>
      <c r="O24" s="152"/>
      <c r="P24" s="152"/>
      <c r="Q24" s="128"/>
      <c r="R24" s="130" t="str">
        <f t="shared" si="0"/>
        <v/>
      </c>
      <c r="S24" s="131" t="str">
        <f t="shared" si="1"/>
        <v/>
      </c>
      <c r="T24" s="132" t="str">
        <f>IF(R24="","",VLOOKUP(S24,Table1[],2,TRUE))</f>
        <v/>
      </c>
      <c r="U24" s="138" t="str">
        <f t="shared" si="6"/>
        <v/>
      </c>
      <c r="V24" s="134" t="str">
        <f t="shared" si="2"/>
        <v/>
      </c>
      <c r="W24" s="135" t="str">
        <f>IF(U24="","",VLOOKUP(V24,Table1[],2,TRUE))</f>
        <v/>
      </c>
      <c r="X24" s="136" t="str">
        <f>_xlfn.IFS(AND(S24="",V24=""),"",OR(S24="-",V24="-"),"-",AND(S$3&lt;&gt;0,V$3&lt;&gt;0),VLOOKUP(AVERAGE(S24,V24),Table1[],2,TRUE),AND(S$3&lt;&gt;0,V$3=0),T24,TRUE,W24)</f>
        <v/>
      </c>
      <c r="Y24" s="137"/>
      <c r="Z24" s="137" t="str">
        <f t="shared" si="7"/>
        <v/>
      </c>
      <c r="AA24" s="115" t="s">
        <v>18</v>
      </c>
      <c r="AB24" s="128"/>
      <c r="AC24" s="128"/>
      <c r="AD24" s="128"/>
      <c r="AE24" s="128"/>
      <c r="AF24" s="128"/>
      <c r="AG24" s="129"/>
      <c r="AH24" s="128"/>
      <c r="AI24" s="128"/>
      <c r="AJ24" s="128"/>
      <c r="AK24" s="128"/>
      <c r="AL24" s="129"/>
      <c r="AM24" s="152"/>
      <c r="AN24" s="152"/>
      <c r="AO24" s="152"/>
      <c r="AP24" s="128"/>
      <c r="AQ24" s="130" t="str">
        <f t="shared" si="3"/>
        <v/>
      </c>
      <c r="AR24" s="131" t="str">
        <f t="shared" si="4"/>
        <v/>
      </c>
      <c r="AS24" s="132" t="str">
        <f>IF(AQ24="","",VLOOKUP(AR24,Table1[],2,TRUE))</f>
        <v/>
      </c>
      <c r="AT24" s="138" t="str">
        <f t="shared" si="8"/>
        <v/>
      </c>
      <c r="AU24" s="134" t="str">
        <f t="shared" si="5"/>
        <v/>
      </c>
      <c r="AV24" s="135" t="str">
        <f>IF(AT24="","",VLOOKUP(AU24,Table1[],2,TRUE))</f>
        <v/>
      </c>
      <c r="AW24" s="136" t="str">
        <f>_xlfn.IFS(AND(AR24="",AU24=""),"",OR(AR24="-",AU24="-"),"-",AND(AR$3&lt;&gt;0,AU$3&lt;&gt;0),VLOOKUP(AVERAGE(AR24,AU24),Table1[],2,TRUE),AND(AR$3&lt;&gt;0,AU$3=0),AS24,TRUE,AV24)</f>
        <v/>
      </c>
      <c r="AX24" s="137"/>
      <c r="AY24" s="137" t="str">
        <f t="shared" si="9"/>
        <v/>
      </c>
      <c r="AZ24" s="115" t="s">
        <v>18</v>
      </c>
      <c r="WPG24" s="28">
        <f>ClassInformation!E29</f>
        <v>0</v>
      </c>
    </row>
    <row r="25" spans="1:52 15971:15971" s="28" customFormat="1" x14ac:dyDescent="0.25">
      <c r="A25" s="58" t="str">
        <f>IF(ISBLANK(ClassInformation!C30),"ZZZZZ",ClassInformation!C30)</f>
        <v>ZZZZZ</v>
      </c>
      <c r="B25" s="59" t="str">
        <f>IF(ISBLANK(ClassInformation!D30),"ZZZZZ",ClassInformation!D30)</f>
        <v>ZZZZZ</v>
      </c>
      <c r="C25" s="128"/>
      <c r="D25" s="128"/>
      <c r="E25" s="128"/>
      <c r="F25" s="128"/>
      <c r="G25" s="128"/>
      <c r="H25" s="129"/>
      <c r="I25" s="128"/>
      <c r="J25" s="128"/>
      <c r="K25" s="128"/>
      <c r="L25" s="128"/>
      <c r="M25" s="129"/>
      <c r="N25" s="152"/>
      <c r="O25" s="152"/>
      <c r="P25" s="152"/>
      <c r="Q25" s="128"/>
      <c r="R25" s="130" t="str">
        <f t="shared" si="0"/>
        <v/>
      </c>
      <c r="S25" s="131" t="str">
        <f t="shared" si="1"/>
        <v/>
      </c>
      <c r="T25" s="132" t="str">
        <f>IF(R25="","",VLOOKUP(S25,Table1[],2,TRUE))</f>
        <v/>
      </c>
      <c r="U25" s="138" t="str">
        <f t="shared" si="6"/>
        <v/>
      </c>
      <c r="V25" s="134" t="str">
        <f t="shared" si="2"/>
        <v/>
      </c>
      <c r="W25" s="135" t="str">
        <f>IF(U25="","",VLOOKUP(V25,Table1[],2,TRUE))</f>
        <v/>
      </c>
      <c r="X25" s="136" t="str">
        <f>_xlfn.IFS(AND(S25="",V25=""),"",OR(S25="-",V25="-"),"-",AND(S$3&lt;&gt;0,V$3&lt;&gt;0),VLOOKUP(AVERAGE(S25,V25),Table1[],2,TRUE),AND(S$3&lt;&gt;0,V$3=0),T25,TRUE,W25)</f>
        <v/>
      </c>
      <c r="Y25" s="137"/>
      <c r="Z25" s="137" t="str">
        <f t="shared" si="7"/>
        <v/>
      </c>
      <c r="AA25" s="115" t="s">
        <v>18</v>
      </c>
      <c r="AB25" s="128"/>
      <c r="AC25" s="128"/>
      <c r="AD25" s="128"/>
      <c r="AE25" s="128"/>
      <c r="AF25" s="128"/>
      <c r="AG25" s="129"/>
      <c r="AH25" s="128"/>
      <c r="AI25" s="128"/>
      <c r="AJ25" s="128"/>
      <c r="AK25" s="128"/>
      <c r="AL25" s="129"/>
      <c r="AM25" s="152"/>
      <c r="AN25" s="152"/>
      <c r="AO25" s="152"/>
      <c r="AP25" s="128"/>
      <c r="AQ25" s="130" t="str">
        <f t="shared" si="3"/>
        <v/>
      </c>
      <c r="AR25" s="131" t="str">
        <f t="shared" si="4"/>
        <v/>
      </c>
      <c r="AS25" s="132" t="str">
        <f>IF(AQ25="","",VLOOKUP(AR25,Table1[],2,TRUE))</f>
        <v/>
      </c>
      <c r="AT25" s="138" t="str">
        <f t="shared" si="8"/>
        <v/>
      </c>
      <c r="AU25" s="134" t="str">
        <f t="shared" si="5"/>
        <v/>
      </c>
      <c r="AV25" s="135" t="str">
        <f>IF(AT25="","",VLOOKUP(AU25,Table1[],2,TRUE))</f>
        <v/>
      </c>
      <c r="AW25" s="136" t="str">
        <f>_xlfn.IFS(AND(AR25="",AU25=""),"",OR(AR25="-",AU25="-"),"-",AND(AR$3&lt;&gt;0,AU$3&lt;&gt;0),VLOOKUP(AVERAGE(AR25,AU25),Table1[],2,TRUE),AND(AR$3&lt;&gt;0,AU$3=0),AS25,TRUE,AV25)</f>
        <v/>
      </c>
      <c r="AX25" s="137"/>
      <c r="AY25" s="137" t="str">
        <f t="shared" si="9"/>
        <v/>
      </c>
      <c r="AZ25" s="115" t="s">
        <v>18</v>
      </c>
      <c r="WPG25" s="28">
        <f>ClassInformation!E30</f>
        <v>0</v>
      </c>
    </row>
    <row r="26" spans="1:52 15971:15971" s="28" customFormat="1" x14ac:dyDescent="0.25">
      <c r="A26" s="58" t="str">
        <f>IF(ISBLANK(ClassInformation!C31),"ZZZZZ",ClassInformation!C31)</f>
        <v>ZZZZZ</v>
      </c>
      <c r="B26" s="59" t="str">
        <f>IF(ISBLANK(ClassInformation!D31),"ZZZZZ",ClassInformation!D31)</f>
        <v>ZZZZZ</v>
      </c>
      <c r="C26" s="128"/>
      <c r="D26" s="128"/>
      <c r="E26" s="128"/>
      <c r="F26" s="128"/>
      <c r="G26" s="128"/>
      <c r="H26" s="129"/>
      <c r="I26" s="128"/>
      <c r="J26" s="128"/>
      <c r="K26" s="128"/>
      <c r="L26" s="128"/>
      <c r="M26" s="129"/>
      <c r="N26" s="152"/>
      <c r="O26" s="152"/>
      <c r="P26" s="152"/>
      <c r="Q26" s="128"/>
      <c r="R26" s="130" t="str">
        <f t="shared" si="0"/>
        <v/>
      </c>
      <c r="S26" s="131" t="str">
        <f t="shared" si="1"/>
        <v/>
      </c>
      <c r="T26" s="132" t="str">
        <f>IF(R26="","",VLOOKUP(S26,Table1[],2,TRUE))</f>
        <v/>
      </c>
      <c r="U26" s="138" t="str">
        <f t="shared" si="6"/>
        <v/>
      </c>
      <c r="V26" s="134" t="str">
        <f t="shared" si="2"/>
        <v/>
      </c>
      <c r="W26" s="135" t="str">
        <f>IF(U26="","",VLOOKUP(V26,Table1[],2,TRUE))</f>
        <v/>
      </c>
      <c r="X26" s="136" t="str">
        <f>_xlfn.IFS(AND(S26="",V26=""),"",OR(S26="-",V26="-"),"-",AND(S$3&lt;&gt;0,V$3&lt;&gt;0),VLOOKUP(AVERAGE(S26,V26),Table1[],2,TRUE),AND(S$3&lt;&gt;0,V$3=0),T26,TRUE,W26)</f>
        <v/>
      </c>
      <c r="Y26" s="137"/>
      <c r="Z26" s="137" t="str">
        <f t="shared" si="7"/>
        <v/>
      </c>
      <c r="AA26" s="115" t="s">
        <v>18</v>
      </c>
      <c r="AB26" s="128"/>
      <c r="AC26" s="128"/>
      <c r="AD26" s="128"/>
      <c r="AE26" s="128"/>
      <c r="AF26" s="128"/>
      <c r="AG26" s="129"/>
      <c r="AH26" s="128"/>
      <c r="AI26" s="128"/>
      <c r="AJ26" s="128"/>
      <c r="AK26" s="128"/>
      <c r="AL26" s="129"/>
      <c r="AM26" s="152"/>
      <c r="AN26" s="152"/>
      <c r="AO26" s="152"/>
      <c r="AP26" s="128"/>
      <c r="AQ26" s="130" t="str">
        <f t="shared" si="3"/>
        <v/>
      </c>
      <c r="AR26" s="131" t="str">
        <f t="shared" si="4"/>
        <v/>
      </c>
      <c r="AS26" s="132" t="str">
        <f>IF(AQ26="","",VLOOKUP(AR26,Table1[],2,TRUE))</f>
        <v/>
      </c>
      <c r="AT26" s="138" t="str">
        <f t="shared" si="8"/>
        <v/>
      </c>
      <c r="AU26" s="134" t="str">
        <f t="shared" si="5"/>
        <v/>
      </c>
      <c r="AV26" s="135" t="str">
        <f>IF(AT26="","",VLOOKUP(AU26,Table1[],2,TRUE))</f>
        <v/>
      </c>
      <c r="AW26" s="136" t="str">
        <f>_xlfn.IFS(AND(AR26="",AU26=""),"",OR(AR26="-",AU26="-"),"-",AND(AR$3&lt;&gt;0,AU$3&lt;&gt;0),VLOOKUP(AVERAGE(AR26,AU26),Table1[],2,TRUE),AND(AR$3&lt;&gt;0,AU$3=0),AS26,TRUE,AV26)</f>
        <v/>
      </c>
      <c r="AX26" s="137"/>
      <c r="AY26" s="137" t="str">
        <f t="shared" si="9"/>
        <v/>
      </c>
      <c r="AZ26" s="115" t="s">
        <v>18</v>
      </c>
      <c r="WPG26" s="28">
        <f>ClassInformation!E31</f>
        <v>0</v>
      </c>
    </row>
    <row r="27" spans="1:52 15971:15971" s="28" customFormat="1" x14ac:dyDescent="0.25">
      <c r="A27" s="58" t="str">
        <f>IF(ISBLANK(ClassInformation!C32),"ZZZZZ",ClassInformation!C32)</f>
        <v>ZZZZZ</v>
      </c>
      <c r="B27" s="59" t="str">
        <f>IF(ISBLANK(ClassInformation!D32),"ZZZZZ",ClassInformation!D32)</f>
        <v>ZZZZZ</v>
      </c>
      <c r="C27" s="128"/>
      <c r="D27" s="128"/>
      <c r="E27" s="128"/>
      <c r="F27" s="128"/>
      <c r="G27" s="128"/>
      <c r="H27" s="129"/>
      <c r="I27" s="128"/>
      <c r="J27" s="128"/>
      <c r="K27" s="128"/>
      <c r="L27" s="128"/>
      <c r="M27" s="129"/>
      <c r="N27" s="152"/>
      <c r="O27" s="152"/>
      <c r="P27" s="152"/>
      <c r="Q27" s="128"/>
      <c r="R27" s="130" t="str">
        <f t="shared" si="0"/>
        <v/>
      </c>
      <c r="S27" s="131" t="str">
        <f t="shared" si="1"/>
        <v/>
      </c>
      <c r="T27" s="132" t="str">
        <f>IF(R27="","",VLOOKUP(S27,Table1[],2,TRUE))</f>
        <v/>
      </c>
      <c r="U27" s="138" t="str">
        <f t="shared" si="6"/>
        <v/>
      </c>
      <c r="V27" s="134" t="str">
        <f t="shared" si="2"/>
        <v/>
      </c>
      <c r="W27" s="135" t="str">
        <f>IF(U27="","",VLOOKUP(V27,Table1[],2,TRUE))</f>
        <v/>
      </c>
      <c r="X27" s="136" t="str">
        <f>_xlfn.IFS(AND(S27="",V27=""),"",OR(S27="-",V27="-"),"-",AND(S$3&lt;&gt;0,V$3&lt;&gt;0),VLOOKUP(AVERAGE(S27,V27),Table1[],2,TRUE),AND(S$3&lt;&gt;0,V$3=0),T27,TRUE,W27)</f>
        <v/>
      </c>
      <c r="Y27" s="137"/>
      <c r="Z27" s="137" t="str">
        <f t="shared" si="7"/>
        <v/>
      </c>
      <c r="AA27" s="115" t="s">
        <v>18</v>
      </c>
      <c r="AB27" s="128"/>
      <c r="AC27" s="128"/>
      <c r="AD27" s="128"/>
      <c r="AE27" s="128"/>
      <c r="AF27" s="128"/>
      <c r="AG27" s="129"/>
      <c r="AH27" s="128"/>
      <c r="AI27" s="128"/>
      <c r="AJ27" s="128"/>
      <c r="AK27" s="128"/>
      <c r="AL27" s="129"/>
      <c r="AM27" s="152"/>
      <c r="AN27" s="152"/>
      <c r="AO27" s="152"/>
      <c r="AP27" s="128"/>
      <c r="AQ27" s="130" t="str">
        <f t="shared" si="3"/>
        <v/>
      </c>
      <c r="AR27" s="131" t="str">
        <f t="shared" si="4"/>
        <v/>
      </c>
      <c r="AS27" s="132" t="str">
        <f>IF(AQ27="","",VLOOKUP(AR27,Table1[],2,TRUE))</f>
        <v/>
      </c>
      <c r="AT27" s="138" t="str">
        <f t="shared" si="8"/>
        <v/>
      </c>
      <c r="AU27" s="134" t="str">
        <f t="shared" si="5"/>
        <v/>
      </c>
      <c r="AV27" s="135" t="str">
        <f>IF(AT27="","",VLOOKUP(AU27,Table1[],2,TRUE))</f>
        <v/>
      </c>
      <c r="AW27" s="136" t="str">
        <f>_xlfn.IFS(AND(AR27="",AU27=""),"",OR(AR27="-",AU27="-"),"-",AND(AR$3&lt;&gt;0,AU$3&lt;&gt;0),VLOOKUP(AVERAGE(AR27,AU27),Table1[],2,TRUE),AND(AR$3&lt;&gt;0,AU$3=0),AS27,TRUE,AV27)</f>
        <v/>
      </c>
      <c r="AX27" s="137"/>
      <c r="AY27" s="137" t="str">
        <f t="shared" si="9"/>
        <v/>
      </c>
      <c r="AZ27" s="115" t="s">
        <v>18</v>
      </c>
      <c r="WPG27" s="28">
        <f>ClassInformation!E32</f>
        <v>0</v>
      </c>
    </row>
    <row r="28" spans="1:52 15971:15971" s="28" customFormat="1" x14ac:dyDescent="0.25">
      <c r="A28" s="58" t="str">
        <f>IF(ISBLANK(ClassInformation!C33),"ZZZZZ",ClassInformation!C33)</f>
        <v>ZZZZZ</v>
      </c>
      <c r="B28" s="59" t="str">
        <f>IF(ISBLANK(ClassInformation!D33),"ZZZZZ",ClassInformation!D33)</f>
        <v>ZZZZZ</v>
      </c>
      <c r="C28" s="128"/>
      <c r="D28" s="128"/>
      <c r="E28" s="128"/>
      <c r="F28" s="128"/>
      <c r="G28" s="128"/>
      <c r="H28" s="129"/>
      <c r="I28" s="128"/>
      <c r="J28" s="128"/>
      <c r="K28" s="128"/>
      <c r="L28" s="128"/>
      <c r="M28" s="129"/>
      <c r="N28" s="152"/>
      <c r="O28" s="152"/>
      <c r="P28" s="152"/>
      <c r="Q28" s="128"/>
      <c r="R28" s="130" t="str">
        <f t="shared" si="0"/>
        <v/>
      </c>
      <c r="S28" s="131" t="str">
        <f t="shared" si="1"/>
        <v/>
      </c>
      <c r="T28" s="132" t="str">
        <f>IF(R28="","",VLOOKUP(S28,Table1[],2,TRUE))</f>
        <v/>
      </c>
      <c r="U28" s="138" t="str">
        <f t="shared" si="6"/>
        <v/>
      </c>
      <c r="V28" s="134" t="str">
        <f t="shared" si="2"/>
        <v/>
      </c>
      <c r="W28" s="135" t="str">
        <f>IF(U28="","",VLOOKUP(V28,Table1[],2,TRUE))</f>
        <v/>
      </c>
      <c r="X28" s="136" t="str">
        <f>_xlfn.IFS(AND(S28="",V28=""),"",OR(S28="-",V28="-"),"-",AND(S$3&lt;&gt;0,V$3&lt;&gt;0),VLOOKUP(AVERAGE(S28,V28),Table1[],2,TRUE),AND(S$3&lt;&gt;0,V$3=0),T28,TRUE,W28)</f>
        <v/>
      </c>
      <c r="Y28" s="137"/>
      <c r="Z28" s="137" t="str">
        <f t="shared" si="7"/>
        <v/>
      </c>
      <c r="AA28" s="115" t="s">
        <v>18</v>
      </c>
      <c r="AB28" s="128"/>
      <c r="AC28" s="128"/>
      <c r="AD28" s="128"/>
      <c r="AE28" s="128"/>
      <c r="AF28" s="128"/>
      <c r="AG28" s="129"/>
      <c r="AH28" s="128"/>
      <c r="AI28" s="128"/>
      <c r="AJ28" s="128"/>
      <c r="AK28" s="128"/>
      <c r="AL28" s="129"/>
      <c r="AM28" s="152"/>
      <c r="AN28" s="152"/>
      <c r="AO28" s="152"/>
      <c r="AP28" s="128"/>
      <c r="AQ28" s="130" t="str">
        <f t="shared" si="3"/>
        <v/>
      </c>
      <c r="AR28" s="131" t="str">
        <f t="shared" si="4"/>
        <v/>
      </c>
      <c r="AS28" s="132" t="str">
        <f>IF(AQ28="","",VLOOKUP(AR28,Table1[],2,TRUE))</f>
        <v/>
      </c>
      <c r="AT28" s="138" t="str">
        <f t="shared" si="8"/>
        <v/>
      </c>
      <c r="AU28" s="134" t="str">
        <f t="shared" si="5"/>
        <v/>
      </c>
      <c r="AV28" s="135" t="str">
        <f>IF(AT28="","",VLOOKUP(AU28,Table1[],2,TRUE))</f>
        <v/>
      </c>
      <c r="AW28" s="136" t="str">
        <f>_xlfn.IFS(AND(AR28="",AU28=""),"",OR(AR28="-",AU28="-"),"-",AND(AR$3&lt;&gt;0,AU$3&lt;&gt;0),VLOOKUP(AVERAGE(AR28,AU28),Table1[],2,TRUE),AND(AR$3&lt;&gt;0,AU$3=0),AS28,TRUE,AV28)</f>
        <v/>
      </c>
      <c r="AX28" s="137"/>
      <c r="AY28" s="137" t="str">
        <f t="shared" si="9"/>
        <v/>
      </c>
      <c r="AZ28" s="115" t="s">
        <v>18</v>
      </c>
      <c r="WPG28" s="28">
        <f>ClassInformation!E33</f>
        <v>0</v>
      </c>
    </row>
    <row r="29" spans="1:52 15971:15971" s="28" customFormat="1" x14ac:dyDescent="0.25">
      <c r="A29" s="58" t="str">
        <f>IF(ISBLANK(ClassInformation!C34),"ZZZZZ",ClassInformation!C34)</f>
        <v>ZZZZZ</v>
      </c>
      <c r="B29" s="59" t="str">
        <f>IF(ISBLANK(ClassInformation!D34),"ZZZZZ",ClassInformation!D34)</f>
        <v>ZZZZZ</v>
      </c>
      <c r="C29" s="128"/>
      <c r="D29" s="128"/>
      <c r="E29" s="128"/>
      <c r="F29" s="128"/>
      <c r="G29" s="128"/>
      <c r="H29" s="129"/>
      <c r="I29" s="128"/>
      <c r="J29" s="128"/>
      <c r="K29" s="128"/>
      <c r="L29" s="128"/>
      <c r="M29" s="129"/>
      <c r="N29" s="152"/>
      <c r="O29" s="152"/>
      <c r="P29" s="152"/>
      <c r="Q29" s="128"/>
      <c r="R29" s="130" t="str">
        <f t="shared" si="0"/>
        <v/>
      </c>
      <c r="S29" s="131" t="str">
        <f t="shared" si="1"/>
        <v/>
      </c>
      <c r="T29" s="132" t="str">
        <f>IF(R29="","",VLOOKUP(S29,Table1[],2,TRUE))</f>
        <v/>
      </c>
      <c r="U29" s="138" t="str">
        <f t="shared" si="6"/>
        <v/>
      </c>
      <c r="V29" s="134" t="str">
        <f t="shared" si="2"/>
        <v/>
      </c>
      <c r="W29" s="135" t="str">
        <f>IF(U29="","",VLOOKUP(V29,Table1[],2,TRUE))</f>
        <v/>
      </c>
      <c r="X29" s="136" t="str">
        <f>_xlfn.IFS(AND(S29="",V29=""),"",OR(S29="-",V29="-"),"-",AND(S$3&lt;&gt;0,V$3&lt;&gt;0),VLOOKUP(AVERAGE(S29,V29),Table1[],2,TRUE),AND(S$3&lt;&gt;0,V$3=0),T29,TRUE,W29)</f>
        <v/>
      </c>
      <c r="Y29" s="137"/>
      <c r="Z29" s="137" t="str">
        <f t="shared" si="7"/>
        <v/>
      </c>
      <c r="AA29" s="115" t="s">
        <v>18</v>
      </c>
      <c r="AB29" s="128"/>
      <c r="AC29" s="128"/>
      <c r="AD29" s="128"/>
      <c r="AE29" s="128"/>
      <c r="AF29" s="128"/>
      <c r="AG29" s="129"/>
      <c r="AH29" s="128"/>
      <c r="AI29" s="128"/>
      <c r="AJ29" s="128"/>
      <c r="AK29" s="128"/>
      <c r="AL29" s="129"/>
      <c r="AM29" s="152"/>
      <c r="AN29" s="152"/>
      <c r="AO29" s="152"/>
      <c r="AP29" s="128"/>
      <c r="AQ29" s="130" t="str">
        <f t="shared" si="3"/>
        <v/>
      </c>
      <c r="AR29" s="131" t="str">
        <f t="shared" si="4"/>
        <v/>
      </c>
      <c r="AS29" s="132" t="str">
        <f>IF(AQ29="","",VLOOKUP(AR29,Table1[],2,TRUE))</f>
        <v/>
      </c>
      <c r="AT29" s="138" t="str">
        <f t="shared" si="8"/>
        <v/>
      </c>
      <c r="AU29" s="134" t="str">
        <f t="shared" si="5"/>
        <v/>
      </c>
      <c r="AV29" s="135" t="str">
        <f>IF(AT29="","",VLOOKUP(AU29,Table1[],2,TRUE))</f>
        <v/>
      </c>
      <c r="AW29" s="136" t="str">
        <f>_xlfn.IFS(AND(AR29="",AU29=""),"",OR(AR29="-",AU29="-"),"-",AND(AR$3&lt;&gt;0,AU$3&lt;&gt;0),VLOOKUP(AVERAGE(AR29,AU29),Table1[],2,TRUE),AND(AR$3&lt;&gt;0,AU$3=0),AS29,TRUE,AV29)</f>
        <v/>
      </c>
      <c r="AX29" s="137"/>
      <c r="AY29" s="137" t="str">
        <f t="shared" si="9"/>
        <v/>
      </c>
      <c r="AZ29" s="115" t="s">
        <v>18</v>
      </c>
      <c r="WPG29" s="28">
        <f>ClassInformation!E34</f>
        <v>0</v>
      </c>
    </row>
    <row r="30" spans="1:52 15971:15971" s="28" customFormat="1" x14ac:dyDescent="0.25">
      <c r="A30" s="58" t="str">
        <f>IF(ISBLANK(ClassInformation!C35),"ZZZZZ",ClassInformation!C35)</f>
        <v>ZZZZZ</v>
      </c>
      <c r="B30" s="59" t="str">
        <f>IF(ISBLANK(ClassInformation!D35),"ZZZZZ",ClassInformation!D35)</f>
        <v>ZZZZZ</v>
      </c>
      <c r="C30" s="128"/>
      <c r="D30" s="128"/>
      <c r="E30" s="128"/>
      <c r="F30" s="128"/>
      <c r="G30" s="128"/>
      <c r="H30" s="129"/>
      <c r="I30" s="128"/>
      <c r="J30" s="128"/>
      <c r="K30" s="128"/>
      <c r="L30" s="128"/>
      <c r="M30" s="129"/>
      <c r="N30" s="152"/>
      <c r="O30" s="152"/>
      <c r="P30" s="152"/>
      <c r="Q30" s="128"/>
      <c r="R30" s="130" t="str">
        <f t="shared" si="0"/>
        <v/>
      </c>
      <c r="S30" s="131" t="str">
        <f t="shared" si="1"/>
        <v/>
      </c>
      <c r="T30" s="132" t="str">
        <f>IF(R30="","",VLOOKUP(S30,Table1[],2,TRUE))</f>
        <v/>
      </c>
      <c r="U30" s="138" t="str">
        <f t="shared" si="6"/>
        <v/>
      </c>
      <c r="V30" s="134" t="str">
        <f t="shared" si="2"/>
        <v/>
      </c>
      <c r="W30" s="135" t="str">
        <f>IF(U30="","",VLOOKUP(V30,Table1[],2,TRUE))</f>
        <v/>
      </c>
      <c r="X30" s="136" t="str">
        <f>_xlfn.IFS(AND(S30="",V30=""),"",OR(S30="-",V30="-"),"-",AND(S$3&lt;&gt;0,V$3&lt;&gt;0),VLOOKUP(AVERAGE(S30,V30),Table1[],2,TRUE),AND(S$3&lt;&gt;0,V$3=0),T30,TRUE,W30)</f>
        <v/>
      </c>
      <c r="Y30" s="137"/>
      <c r="Z30" s="137" t="str">
        <f t="shared" si="7"/>
        <v/>
      </c>
      <c r="AA30" s="115" t="s">
        <v>18</v>
      </c>
      <c r="AB30" s="128"/>
      <c r="AC30" s="128"/>
      <c r="AD30" s="128"/>
      <c r="AE30" s="128"/>
      <c r="AF30" s="128"/>
      <c r="AG30" s="129"/>
      <c r="AH30" s="128"/>
      <c r="AI30" s="128"/>
      <c r="AJ30" s="128"/>
      <c r="AK30" s="128"/>
      <c r="AL30" s="129"/>
      <c r="AM30" s="152"/>
      <c r="AN30" s="152"/>
      <c r="AO30" s="152"/>
      <c r="AP30" s="128"/>
      <c r="AQ30" s="130" t="str">
        <f t="shared" si="3"/>
        <v/>
      </c>
      <c r="AR30" s="131" t="str">
        <f t="shared" si="4"/>
        <v/>
      </c>
      <c r="AS30" s="132" t="str">
        <f>IF(AQ30="","",VLOOKUP(AR30,Table1[],2,TRUE))</f>
        <v/>
      </c>
      <c r="AT30" s="138" t="str">
        <f t="shared" si="8"/>
        <v/>
      </c>
      <c r="AU30" s="134" t="str">
        <f t="shared" si="5"/>
        <v/>
      </c>
      <c r="AV30" s="135" t="str">
        <f>IF(AT30="","",VLOOKUP(AU30,Table1[],2,TRUE))</f>
        <v/>
      </c>
      <c r="AW30" s="136" t="str">
        <f>_xlfn.IFS(AND(AR30="",AU30=""),"",OR(AR30="-",AU30="-"),"-",AND(AR$3&lt;&gt;0,AU$3&lt;&gt;0),VLOOKUP(AVERAGE(AR30,AU30),Table1[],2,TRUE),AND(AR$3&lt;&gt;0,AU$3=0),AS30,TRUE,AV30)</f>
        <v/>
      </c>
      <c r="AX30" s="137"/>
      <c r="AY30" s="137" t="str">
        <f t="shared" si="9"/>
        <v/>
      </c>
      <c r="AZ30" s="115" t="s">
        <v>18</v>
      </c>
      <c r="WPG30" s="28">
        <f>ClassInformation!E35</f>
        <v>0</v>
      </c>
    </row>
    <row r="31" spans="1:52 15971:15971" s="28" customFormat="1" x14ac:dyDescent="0.25">
      <c r="A31" s="58" t="str">
        <f>IF(ISBLANK(ClassInformation!C36),"ZZZZZ",ClassInformation!C36)</f>
        <v>ZZZZZ</v>
      </c>
      <c r="B31" s="59" t="str">
        <f>IF(ISBLANK(ClassInformation!D36),"ZZZZZ",ClassInformation!D36)</f>
        <v>ZZZZZ</v>
      </c>
      <c r="C31" s="128"/>
      <c r="D31" s="128"/>
      <c r="E31" s="128"/>
      <c r="F31" s="128"/>
      <c r="G31" s="128"/>
      <c r="H31" s="129"/>
      <c r="I31" s="128"/>
      <c r="J31" s="128"/>
      <c r="K31" s="128"/>
      <c r="L31" s="128"/>
      <c r="M31" s="129"/>
      <c r="N31" s="152"/>
      <c r="O31" s="152"/>
      <c r="P31" s="152"/>
      <c r="Q31" s="128"/>
      <c r="R31" s="130" t="str">
        <f t="shared" si="0"/>
        <v/>
      </c>
      <c r="S31" s="131" t="str">
        <f t="shared" si="1"/>
        <v/>
      </c>
      <c r="T31" s="132" t="str">
        <f>IF(R31="","",VLOOKUP(S31,Table1[],2,TRUE))</f>
        <v/>
      </c>
      <c r="U31" s="138" t="str">
        <f t="shared" si="6"/>
        <v/>
      </c>
      <c r="V31" s="134" t="str">
        <f t="shared" si="2"/>
        <v/>
      </c>
      <c r="W31" s="135" t="str">
        <f>IF(U31="","",VLOOKUP(V31,Table1[],2,TRUE))</f>
        <v/>
      </c>
      <c r="X31" s="136" t="str">
        <f>_xlfn.IFS(AND(S31="",V31=""),"",OR(S31="-",V31="-"),"-",AND(S$3&lt;&gt;0,V$3&lt;&gt;0),VLOOKUP(AVERAGE(S31,V31),Table1[],2,TRUE),AND(S$3&lt;&gt;0,V$3=0),T31,TRUE,W31)</f>
        <v/>
      </c>
      <c r="Y31" s="137"/>
      <c r="Z31" s="137" t="str">
        <f t="shared" si="7"/>
        <v/>
      </c>
      <c r="AA31" s="115" t="s">
        <v>18</v>
      </c>
      <c r="AB31" s="128"/>
      <c r="AC31" s="128"/>
      <c r="AD31" s="128"/>
      <c r="AE31" s="128"/>
      <c r="AF31" s="128"/>
      <c r="AG31" s="129"/>
      <c r="AH31" s="128"/>
      <c r="AI31" s="128"/>
      <c r="AJ31" s="128"/>
      <c r="AK31" s="128"/>
      <c r="AL31" s="129"/>
      <c r="AM31" s="152"/>
      <c r="AN31" s="152"/>
      <c r="AO31" s="152"/>
      <c r="AP31" s="128"/>
      <c r="AQ31" s="130" t="str">
        <f t="shared" si="3"/>
        <v/>
      </c>
      <c r="AR31" s="131" t="str">
        <f t="shared" si="4"/>
        <v/>
      </c>
      <c r="AS31" s="132" t="str">
        <f>IF(AQ31="","",VLOOKUP(AR31,Table1[],2,TRUE))</f>
        <v/>
      </c>
      <c r="AT31" s="138" t="str">
        <f t="shared" si="8"/>
        <v/>
      </c>
      <c r="AU31" s="134" t="str">
        <f t="shared" si="5"/>
        <v/>
      </c>
      <c r="AV31" s="135" t="str">
        <f>IF(AT31="","",VLOOKUP(AU31,Table1[],2,TRUE))</f>
        <v/>
      </c>
      <c r="AW31" s="136" t="str">
        <f>_xlfn.IFS(AND(AR31="",AU31=""),"",OR(AR31="-",AU31="-"),"-",AND(AR$3&lt;&gt;0,AU$3&lt;&gt;0),VLOOKUP(AVERAGE(AR31,AU31),Table1[],2,TRUE),AND(AR$3&lt;&gt;0,AU$3=0),AS31,TRUE,AV31)</f>
        <v/>
      </c>
      <c r="AX31" s="137"/>
      <c r="AY31" s="137" t="str">
        <f t="shared" si="9"/>
        <v/>
      </c>
      <c r="AZ31" s="115" t="s">
        <v>18</v>
      </c>
      <c r="WPG31" s="28">
        <f>ClassInformation!E36</f>
        <v>0</v>
      </c>
    </row>
    <row r="32" spans="1:52 15971:15971" s="28" customFormat="1" x14ac:dyDescent="0.25">
      <c r="A32" s="58" t="str">
        <f>IF(ISBLANK(ClassInformation!C37),"ZZZZZ",ClassInformation!C37)</f>
        <v>ZZZZZ</v>
      </c>
      <c r="B32" s="59" t="str">
        <f>IF(ISBLANK(ClassInformation!D37),"ZZZZZ",ClassInformation!D37)</f>
        <v>ZZZZZ</v>
      </c>
      <c r="C32" s="128"/>
      <c r="D32" s="128"/>
      <c r="E32" s="128"/>
      <c r="F32" s="128"/>
      <c r="G32" s="128"/>
      <c r="H32" s="129"/>
      <c r="I32" s="128"/>
      <c r="J32" s="128"/>
      <c r="K32" s="128"/>
      <c r="L32" s="128"/>
      <c r="M32" s="129"/>
      <c r="N32" s="152"/>
      <c r="O32" s="152"/>
      <c r="P32" s="152"/>
      <c r="Q32" s="128"/>
      <c r="R32" s="130" t="str">
        <f t="shared" si="0"/>
        <v/>
      </c>
      <c r="S32" s="131" t="str">
        <f t="shared" si="1"/>
        <v/>
      </c>
      <c r="T32" s="132" t="str">
        <f>IF(R32="","",VLOOKUP(S32,Table1[],2,TRUE))</f>
        <v/>
      </c>
      <c r="U32" s="138" t="str">
        <f t="shared" si="6"/>
        <v/>
      </c>
      <c r="V32" s="134" t="str">
        <f t="shared" si="2"/>
        <v/>
      </c>
      <c r="W32" s="135" t="str">
        <f>IF(U32="","",VLOOKUP(V32,Table1[],2,TRUE))</f>
        <v/>
      </c>
      <c r="X32" s="136" t="str">
        <f>_xlfn.IFS(AND(S32="",V32=""),"",OR(S32="-",V32="-"),"-",AND(S$3&lt;&gt;0,V$3&lt;&gt;0),VLOOKUP(AVERAGE(S32,V32),Table1[],2,TRUE),AND(S$3&lt;&gt;0,V$3=0),T32,TRUE,W32)</f>
        <v/>
      </c>
      <c r="Y32" s="137"/>
      <c r="Z32" s="137" t="str">
        <f t="shared" si="7"/>
        <v/>
      </c>
      <c r="AA32" s="115" t="s">
        <v>18</v>
      </c>
      <c r="AB32" s="128"/>
      <c r="AC32" s="128"/>
      <c r="AD32" s="128"/>
      <c r="AE32" s="128"/>
      <c r="AF32" s="128"/>
      <c r="AG32" s="129"/>
      <c r="AH32" s="128"/>
      <c r="AI32" s="128"/>
      <c r="AJ32" s="128"/>
      <c r="AK32" s="128"/>
      <c r="AL32" s="129"/>
      <c r="AM32" s="152"/>
      <c r="AN32" s="152"/>
      <c r="AO32" s="152"/>
      <c r="AP32" s="128"/>
      <c r="AQ32" s="130" t="str">
        <f t="shared" si="3"/>
        <v/>
      </c>
      <c r="AR32" s="131" t="str">
        <f t="shared" si="4"/>
        <v/>
      </c>
      <c r="AS32" s="132" t="str">
        <f>IF(AQ32="","",VLOOKUP(AR32,Table1[],2,TRUE))</f>
        <v/>
      </c>
      <c r="AT32" s="138" t="str">
        <f t="shared" si="8"/>
        <v/>
      </c>
      <c r="AU32" s="134" t="str">
        <f t="shared" si="5"/>
        <v/>
      </c>
      <c r="AV32" s="135" t="str">
        <f>IF(AT32="","",VLOOKUP(AU32,Table1[],2,TRUE))</f>
        <v/>
      </c>
      <c r="AW32" s="136" t="str">
        <f>_xlfn.IFS(AND(AR32="",AU32=""),"",OR(AR32="-",AU32="-"),"-",AND(AR$3&lt;&gt;0,AU$3&lt;&gt;0),VLOOKUP(AVERAGE(AR32,AU32),Table1[],2,TRUE),AND(AR$3&lt;&gt;0,AU$3=0),AS32,TRUE,AV32)</f>
        <v/>
      </c>
      <c r="AX32" s="137"/>
      <c r="AY32" s="137" t="str">
        <f t="shared" si="9"/>
        <v/>
      </c>
      <c r="AZ32" s="115" t="s">
        <v>18</v>
      </c>
      <c r="WPG32" s="28">
        <f>ClassInformation!E37</f>
        <v>0</v>
      </c>
    </row>
    <row r="33" spans="1:52 15773:15971" s="28" customFormat="1" x14ac:dyDescent="0.25">
      <c r="A33" s="58" t="str">
        <f>IF(ISBLANK(ClassInformation!C38),"ZZZZZ",ClassInformation!C38)</f>
        <v>ZZZZZ</v>
      </c>
      <c r="B33" s="59" t="str">
        <f>IF(ISBLANK(ClassInformation!D38),"ZZZZZ",ClassInformation!D38)</f>
        <v>ZZZZZ</v>
      </c>
      <c r="C33" s="128"/>
      <c r="D33" s="128"/>
      <c r="E33" s="128"/>
      <c r="F33" s="128"/>
      <c r="G33" s="128"/>
      <c r="H33" s="129"/>
      <c r="I33" s="128"/>
      <c r="J33" s="128"/>
      <c r="K33" s="128"/>
      <c r="L33" s="128"/>
      <c r="M33" s="129"/>
      <c r="N33" s="152"/>
      <c r="O33" s="152"/>
      <c r="P33" s="152"/>
      <c r="Q33" s="128"/>
      <c r="R33" s="130" t="str">
        <f t="shared" si="0"/>
        <v/>
      </c>
      <c r="S33" s="131" t="str">
        <f t="shared" si="1"/>
        <v/>
      </c>
      <c r="T33" s="132" t="str">
        <f>IF(R33="","",VLOOKUP(S33,Table1[],2,TRUE))</f>
        <v/>
      </c>
      <c r="U33" s="138" t="str">
        <f t="shared" si="6"/>
        <v/>
      </c>
      <c r="V33" s="134" t="str">
        <f t="shared" si="2"/>
        <v/>
      </c>
      <c r="W33" s="135" t="str">
        <f>IF(U33="","",VLOOKUP(V33,Table1[],2,TRUE))</f>
        <v/>
      </c>
      <c r="X33" s="136" t="str">
        <f>_xlfn.IFS(AND(S33="",V33=""),"",OR(S33="-",V33="-"),"-",AND(S$3&lt;&gt;0,V$3&lt;&gt;0),VLOOKUP(AVERAGE(S33,V33),Table1[],2,TRUE),AND(S$3&lt;&gt;0,V$3=0),T33,TRUE,W33)</f>
        <v/>
      </c>
      <c r="Y33" s="137"/>
      <c r="Z33" s="137" t="str">
        <f t="shared" si="7"/>
        <v/>
      </c>
      <c r="AA33" s="115" t="s">
        <v>18</v>
      </c>
      <c r="AB33" s="128"/>
      <c r="AC33" s="128"/>
      <c r="AD33" s="128"/>
      <c r="AE33" s="128"/>
      <c r="AF33" s="128"/>
      <c r="AG33" s="129"/>
      <c r="AH33" s="128"/>
      <c r="AI33" s="128"/>
      <c r="AJ33" s="128"/>
      <c r="AK33" s="128"/>
      <c r="AL33" s="129"/>
      <c r="AM33" s="152"/>
      <c r="AN33" s="152"/>
      <c r="AO33" s="152"/>
      <c r="AP33" s="128"/>
      <c r="AQ33" s="130" t="str">
        <f t="shared" si="3"/>
        <v/>
      </c>
      <c r="AR33" s="131" t="str">
        <f t="shared" si="4"/>
        <v/>
      </c>
      <c r="AS33" s="132" t="str">
        <f>IF(AQ33="","",VLOOKUP(AR33,Table1[],2,TRUE))</f>
        <v/>
      </c>
      <c r="AT33" s="138" t="str">
        <f t="shared" si="8"/>
        <v/>
      </c>
      <c r="AU33" s="134" t="str">
        <f t="shared" si="5"/>
        <v/>
      </c>
      <c r="AV33" s="135" t="str">
        <f>IF(AT33="","",VLOOKUP(AU33,Table1[],2,TRUE))</f>
        <v/>
      </c>
      <c r="AW33" s="136" t="str">
        <f>_xlfn.IFS(AND(AR33="",AU33=""),"",OR(AR33="-",AU33="-"),"-",AND(AR$3&lt;&gt;0,AU$3&lt;&gt;0),VLOOKUP(AVERAGE(AR33,AU33),Table1[],2,TRUE),AND(AR$3&lt;&gt;0,AU$3=0),AS33,TRUE,AV33)</f>
        <v/>
      </c>
      <c r="AX33" s="137"/>
      <c r="AY33" s="137" t="str">
        <f t="shared" si="9"/>
        <v/>
      </c>
      <c r="AZ33" s="115" t="s">
        <v>18</v>
      </c>
      <c r="WPG33" s="28">
        <f>ClassInformation!E38</f>
        <v>0</v>
      </c>
    </row>
    <row r="34" spans="1:52 15773:15971" s="28" customFormat="1" x14ac:dyDescent="0.25">
      <c r="A34" s="58" t="str">
        <f>IF(ISBLANK(ClassInformation!C39),"ZZZZZ",ClassInformation!C39)</f>
        <v>ZZZZZ</v>
      </c>
      <c r="B34" s="59" t="str">
        <f>IF(ISBLANK(ClassInformation!D39),"ZZZZZ",ClassInformation!D39)</f>
        <v>ZZZZZ</v>
      </c>
      <c r="C34" s="128"/>
      <c r="D34" s="128"/>
      <c r="E34" s="128"/>
      <c r="F34" s="128"/>
      <c r="G34" s="128"/>
      <c r="H34" s="129"/>
      <c r="I34" s="128"/>
      <c r="J34" s="128"/>
      <c r="K34" s="128"/>
      <c r="L34" s="128"/>
      <c r="M34" s="129"/>
      <c r="N34" s="152"/>
      <c r="O34" s="152"/>
      <c r="P34" s="152"/>
      <c r="Q34" s="128"/>
      <c r="R34" s="130" t="str">
        <f t="shared" si="0"/>
        <v/>
      </c>
      <c r="S34" s="131" t="str">
        <f t="shared" si="1"/>
        <v/>
      </c>
      <c r="T34" s="132" t="str">
        <f>IF(R34="","",VLOOKUP(S34,Table1[],2,TRUE))</f>
        <v/>
      </c>
      <c r="U34" s="138" t="str">
        <f t="shared" si="6"/>
        <v/>
      </c>
      <c r="V34" s="134" t="str">
        <f t="shared" si="2"/>
        <v/>
      </c>
      <c r="W34" s="135" t="str">
        <f>IF(U34="","",VLOOKUP(V34,Table1[],2,TRUE))</f>
        <v/>
      </c>
      <c r="X34" s="136" t="str">
        <f>_xlfn.IFS(AND(S34="",V34=""),"",OR(S34="-",V34="-"),"-",AND(S$3&lt;&gt;0,V$3&lt;&gt;0),VLOOKUP(AVERAGE(S34,V34),Table1[],2,TRUE),AND(S$3&lt;&gt;0,V$3=0),T34,TRUE,W34)</f>
        <v/>
      </c>
      <c r="Y34" s="137"/>
      <c r="Z34" s="137" t="str">
        <f t="shared" si="7"/>
        <v/>
      </c>
      <c r="AA34" s="115" t="s">
        <v>18</v>
      </c>
      <c r="AB34" s="128"/>
      <c r="AC34" s="128"/>
      <c r="AD34" s="128"/>
      <c r="AE34" s="128"/>
      <c r="AF34" s="128"/>
      <c r="AG34" s="129"/>
      <c r="AH34" s="128"/>
      <c r="AI34" s="128"/>
      <c r="AJ34" s="128"/>
      <c r="AK34" s="128"/>
      <c r="AL34" s="129"/>
      <c r="AM34" s="152"/>
      <c r="AN34" s="152"/>
      <c r="AO34" s="152"/>
      <c r="AP34" s="128"/>
      <c r="AQ34" s="130" t="str">
        <f t="shared" si="3"/>
        <v/>
      </c>
      <c r="AR34" s="131" t="str">
        <f t="shared" si="4"/>
        <v/>
      </c>
      <c r="AS34" s="132" t="str">
        <f>IF(AQ34="","",VLOOKUP(AR34,Table1[],2,TRUE))</f>
        <v/>
      </c>
      <c r="AT34" s="138" t="str">
        <f t="shared" si="8"/>
        <v/>
      </c>
      <c r="AU34" s="134" t="str">
        <f t="shared" si="5"/>
        <v/>
      </c>
      <c r="AV34" s="135" t="str">
        <f>IF(AT34="","",VLOOKUP(AU34,Table1[],2,TRUE))</f>
        <v/>
      </c>
      <c r="AW34" s="136" t="str">
        <f>_xlfn.IFS(AND(AR34="",AU34=""),"",OR(AR34="-",AU34="-"),"-",AND(AR$3&lt;&gt;0,AU$3&lt;&gt;0),VLOOKUP(AVERAGE(AR34,AU34),Table1[],2,TRUE),AND(AR$3&lt;&gt;0,AU$3=0),AS34,TRUE,AV34)</f>
        <v/>
      </c>
      <c r="AX34" s="137"/>
      <c r="AY34" s="137" t="str">
        <f t="shared" si="9"/>
        <v/>
      </c>
      <c r="AZ34" s="115" t="s">
        <v>18</v>
      </c>
      <c r="WPG34" s="28">
        <f>ClassInformation!E39</f>
        <v>0</v>
      </c>
    </row>
    <row r="35" spans="1:52 15773:15971" s="28" customFormat="1" x14ac:dyDescent="0.25">
      <c r="A35" s="58" t="str">
        <f>IF(ISBLANK(ClassInformation!C40),"ZZZZZ",ClassInformation!C40)</f>
        <v>ZZZZZ</v>
      </c>
      <c r="B35" s="59" t="str">
        <f>IF(ISBLANK(ClassInformation!D40),"ZZZZZ",ClassInformation!D40)</f>
        <v>ZZZZZ</v>
      </c>
      <c r="C35" s="128"/>
      <c r="D35" s="128"/>
      <c r="E35" s="128"/>
      <c r="F35" s="128"/>
      <c r="G35" s="128"/>
      <c r="H35" s="129"/>
      <c r="I35" s="128"/>
      <c r="J35" s="128"/>
      <c r="K35" s="128"/>
      <c r="L35" s="128"/>
      <c r="M35" s="129"/>
      <c r="N35" s="152"/>
      <c r="O35" s="152"/>
      <c r="P35" s="152"/>
      <c r="Q35" s="128"/>
      <c r="R35" s="130" t="str">
        <f t="shared" si="0"/>
        <v/>
      </c>
      <c r="S35" s="131" t="str">
        <f t="shared" si="1"/>
        <v/>
      </c>
      <c r="T35" s="132" t="str">
        <f>IF(R35="","",VLOOKUP(S35,Table1[],2,TRUE))</f>
        <v/>
      </c>
      <c r="U35" s="138" t="str">
        <f t="shared" si="6"/>
        <v/>
      </c>
      <c r="V35" s="134" t="str">
        <f t="shared" si="2"/>
        <v/>
      </c>
      <c r="W35" s="135" t="str">
        <f>IF(U35="","",VLOOKUP(V35,Table1[],2,TRUE))</f>
        <v/>
      </c>
      <c r="X35" s="136" t="str">
        <f>_xlfn.IFS(AND(S35="",V35=""),"",OR(S35="-",V35="-"),"-",AND(S$3&lt;&gt;0,V$3&lt;&gt;0),VLOOKUP(AVERAGE(S35,V35),Table1[],2,TRUE),AND(S$3&lt;&gt;0,V$3=0),T35,TRUE,W35)</f>
        <v/>
      </c>
      <c r="Y35" s="137"/>
      <c r="Z35" s="137" t="str">
        <f t="shared" si="7"/>
        <v/>
      </c>
      <c r="AA35" s="115" t="s">
        <v>18</v>
      </c>
      <c r="AB35" s="128"/>
      <c r="AC35" s="128"/>
      <c r="AD35" s="128"/>
      <c r="AE35" s="128"/>
      <c r="AF35" s="128"/>
      <c r="AG35" s="129"/>
      <c r="AH35" s="128"/>
      <c r="AI35" s="128"/>
      <c r="AJ35" s="128"/>
      <c r="AK35" s="128"/>
      <c r="AL35" s="129"/>
      <c r="AM35" s="152"/>
      <c r="AN35" s="152"/>
      <c r="AO35" s="152"/>
      <c r="AP35" s="128"/>
      <c r="AQ35" s="130" t="str">
        <f t="shared" si="3"/>
        <v/>
      </c>
      <c r="AR35" s="131" t="str">
        <f t="shared" si="4"/>
        <v/>
      </c>
      <c r="AS35" s="132" t="str">
        <f>IF(AQ35="","",VLOOKUP(AR35,Table1[],2,TRUE))</f>
        <v/>
      </c>
      <c r="AT35" s="138" t="str">
        <f t="shared" si="8"/>
        <v/>
      </c>
      <c r="AU35" s="134" t="str">
        <f t="shared" si="5"/>
        <v/>
      </c>
      <c r="AV35" s="135" t="str">
        <f>IF(AT35="","",VLOOKUP(AU35,Table1[],2,TRUE))</f>
        <v/>
      </c>
      <c r="AW35" s="136" t="str">
        <f>_xlfn.IFS(AND(AR35="",AU35=""),"",OR(AR35="-",AU35="-"),"-",AND(AR$3&lt;&gt;0,AU$3&lt;&gt;0),VLOOKUP(AVERAGE(AR35,AU35),Table1[],2,TRUE),AND(AR$3&lt;&gt;0,AU$3=0),AS35,TRUE,AV35)</f>
        <v/>
      </c>
      <c r="AX35" s="137"/>
      <c r="AY35" s="137" t="str">
        <f t="shared" si="9"/>
        <v/>
      </c>
      <c r="AZ35" s="115" t="s">
        <v>18</v>
      </c>
      <c r="WPG35" s="28">
        <f>ClassInformation!E40</f>
        <v>0</v>
      </c>
    </row>
    <row r="36" spans="1:52 15773:15971" s="28" customFormat="1" x14ac:dyDescent="0.25">
      <c r="A36" s="58" t="str">
        <f>IF(ISBLANK(ClassInformation!C41),"ZZZZZ",ClassInformation!C41)</f>
        <v>ZZZZZ</v>
      </c>
      <c r="B36" s="59" t="str">
        <f>IF(ISBLANK(ClassInformation!D41),"ZZZZZ",ClassInformation!D41)</f>
        <v>ZZZZZ</v>
      </c>
      <c r="C36" s="128"/>
      <c r="D36" s="128"/>
      <c r="E36" s="128"/>
      <c r="F36" s="128"/>
      <c r="G36" s="128"/>
      <c r="H36" s="129"/>
      <c r="I36" s="128"/>
      <c r="J36" s="128"/>
      <c r="K36" s="128"/>
      <c r="L36" s="128"/>
      <c r="M36" s="129"/>
      <c r="N36" s="152"/>
      <c r="O36" s="152"/>
      <c r="P36" s="152"/>
      <c r="Q36" s="128"/>
      <c r="R36" s="130" t="str">
        <f t="shared" si="0"/>
        <v/>
      </c>
      <c r="S36" s="131" t="str">
        <f t="shared" si="1"/>
        <v/>
      </c>
      <c r="T36" s="132" t="str">
        <f>IF(R36="","",VLOOKUP(S36,Table1[],2,TRUE))</f>
        <v/>
      </c>
      <c r="U36" s="138" t="str">
        <f t="shared" si="6"/>
        <v/>
      </c>
      <c r="V36" s="134" t="str">
        <f t="shared" si="2"/>
        <v/>
      </c>
      <c r="W36" s="135" t="str">
        <f>IF(U36="","",VLOOKUP(V36,Table1[],2,TRUE))</f>
        <v/>
      </c>
      <c r="X36" s="136" t="str">
        <f>_xlfn.IFS(AND(S36="",V36=""),"",OR(S36="-",V36="-"),"-",AND(S$3&lt;&gt;0,V$3&lt;&gt;0),VLOOKUP(AVERAGE(S36,V36),Table1[],2,TRUE),AND(S$3&lt;&gt;0,V$3=0),T36,TRUE,W36)</f>
        <v/>
      </c>
      <c r="Y36" s="137"/>
      <c r="Z36" s="137" t="str">
        <f t="shared" si="7"/>
        <v/>
      </c>
      <c r="AA36" s="115" t="s">
        <v>18</v>
      </c>
      <c r="AB36" s="128"/>
      <c r="AC36" s="128"/>
      <c r="AD36" s="128"/>
      <c r="AE36" s="128"/>
      <c r="AF36" s="128"/>
      <c r="AG36" s="129"/>
      <c r="AH36" s="128"/>
      <c r="AI36" s="128"/>
      <c r="AJ36" s="128"/>
      <c r="AK36" s="128"/>
      <c r="AL36" s="129"/>
      <c r="AM36" s="152"/>
      <c r="AN36" s="152"/>
      <c r="AO36" s="152"/>
      <c r="AP36" s="128"/>
      <c r="AQ36" s="130" t="str">
        <f t="shared" si="3"/>
        <v/>
      </c>
      <c r="AR36" s="131" t="str">
        <f t="shared" si="4"/>
        <v/>
      </c>
      <c r="AS36" s="132" t="str">
        <f>IF(AQ36="","",VLOOKUP(AR36,Table1[],2,TRUE))</f>
        <v/>
      </c>
      <c r="AT36" s="138" t="str">
        <f t="shared" si="8"/>
        <v/>
      </c>
      <c r="AU36" s="134" t="str">
        <f t="shared" si="5"/>
        <v/>
      </c>
      <c r="AV36" s="135" t="str">
        <f>IF(AT36="","",VLOOKUP(AU36,Table1[],2,TRUE))</f>
        <v/>
      </c>
      <c r="AW36" s="136" t="str">
        <f>_xlfn.IFS(AND(AR36="",AU36=""),"",OR(AR36="-",AU36="-"),"-",AND(AR$3&lt;&gt;0,AU$3&lt;&gt;0),VLOOKUP(AVERAGE(AR36,AU36),Table1[],2,TRUE),AND(AR$3&lt;&gt;0,AU$3=0),AS36,TRUE,AV36)</f>
        <v/>
      </c>
      <c r="AX36" s="137"/>
      <c r="AY36" s="137" t="str">
        <f t="shared" si="9"/>
        <v/>
      </c>
      <c r="AZ36" s="115" t="s">
        <v>18</v>
      </c>
      <c r="WPG36" s="28">
        <f>ClassInformation!E41</f>
        <v>0</v>
      </c>
    </row>
    <row r="37" spans="1:52 15773:15971" s="28" customFormat="1" x14ac:dyDescent="0.25">
      <c r="A37" s="58" t="str">
        <f>IF(ISBLANK(ClassInformation!C42),"ZZZZZ",ClassInformation!C42)</f>
        <v>ZZZZZ</v>
      </c>
      <c r="B37" s="59" t="str">
        <f>IF(ISBLANK(ClassInformation!D42),"ZZZZZ",ClassInformation!D42)</f>
        <v>ZZZZZ</v>
      </c>
      <c r="C37" s="128"/>
      <c r="D37" s="128"/>
      <c r="E37" s="128"/>
      <c r="F37" s="128"/>
      <c r="G37" s="128"/>
      <c r="H37" s="129"/>
      <c r="I37" s="128"/>
      <c r="J37" s="128"/>
      <c r="K37" s="128"/>
      <c r="L37" s="128"/>
      <c r="M37" s="129"/>
      <c r="N37" s="152"/>
      <c r="O37" s="152"/>
      <c r="P37" s="152"/>
      <c r="Q37" s="128"/>
      <c r="R37" s="130" t="str">
        <f t="shared" si="0"/>
        <v/>
      </c>
      <c r="S37" s="131" t="str">
        <f t="shared" si="1"/>
        <v/>
      </c>
      <c r="T37" s="132" t="str">
        <f>IF(R37="","",VLOOKUP(S37,Table1[],2,TRUE))</f>
        <v/>
      </c>
      <c r="U37" s="138" t="str">
        <f t="shared" si="6"/>
        <v/>
      </c>
      <c r="V37" s="134" t="str">
        <f t="shared" si="2"/>
        <v/>
      </c>
      <c r="W37" s="135" t="str">
        <f>IF(U37="","",VLOOKUP(V37,Table1[],2,TRUE))</f>
        <v/>
      </c>
      <c r="X37" s="136" t="str">
        <f>_xlfn.IFS(AND(S37="",V37=""),"",OR(S37="-",V37="-"),"-",AND(S$3&lt;&gt;0,V$3&lt;&gt;0),VLOOKUP(AVERAGE(S37,V37),Table1[],2,TRUE),AND(S$3&lt;&gt;0,V$3=0),T37,TRUE,W37)</f>
        <v/>
      </c>
      <c r="Y37" s="137"/>
      <c r="Z37" s="137" t="str">
        <f t="shared" si="7"/>
        <v/>
      </c>
      <c r="AA37" s="115" t="s">
        <v>18</v>
      </c>
      <c r="AB37" s="128"/>
      <c r="AC37" s="128"/>
      <c r="AD37" s="128"/>
      <c r="AE37" s="128"/>
      <c r="AF37" s="128"/>
      <c r="AG37" s="129"/>
      <c r="AH37" s="128"/>
      <c r="AI37" s="128"/>
      <c r="AJ37" s="128"/>
      <c r="AK37" s="128"/>
      <c r="AL37" s="129"/>
      <c r="AM37" s="152"/>
      <c r="AN37" s="152"/>
      <c r="AO37" s="152"/>
      <c r="AP37" s="128"/>
      <c r="AQ37" s="130" t="str">
        <f t="shared" si="3"/>
        <v/>
      </c>
      <c r="AR37" s="131" t="str">
        <f t="shared" si="4"/>
        <v/>
      </c>
      <c r="AS37" s="132" t="str">
        <f>IF(AQ37="","",VLOOKUP(AR37,Table1[],2,TRUE))</f>
        <v/>
      </c>
      <c r="AT37" s="138" t="str">
        <f t="shared" si="8"/>
        <v/>
      </c>
      <c r="AU37" s="134" t="str">
        <f t="shared" si="5"/>
        <v/>
      </c>
      <c r="AV37" s="135" t="str">
        <f>IF(AT37="","",VLOOKUP(AU37,Table1[],2,TRUE))</f>
        <v/>
      </c>
      <c r="AW37" s="136" t="str">
        <f>_xlfn.IFS(AND(AR37="",AU37=""),"",OR(AR37="-",AU37="-"),"-",AND(AR$3&lt;&gt;0,AU$3&lt;&gt;0),VLOOKUP(AVERAGE(AR37,AU37),Table1[],2,TRUE),AND(AR$3&lt;&gt;0,AU$3=0),AS37,TRUE,AV37)</f>
        <v/>
      </c>
      <c r="AX37" s="137"/>
      <c r="AY37" s="137" t="str">
        <f t="shared" si="9"/>
        <v/>
      </c>
      <c r="AZ37" s="115" t="s">
        <v>18</v>
      </c>
      <c r="WPG37" s="28">
        <f>ClassInformation!E42</f>
        <v>0</v>
      </c>
    </row>
    <row r="38" spans="1:52 15773:15971" s="28" customFormat="1" x14ac:dyDescent="0.25">
      <c r="A38" s="58" t="str">
        <f>IF(ISBLANK(ClassInformation!C43),"ZZZZZ",ClassInformation!C43)</f>
        <v>ZZZZZ</v>
      </c>
      <c r="B38" s="59" t="str">
        <f>IF(ISBLANK(ClassInformation!D43),"ZZZZZ",ClassInformation!D43)</f>
        <v>ZZZZZ</v>
      </c>
      <c r="C38" s="128"/>
      <c r="D38" s="128"/>
      <c r="E38" s="128"/>
      <c r="F38" s="128"/>
      <c r="G38" s="128"/>
      <c r="H38" s="129"/>
      <c r="I38" s="128"/>
      <c r="J38" s="128"/>
      <c r="K38" s="128"/>
      <c r="L38" s="128"/>
      <c r="M38" s="129"/>
      <c r="N38" s="152"/>
      <c r="O38" s="152"/>
      <c r="P38" s="152"/>
      <c r="Q38" s="128"/>
      <c r="R38" s="130" t="str">
        <f t="shared" si="0"/>
        <v/>
      </c>
      <c r="S38" s="131" t="str">
        <f t="shared" si="1"/>
        <v/>
      </c>
      <c r="T38" s="132" t="str">
        <f>IF(R38="","",VLOOKUP(S38,Table1[],2,TRUE))</f>
        <v/>
      </c>
      <c r="U38" s="138" t="str">
        <f t="shared" si="6"/>
        <v/>
      </c>
      <c r="V38" s="134" t="str">
        <f t="shared" si="2"/>
        <v/>
      </c>
      <c r="W38" s="135" t="str">
        <f>IF(U38="","",VLOOKUP(V38,Table1[],2,TRUE))</f>
        <v/>
      </c>
      <c r="X38" s="136" t="str">
        <f>_xlfn.IFS(AND(S38="",V38=""),"",OR(S38="-",V38="-"),"-",AND(S$3&lt;&gt;0,V$3&lt;&gt;0),VLOOKUP(AVERAGE(S38,V38),Table1[],2,TRUE),AND(S$3&lt;&gt;0,V$3=0),T38,TRUE,W38)</f>
        <v/>
      </c>
      <c r="Y38" s="137"/>
      <c r="Z38" s="137" t="str">
        <f t="shared" si="7"/>
        <v/>
      </c>
      <c r="AA38" s="115" t="s">
        <v>18</v>
      </c>
      <c r="AB38" s="128"/>
      <c r="AC38" s="128"/>
      <c r="AD38" s="128"/>
      <c r="AE38" s="128"/>
      <c r="AF38" s="128"/>
      <c r="AG38" s="129"/>
      <c r="AH38" s="128"/>
      <c r="AI38" s="128"/>
      <c r="AJ38" s="128"/>
      <c r="AK38" s="128"/>
      <c r="AL38" s="129"/>
      <c r="AM38" s="152"/>
      <c r="AN38" s="152"/>
      <c r="AO38" s="152"/>
      <c r="AP38" s="128"/>
      <c r="AQ38" s="130" t="str">
        <f t="shared" si="3"/>
        <v/>
      </c>
      <c r="AR38" s="131" t="str">
        <f t="shared" si="4"/>
        <v/>
      </c>
      <c r="AS38" s="132" t="str">
        <f>IF(AQ38="","",VLOOKUP(AR38,Table1[],2,TRUE))</f>
        <v/>
      </c>
      <c r="AT38" s="138" t="str">
        <f t="shared" si="8"/>
        <v/>
      </c>
      <c r="AU38" s="134" t="str">
        <f t="shared" si="5"/>
        <v/>
      </c>
      <c r="AV38" s="135" t="str">
        <f>IF(AT38="","",VLOOKUP(AU38,Table1[],2,TRUE))</f>
        <v/>
      </c>
      <c r="AW38" s="136" t="str">
        <f>_xlfn.IFS(AND(AR38="",AU38=""),"",OR(AR38="-",AU38="-"),"-",AND(AR$3&lt;&gt;0,AU$3&lt;&gt;0),VLOOKUP(AVERAGE(AR38,AU38),Table1[],2,TRUE),AND(AR$3&lt;&gt;0,AU$3=0),AS38,TRUE,AV38)</f>
        <v/>
      </c>
      <c r="AX38" s="137"/>
      <c r="AY38" s="137" t="str">
        <f t="shared" si="9"/>
        <v/>
      </c>
      <c r="AZ38" s="115" t="s">
        <v>18</v>
      </c>
      <c r="WPG38" s="28">
        <f>ClassInformation!E43</f>
        <v>0</v>
      </c>
    </row>
    <row r="39" spans="1:52 15773:15971" s="28" customFormat="1" x14ac:dyDescent="0.25">
      <c r="A39" s="58" t="str">
        <f>IF(ISBLANK(ClassInformation!C44),"ZZZZZ",ClassInformation!C44)</f>
        <v>ZZZZZ</v>
      </c>
      <c r="B39" s="59" t="str">
        <f>IF(ISBLANK(ClassInformation!D44),"ZZZZZ",ClassInformation!D44)</f>
        <v>ZZZZZ</v>
      </c>
      <c r="C39" s="128"/>
      <c r="D39" s="128"/>
      <c r="E39" s="128"/>
      <c r="F39" s="128"/>
      <c r="G39" s="128"/>
      <c r="H39" s="129"/>
      <c r="I39" s="128"/>
      <c r="J39" s="128"/>
      <c r="K39" s="128"/>
      <c r="L39" s="128"/>
      <c r="M39" s="129"/>
      <c r="N39" s="152"/>
      <c r="O39" s="152"/>
      <c r="P39" s="152"/>
      <c r="Q39" s="128"/>
      <c r="R39" s="130" t="str">
        <f t="shared" si="0"/>
        <v/>
      </c>
      <c r="S39" s="131" t="str">
        <f t="shared" si="1"/>
        <v/>
      </c>
      <c r="T39" s="132" t="str">
        <f>IF(R39="","",VLOOKUP(S39,Table1[],2,TRUE))</f>
        <v/>
      </c>
      <c r="U39" s="138" t="str">
        <f t="shared" si="6"/>
        <v/>
      </c>
      <c r="V39" s="134" t="str">
        <f t="shared" si="2"/>
        <v/>
      </c>
      <c r="W39" s="135" t="str">
        <f>IF(U39="","",VLOOKUP(V39,Table1[],2,TRUE))</f>
        <v/>
      </c>
      <c r="X39" s="136" t="str">
        <f>_xlfn.IFS(AND(S39="",V39=""),"",OR(S39="-",V39="-"),"-",AND(S$3&lt;&gt;0,V$3&lt;&gt;0),VLOOKUP(AVERAGE(S39,V39),Table1[],2,TRUE),AND(S$3&lt;&gt;0,V$3=0),T39,TRUE,W39)</f>
        <v/>
      </c>
      <c r="Y39" s="137"/>
      <c r="Z39" s="137" t="str">
        <f t="shared" si="7"/>
        <v/>
      </c>
      <c r="AA39" s="115" t="s">
        <v>18</v>
      </c>
      <c r="AB39" s="128"/>
      <c r="AC39" s="128"/>
      <c r="AD39" s="128"/>
      <c r="AE39" s="128"/>
      <c r="AF39" s="128"/>
      <c r="AG39" s="129"/>
      <c r="AH39" s="128"/>
      <c r="AI39" s="128"/>
      <c r="AJ39" s="128"/>
      <c r="AK39" s="128"/>
      <c r="AL39" s="129"/>
      <c r="AM39" s="152"/>
      <c r="AN39" s="152"/>
      <c r="AO39" s="152"/>
      <c r="AP39" s="128"/>
      <c r="AQ39" s="130" t="str">
        <f t="shared" si="3"/>
        <v/>
      </c>
      <c r="AR39" s="131" t="str">
        <f t="shared" si="4"/>
        <v/>
      </c>
      <c r="AS39" s="132" t="str">
        <f>IF(AQ39="","",VLOOKUP(AR39,Table1[],2,TRUE))</f>
        <v/>
      </c>
      <c r="AT39" s="138" t="str">
        <f t="shared" si="8"/>
        <v/>
      </c>
      <c r="AU39" s="134" t="str">
        <f t="shared" si="5"/>
        <v/>
      </c>
      <c r="AV39" s="135" t="str">
        <f>IF(AT39="","",VLOOKUP(AU39,Table1[],2,TRUE))</f>
        <v/>
      </c>
      <c r="AW39" s="136" t="str">
        <f>_xlfn.IFS(AND(AR39="",AU39=""),"",OR(AR39="-",AU39="-"),"-",AND(AR$3&lt;&gt;0,AU$3&lt;&gt;0),VLOOKUP(AVERAGE(AR39,AU39),Table1[],2,TRUE),AND(AR$3&lt;&gt;0,AU$3=0),AS39,TRUE,AV39)</f>
        <v/>
      </c>
      <c r="AX39" s="137"/>
      <c r="AY39" s="137" t="str">
        <f t="shared" si="9"/>
        <v/>
      </c>
      <c r="AZ39" s="115" t="s">
        <v>18</v>
      </c>
      <c r="WPG39" s="28">
        <f>ClassInformation!E44</f>
        <v>0</v>
      </c>
    </row>
    <row r="40" spans="1:52 15773:15971" s="28" customFormat="1" ht="15.75" thickBot="1" x14ac:dyDescent="0.3">
      <c r="A40" s="103" t="str">
        <f>IF(ISBLANK(ClassInformation!C45),"ZZZZZ",ClassInformation!C45)</f>
        <v>ZZZZZ</v>
      </c>
      <c r="B40" s="104" t="str">
        <f>IF(ISBLANK(ClassInformation!D45),"ZZZZZ",ClassInformation!D45)</f>
        <v>ZZZZZ</v>
      </c>
      <c r="C40" s="139"/>
      <c r="D40" s="139"/>
      <c r="E40" s="139"/>
      <c r="F40" s="139"/>
      <c r="G40" s="139"/>
      <c r="H40" s="140"/>
      <c r="I40" s="139"/>
      <c r="J40" s="139"/>
      <c r="K40" s="139"/>
      <c r="L40" s="139"/>
      <c r="M40" s="140"/>
      <c r="N40" s="153"/>
      <c r="O40" s="153"/>
      <c r="P40" s="153"/>
      <c r="Q40" s="141"/>
      <c r="R40" s="142" t="str">
        <f t="shared" si="0"/>
        <v/>
      </c>
      <c r="S40" s="143" t="str">
        <f t="shared" si="1"/>
        <v/>
      </c>
      <c r="T40" s="144" t="str">
        <f>IF(R40="","",VLOOKUP(S40,Table1[],2,TRUE))</f>
        <v/>
      </c>
      <c r="U40" s="145" t="str">
        <f t="shared" si="6"/>
        <v/>
      </c>
      <c r="V40" s="146" t="str">
        <f t="shared" si="2"/>
        <v/>
      </c>
      <c r="W40" s="147" t="str">
        <f>IF(U40="","",VLOOKUP(V40,Table1[],2,TRUE))</f>
        <v/>
      </c>
      <c r="X40" s="148" t="str">
        <f>_xlfn.IFS(AND(S40="",V40=""),"",OR(S40="-",V40="-"),"-",AND(S$3&lt;&gt;0,V$3&lt;&gt;0),VLOOKUP(AVERAGE(S40,V40),Table1[],2,TRUE),AND(S$3&lt;&gt;0,V$3=0),T40,TRUE,W40)</f>
        <v/>
      </c>
      <c r="Y40" s="149"/>
      <c r="Z40" s="150" t="str">
        <f t="shared" si="7"/>
        <v/>
      </c>
      <c r="AA40" s="151" t="s">
        <v>18</v>
      </c>
      <c r="AB40" s="139"/>
      <c r="AC40" s="139"/>
      <c r="AD40" s="139"/>
      <c r="AE40" s="139"/>
      <c r="AF40" s="139"/>
      <c r="AG40" s="140"/>
      <c r="AH40" s="139"/>
      <c r="AI40" s="139"/>
      <c r="AJ40" s="139"/>
      <c r="AK40" s="139"/>
      <c r="AL40" s="140"/>
      <c r="AM40" s="153"/>
      <c r="AN40" s="153"/>
      <c r="AO40" s="153"/>
      <c r="AP40" s="141"/>
      <c r="AQ40" s="142" t="str">
        <f t="shared" si="3"/>
        <v/>
      </c>
      <c r="AR40" s="143" t="str">
        <f t="shared" si="4"/>
        <v/>
      </c>
      <c r="AS40" s="144" t="str">
        <f>IF(AQ40="","",VLOOKUP(AR40,Table1[],2,TRUE))</f>
        <v/>
      </c>
      <c r="AT40" s="145" t="str">
        <f t="shared" si="8"/>
        <v/>
      </c>
      <c r="AU40" s="146" t="str">
        <f t="shared" si="5"/>
        <v/>
      </c>
      <c r="AV40" s="147" t="str">
        <f>IF(AT40="","",VLOOKUP(AU40,Table1[],2,TRUE))</f>
        <v/>
      </c>
      <c r="AW40" s="148" t="str">
        <f>_xlfn.IFS(AND(AR40="",AU40=""),"",OR(AR40="-",AU40="-"),"-",AND(AR$3&lt;&gt;0,AU$3&lt;&gt;0),VLOOKUP(AVERAGE(AR40,AU40),Table1[],2,TRUE),AND(AR$3&lt;&gt;0,AU$3=0),AS40,TRUE,AV40)</f>
        <v/>
      </c>
      <c r="AX40" s="149"/>
      <c r="AY40" s="150" t="str">
        <f t="shared" si="9"/>
        <v/>
      </c>
      <c r="AZ40" s="151" t="s">
        <v>18</v>
      </c>
      <c r="WPG40" s="28">
        <f>ClassInformation!E45</f>
        <v>0</v>
      </c>
    </row>
    <row r="41" spans="1:52 15773:15971" x14ac:dyDescent="0.25">
      <c r="WHQ41" s="28"/>
    </row>
    <row r="46" spans="1:52 15773:15971" x14ac:dyDescent="0.25">
      <c r="A46" s="28"/>
    </row>
    <row r="47" spans="1:52 15773:15971" x14ac:dyDescent="0.25">
      <c r="A47" s="28"/>
    </row>
    <row r="48" spans="1:52 15773:15971"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ref="A5:WPG40">
    <sortCondition ref="A5"/>
  </sortState>
  <mergeCells count="16">
    <mergeCell ref="S3:T3"/>
    <mergeCell ref="V3:W3"/>
    <mergeCell ref="AC1:AZ1"/>
    <mergeCell ref="AB2:AF2"/>
    <mergeCell ref="AG2:AK2"/>
    <mergeCell ref="AL2:AP2"/>
    <mergeCell ref="AQ2:AY2"/>
    <mergeCell ref="AR3:AS3"/>
    <mergeCell ref="AU3:AV3"/>
    <mergeCell ref="D1:AA1"/>
    <mergeCell ref="C2:G2"/>
    <mergeCell ref="H2:L2"/>
    <mergeCell ref="M2:Q2"/>
    <mergeCell ref="R2:Z2"/>
    <mergeCell ref="A1:B2"/>
    <mergeCell ref="A3:B3"/>
  </mergeCells>
  <conditionalFormatting sqref="A5:B40">
    <cfRule type="expression" dxfId="16" priority="1012">
      <formula>$WPG5="N"</formula>
    </cfRule>
    <cfRule type="expression" dxfId="15" priority="1013">
      <formula>A5="ZZZZZ"</formula>
    </cfRule>
  </conditionalFormatting>
  <conditionalFormatting sqref="W5:Z40 T5:T40">
    <cfRule type="expression" dxfId="14" priority="7" stopIfTrue="1">
      <formula>OR(ISNUMBER(SEARCH("D",T5)),ISNUMBER(SEARCH("E",T5)))</formula>
    </cfRule>
  </conditionalFormatting>
  <conditionalFormatting sqref="C5:Q40">
    <cfRule type="expression" dxfId="13" priority="5" stopIfTrue="1">
      <formula>NOT(ISBLANK(C5))</formula>
    </cfRule>
    <cfRule type="expression" dxfId="12" priority="6" stopIfTrue="1">
      <formula>AND(NOT($A5="ZZZZZ"),NOT(ISBLANK(C$4)))</formula>
    </cfRule>
  </conditionalFormatting>
  <conditionalFormatting sqref="AV5:AY40 AS5:AS40">
    <cfRule type="expression" dxfId="11" priority="4" stopIfTrue="1">
      <formula>OR(ISNUMBER(SEARCH("D",AS5)),ISNUMBER(SEARCH("E",AS5)))</formula>
    </cfRule>
  </conditionalFormatting>
  <conditionalFormatting sqref="AB5:AP40">
    <cfRule type="expression" dxfId="10" priority="2" stopIfTrue="1">
      <formula>NOT(ISBLANK(AB5))</formula>
    </cfRule>
    <cfRule type="expression" dxfId="9" priority="3" stopIfTrue="1">
      <formula>AND(NOT($A5="ZZZZZ"),NOT(ISBLANK(AB$4)))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EB81"/>
  <sheetViews>
    <sheetView zoomScaleNormal="100" workbookViewId="0">
      <pane xSplit="2" ySplit="4" topLeftCell="C5" activePane="bottomRight" state="frozenSplit"/>
      <selection pane="topRight" activeCell="AE1" sqref="AE1"/>
      <selection pane="bottomLeft" activeCell="A23" sqref="A23"/>
      <selection pane="bottomRight" activeCell="A32" sqref="A32"/>
    </sheetView>
  </sheetViews>
  <sheetFormatPr defaultColWidth="0" defaultRowHeight="15" customHeight="1" x14ac:dyDescent="0.25"/>
  <cols>
    <col min="1" max="2" width="15.7109375" style="61" customWidth="1"/>
    <col min="3" max="18" width="9.140625" style="62" hidden="1"/>
    <col min="19" max="16312" width="0" style="62" hidden="1"/>
    <col min="16313" max="16384" width="9.140625" style="62" hidden="1"/>
  </cols>
  <sheetData>
    <row r="1" spans="1:2 16356:16356" s="60" customFormat="1" x14ac:dyDescent="0.25">
      <c r="A1" s="198" t="str">
        <f>_xlfn.CONCAT("Year ",ClassInformation!D4,ClassInformation!E4," ",ClassInformation!D5," - ","Semester 2 ",ClassInformation!D6)</f>
        <v>Year 7A [Subject] - Semester 2 2020</v>
      </c>
      <c r="B1" s="199"/>
    </row>
    <row r="2" spans="1:2 16356:16356" s="60" customFormat="1" x14ac:dyDescent="0.25">
      <c r="A2" s="198"/>
      <c r="B2" s="199"/>
    </row>
    <row r="3" spans="1:2 16356:16356" s="60" customFormat="1" x14ac:dyDescent="0.25">
      <c r="A3" s="200" t="s">
        <v>21</v>
      </c>
      <c r="B3" s="201"/>
    </row>
    <row r="4" spans="1:2 16356:16356" s="60" customFormat="1" ht="15.75" thickBot="1" x14ac:dyDescent="0.3">
      <c r="A4" s="105" t="str">
        <f>ClassInformation!C9</f>
        <v>Last Name</v>
      </c>
      <c r="B4" s="57" t="str">
        <f>ClassInformation!D9</f>
        <v>First Name</v>
      </c>
    </row>
    <row r="5" spans="1:2 16356:16356" s="28" customFormat="1" x14ac:dyDescent="0.25">
      <c r="A5" s="110" t="str">
        <f>IF(ISBLANK(ClassInformation!C10),"ZZZZZ",ClassInformation!C10)</f>
        <v>ZZZZZ</v>
      </c>
      <c r="B5" s="59" t="str">
        <f>IF(ISBLANK(ClassInformation!D10),"ZZZZZ",ClassInformation!D10)</f>
        <v>ZZZZZ</v>
      </c>
      <c r="XEB5" s="28">
        <f>ClassInformation!E10</f>
        <v>0</v>
      </c>
    </row>
    <row r="6" spans="1:2 16356:16356" s="28" customFormat="1" x14ac:dyDescent="0.25">
      <c r="A6" s="58" t="str">
        <f>IF(ISBLANK(ClassInformation!C11),"ZZZZZ",ClassInformation!C11)</f>
        <v>ZZZZZ</v>
      </c>
      <c r="B6" s="59" t="str">
        <f>IF(ISBLANK(ClassInformation!D11),"ZZZZZ",ClassInformation!D11)</f>
        <v>ZZZZZ</v>
      </c>
      <c r="XEB6" s="28">
        <f>ClassInformation!E11</f>
        <v>0</v>
      </c>
    </row>
    <row r="7" spans="1:2 16356:16356" s="28" customFormat="1" x14ac:dyDescent="0.25">
      <c r="A7" s="58" t="str">
        <f>IF(ISBLANK(ClassInformation!C12),"ZZZZZ",ClassInformation!C12)</f>
        <v>ZZZZZ</v>
      </c>
      <c r="B7" s="59" t="str">
        <f>IF(ISBLANK(ClassInformation!D12),"ZZZZZ",ClassInformation!D12)</f>
        <v>ZZZZZ</v>
      </c>
      <c r="XEB7" s="28">
        <f>ClassInformation!E12</f>
        <v>0</v>
      </c>
    </row>
    <row r="8" spans="1:2 16356:16356" s="28" customFormat="1" x14ac:dyDescent="0.25">
      <c r="A8" s="58" t="str">
        <f>IF(ISBLANK(ClassInformation!C13),"ZZZZZ",ClassInformation!C13)</f>
        <v>ZZZZZ</v>
      </c>
      <c r="B8" s="59" t="str">
        <f>IF(ISBLANK(ClassInformation!D13),"ZZZZZ",ClassInformation!D13)</f>
        <v>ZZZZZ</v>
      </c>
      <c r="XEB8" s="28">
        <f>ClassInformation!E13</f>
        <v>0</v>
      </c>
    </row>
    <row r="9" spans="1:2 16356:16356" s="28" customFormat="1" x14ac:dyDescent="0.25">
      <c r="A9" s="58" t="str">
        <f>IF(ISBLANK(ClassInformation!C14),"ZZZZZ",ClassInformation!C14)</f>
        <v>ZZZZZ</v>
      </c>
      <c r="B9" s="59" t="str">
        <f>IF(ISBLANK(ClassInformation!D14),"ZZZZZ",ClassInformation!D14)</f>
        <v>ZZZZZ</v>
      </c>
      <c r="XEB9" s="28">
        <f>ClassInformation!E14</f>
        <v>0</v>
      </c>
    </row>
    <row r="10" spans="1:2 16356:16356" s="28" customFormat="1" x14ac:dyDescent="0.25">
      <c r="A10" s="58" t="str">
        <f>IF(ISBLANK(ClassInformation!C15),"ZZZZZ",ClassInformation!C15)</f>
        <v>ZZZZZ</v>
      </c>
      <c r="B10" s="59" t="str">
        <f>IF(ISBLANK(ClassInformation!D15),"ZZZZZ",ClassInformation!D15)</f>
        <v>ZZZZZ</v>
      </c>
      <c r="XEB10" s="28">
        <f>ClassInformation!E15</f>
        <v>0</v>
      </c>
    </row>
    <row r="11" spans="1:2 16356:16356" s="28" customFormat="1" x14ac:dyDescent="0.25">
      <c r="A11" s="58" t="str">
        <f>IF(ISBLANK(ClassInformation!C16),"ZZZZZ",ClassInformation!C16)</f>
        <v>ZZZZZ</v>
      </c>
      <c r="B11" s="59" t="str">
        <f>IF(ISBLANK(ClassInformation!D16),"ZZZZZ",ClassInformation!D16)</f>
        <v>ZZZZZ</v>
      </c>
      <c r="XEB11" s="28">
        <f>ClassInformation!E16</f>
        <v>0</v>
      </c>
    </row>
    <row r="12" spans="1:2 16356:16356" s="28" customFormat="1" x14ac:dyDescent="0.25">
      <c r="A12" s="58" t="str">
        <f>IF(ISBLANK(ClassInformation!C17),"ZZZZZ",ClassInformation!C17)</f>
        <v>ZZZZZ</v>
      </c>
      <c r="B12" s="59" t="str">
        <f>IF(ISBLANK(ClassInformation!D17),"ZZZZZ",ClassInformation!D17)</f>
        <v>ZZZZZ</v>
      </c>
      <c r="XEB12" s="28">
        <f>ClassInformation!E17</f>
        <v>0</v>
      </c>
    </row>
    <row r="13" spans="1:2 16356:16356" s="28" customFormat="1" x14ac:dyDescent="0.25">
      <c r="A13" s="58" t="str">
        <f>IF(ISBLANK(ClassInformation!C18),"ZZZZZ",ClassInformation!C18)</f>
        <v>ZZZZZ</v>
      </c>
      <c r="B13" s="59" t="str">
        <f>IF(ISBLANK(ClassInformation!D18),"ZZZZZ",ClassInformation!D18)</f>
        <v>ZZZZZ</v>
      </c>
      <c r="XEB13" s="28">
        <f>ClassInformation!E18</f>
        <v>0</v>
      </c>
    </row>
    <row r="14" spans="1:2 16356:16356" s="28" customFormat="1" x14ac:dyDescent="0.25">
      <c r="A14" s="58" t="str">
        <f>IF(ISBLANK(ClassInformation!C19),"ZZZZZ",ClassInformation!C19)</f>
        <v>ZZZZZ</v>
      </c>
      <c r="B14" s="59" t="str">
        <f>IF(ISBLANK(ClassInformation!D19),"ZZZZZ",ClassInformation!D19)</f>
        <v>ZZZZZ</v>
      </c>
      <c r="XEB14" s="28">
        <f>ClassInformation!E19</f>
        <v>0</v>
      </c>
    </row>
    <row r="15" spans="1:2 16356:16356" s="28" customFormat="1" x14ac:dyDescent="0.25">
      <c r="A15" s="58" t="str">
        <f>IF(ISBLANK(ClassInformation!C20),"ZZZZZ",ClassInformation!C20)</f>
        <v>ZZZZZ</v>
      </c>
      <c r="B15" s="59" t="str">
        <f>IF(ISBLANK(ClassInformation!D20),"ZZZZZ",ClassInformation!D20)</f>
        <v>ZZZZZ</v>
      </c>
      <c r="XEB15" s="28">
        <f>ClassInformation!E20</f>
        <v>0</v>
      </c>
    </row>
    <row r="16" spans="1:2 16356:16356" s="28" customFormat="1" x14ac:dyDescent="0.25">
      <c r="A16" s="58" t="str">
        <f>IF(ISBLANK(ClassInformation!C21),"ZZZZZ",ClassInformation!C21)</f>
        <v>ZZZZZ</v>
      </c>
      <c r="B16" s="59" t="str">
        <f>IF(ISBLANK(ClassInformation!D21),"ZZZZZ",ClassInformation!D21)</f>
        <v>ZZZZZ</v>
      </c>
      <c r="XEB16" s="28">
        <f>ClassInformation!E21</f>
        <v>0</v>
      </c>
    </row>
    <row r="17" spans="1:2 16356:16356" s="28" customFormat="1" x14ac:dyDescent="0.25">
      <c r="A17" s="58" t="str">
        <f>IF(ISBLANK(ClassInformation!C22),"ZZZZZ",ClassInformation!C22)</f>
        <v>ZZZZZ</v>
      </c>
      <c r="B17" s="59" t="str">
        <f>IF(ISBLANK(ClassInformation!D22),"ZZZZZ",ClassInformation!D22)</f>
        <v>ZZZZZ</v>
      </c>
      <c r="XEB17" s="28">
        <f>ClassInformation!E22</f>
        <v>0</v>
      </c>
    </row>
    <row r="18" spans="1:2 16356:16356" s="28" customFormat="1" x14ac:dyDescent="0.25">
      <c r="A18" s="58" t="str">
        <f>IF(ISBLANK(ClassInformation!C23),"ZZZZZ",ClassInformation!C23)</f>
        <v>ZZZZZ</v>
      </c>
      <c r="B18" s="59" t="str">
        <f>IF(ISBLANK(ClassInformation!D23),"ZZZZZ",ClassInformation!D23)</f>
        <v>ZZZZZ</v>
      </c>
      <c r="XEB18" s="28">
        <f>ClassInformation!E23</f>
        <v>0</v>
      </c>
    </row>
    <row r="19" spans="1:2 16356:16356" s="28" customFormat="1" x14ac:dyDescent="0.25">
      <c r="A19" s="58" t="str">
        <f>IF(ISBLANK(ClassInformation!C24),"ZZZZZ",ClassInformation!C24)</f>
        <v>ZZZZZ</v>
      </c>
      <c r="B19" s="59" t="str">
        <f>IF(ISBLANK(ClassInformation!D24),"ZZZZZ",ClassInformation!D24)</f>
        <v>ZZZZZ</v>
      </c>
      <c r="XEB19" s="28">
        <f>ClassInformation!E24</f>
        <v>0</v>
      </c>
    </row>
    <row r="20" spans="1:2 16356:16356" s="28" customFormat="1" x14ac:dyDescent="0.25">
      <c r="A20" s="58" t="str">
        <f>IF(ISBLANK(ClassInformation!C25),"ZZZZZ",ClassInformation!C25)</f>
        <v>ZZZZZ</v>
      </c>
      <c r="B20" s="59" t="str">
        <f>IF(ISBLANK(ClassInformation!D25),"ZZZZZ",ClassInformation!D25)</f>
        <v>ZZZZZ</v>
      </c>
      <c r="XEB20" s="28">
        <f>ClassInformation!E25</f>
        <v>0</v>
      </c>
    </row>
    <row r="21" spans="1:2 16356:16356" s="28" customFormat="1" x14ac:dyDescent="0.25">
      <c r="A21" s="58" t="str">
        <f>IF(ISBLANK(ClassInformation!C26),"ZZZZZ",ClassInformation!C26)</f>
        <v>ZZZZZ</v>
      </c>
      <c r="B21" s="59" t="str">
        <f>IF(ISBLANK(ClassInformation!D26),"ZZZZZ",ClassInformation!D26)</f>
        <v>ZZZZZ</v>
      </c>
      <c r="XEB21" s="28">
        <f>ClassInformation!E26</f>
        <v>0</v>
      </c>
    </row>
    <row r="22" spans="1:2 16356:16356" s="28" customFormat="1" x14ac:dyDescent="0.25">
      <c r="A22" s="58" t="str">
        <f>IF(ISBLANK(ClassInformation!C27),"ZZZZZ",ClassInformation!C27)</f>
        <v>ZZZZZ</v>
      </c>
      <c r="B22" s="59" t="str">
        <f>IF(ISBLANK(ClassInformation!D27),"ZZZZZ",ClassInformation!D27)</f>
        <v>ZZZZZ</v>
      </c>
      <c r="XEB22" s="28">
        <f>ClassInformation!E27</f>
        <v>0</v>
      </c>
    </row>
    <row r="23" spans="1:2 16356:16356" s="28" customFormat="1" x14ac:dyDescent="0.25">
      <c r="A23" s="58" t="str">
        <f>IF(ISBLANK(ClassInformation!C28),"ZZZZZ",ClassInformation!C28)</f>
        <v>ZZZZZ</v>
      </c>
      <c r="B23" s="59" t="str">
        <f>IF(ISBLANK(ClassInformation!D28),"ZZZZZ",ClassInformation!D28)</f>
        <v>ZZZZZ</v>
      </c>
      <c r="XEB23" s="28">
        <f>ClassInformation!E28</f>
        <v>0</v>
      </c>
    </row>
    <row r="24" spans="1:2 16356:16356" s="28" customFormat="1" x14ac:dyDescent="0.25">
      <c r="A24" s="58" t="str">
        <f>IF(ISBLANK(ClassInformation!C29),"ZZZZZ",ClassInformation!C29)</f>
        <v>ZZZZZ</v>
      </c>
      <c r="B24" s="59" t="str">
        <f>IF(ISBLANK(ClassInformation!D29),"ZZZZZ",ClassInformation!D29)</f>
        <v>ZZZZZ</v>
      </c>
      <c r="XEB24" s="28">
        <f>ClassInformation!E29</f>
        <v>0</v>
      </c>
    </row>
    <row r="25" spans="1:2 16356:16356" s="28" customFormat="1" x14ac:dyDescent="0.25">
      <c r="A25" s="58" t="str">
        <f>IF(ISBLANK(ClassInformation!C30),"ZZZZZ",ClassInformation!C30)</f>
        <v>ZZZZZ</v>
      </c>
      <c r="B25" s="59" t="str">
        <f>IF(ISBLANK(ClassInformation!D30),"ZZZZZ",ClassInformation!D30)</f>
        <v>ZZZZZ</v>
      </c>
      <c r="XEB25" s="28">
        <f>ClassInformation!E30</f>
        <v>0</v>
      </c>
    </row>
    <row r="26" spans="1:2 16356:16356" s="28" customFormat="1" x14ac:dyDescent="0.25">
      <c r="A26" s="58" t="str">
        <f>IF(ISBLANK(ClassInformation!C31),"ZZZZZ",ClassInformation!C31)</f>
        <v>ZZZZZ</v>
      </c>
      <c r="B26" s="59" t="str">
        <f>IF(ISBLANK(ClassInformation!D31),"ZZZZZ",ClassInformation!D31)</f>
        <v>ZZZZZ</v>
      </c>
      <c r="XEB26" s="28">
        <f>ClassInformation!E31</f>
        <v>0</v>
      </c>
    </row>
    <row r="27" spans="1:2 16356:16356" s="28" customFormat="1" x14ac:dyDescent="0.25">
      <c r="A27" s="58" t="str">
        <f>IF(ISBLANK(ClassInformation!C32),"ZZZZZ",ClassInformation!C32)</f>
        <v>ZZZZZ</v>
      </c>
      <c r="B27" s="59" t="str">
        <f>IF(ISBLANK(ClassInformation!D32),"ZZZZZ",ClassInformation!D32)</f>
        <v>ZZZZZ</v>
      </c>
      <c r="XEB27" s="28">
        <f>ClassInformation!E32</f>
        <v>0</v>
      </c>
    </row>
    <row r="28" spans="1:2 16356:16356" s="28" customFormat="1" x14ac:dyDescent="0.25">
      <c r="A28" s="58" t="str">
        <f>IF(ISBLANK(ClassInformation!C33),"ZZZZZ",ClassInformation!C33)</f>
        <v>ZZZZZ</v>
      </c>
      <c r="B28" s="59" t="str">
        <f>IF(ISBLANK(ClassInformation!D33),"ZZZZZ",ClassInformation!D33)</f>
        <v>ZZZZZ</v>
      </c>
      <c r="XEB28" s="28">
        <f>ClassInformation!E33</f>
        <v>0</v>
      </c>
    </row>
    <row r="29" spans="1:2 16356:16356" s="28" customFormat="1" x14ac:dyDescent="0.25">
      <c r="A29" s="58" t="str">
        <f>IF(ISBLANK(ClassInformation!C34),"ZZZZZ",ClassInformation!C34)</f>
        <v>ZZZZZ</v>
      </c>
      <c r="B29" s="59" t="str">
        <f>IF(ISBLANK(ClassInformation!D34),"ZZZZZ",ClassInformation!D34)</f>
        <v>ZZZZZ</v>
      </c>
      <c r="XEB29" s="28">
        <f>ClassInformation!E34</f>
        <v>0</v>
      </c>
    </row>
    <row r="30" spans="1:2 16356:16356" s="28" customFormat="1" x14ac:dyDescent="0.25">
      <c r="A30" s="58" t="str">
        <f>IF(ISBLANK(ClassInformation!C35),"ZZZZZ",ClassInformation!C35)</f>
        <v>ZZZZZ</v>
      </c>
      <c r="B30" s="59" t="str">
        <f>IF(ISBLANK(ClassInformation!D35),"ZZZZZ",ClassInformation!D35)</f>
        <v>ZZZZZ</v>
      </c>
      <c r="XEB30" s="28">
        <f>ClassInformation!E35</f>
        <v>0</v>
      </c>
    </row>
    <row r="31" spans="1:2 16356:16356" s="28" customFormat="1" x14ac:dyDescent="0.25">
      <c r="A31" s="58" t="str">
        <f>IF(ISBLANK(ClassInformation!C36),"ZZZZZ",ClassInformation!C36)</f>
        <v>ZZZZZ</v>
      </c>
      <c r="B31" s="59" t="str">
        <f>IF(ISBLANK(ClassInformation!D36),"ZZZZZ",ClassInformation!D36)</f>
        <v>ZZZZZ</v>
      </c>
      <c r="XEB31" s="28">
        <f>ClassInformation!E36</f>
        <v>0</v>
      </c>
    </row>
    <row r="32" spans="1:2 16356:16356" s="28" customFormat="1" x14ac:dyDescent="0.25">
      <c r="A32" s="58" t="str">
        <f>IF(ISBLANK(ClassInformation!C37),"ZZZZZ",ClassInformation!C37)</f>
        <v>ZZZZZ</v>
      </c>
      <c r="B32" s="59" t="str">
        <f>IF(ISBLANK(ClassInformation!D37),"ZZZZZ",ClassInformation!D37)</f>
        <v>ZZZZZ</v>
      </c>
      <c r="XEB32" s="28">
        <f>ClassInformation!E37</f>
        <v>0</v>
      </c>
    </row>
    <row r="33" spans="1:2 16158:16356" s="28" customFormat="1" x14ac:dyDescent="0.25">
      <c r="A33" s="58" t="str">
        <f>IF(ISBLANK(ClassInformation!C38),"ZZZZZ",ClassInformation!C38)</f>
        <v>ZZZZZ</v>
      </c>
      <c r="B33" s="59" t="str">
        <f>IF(ISBLANK(ClassInformation!D38),"ZZZZZ",ClassInformation!D38)</f>
        <v>ZZZZZ</v>
      </c>
      <c r="XEB33" s="28">
        <f>ClassInformation!E38</f>
        <v>0</v>
      </c>
    </row>
    <row r="34" spans="1:2 16158:16356" s="28" customFormat="1" x14ac:dyDescent="0.25">
      <c r="A34" s="58" t="str">
        <f>IF(ISBLANK(ClassInformation!C39),"ZZZZZ",ClassInformation!C39)</f>
        <v>ZZZZZ</v>
      </c>
      <c r="B34" s="59" t="str">
        <f>IF(ISBLANK(ClassInformation!D39),"ZZZZZ",ClassInformation!D39)</f>
        <v>ZZZZZ</v>
      </c>
      <c r="XEB34" s="28">
        <f>ClassInformation!E39</f>
        <v>0</v>
      </c>
    </row>
    <row r="35" spans="1:2 16158:16356" s="28" customFormat="1" x14ac:dyDescent="0.25">
      <c r="A35" s="58" t="str">
        <f>IF(ISBLANK(ClassInformation!C40),"ZZZZZ",ClassInformation!C40)</f>
        <v>ZZZZZ</v>
      </c>
      <c r="B35" s="59" t="str">
        <f>IF(ISBLANK(ClassInformation!D40),"ZZZZZ",ClassInformation!D40)</f>
        <v>ZZZZZ</v>
      </c>
      <c r="XEB35" s="28">
        <f>ClassInformation!E40</f>
        <v>0</v>
      </c>
    </row>
    <row r="36" spans="1:2 16158:16356" s="28" customFormat="1" x14ac:dyDescent="0.25">
      <c r="A36" s="58" t="str">
        <f>IF(ISBLANK(ClassInformation!C41),"ZZZZZ",ClassInformation!C41)</f>
        <v>ZZZZZ</v>
      </c>
      <c r="B36" s="59" t="str">
        <f>IF(ISBLANK(ClassInformation!D41),"ZZZZZ",ClassInformation!D41)</f>
        <v>ZZZZZ</v>
      </c>
      <c r="XEB36" s="28">
        <f>ClassInformation!E41</f>
        <v>0</v>
      </c>
    </row>
    <row r="37" spans="1:2 16158:16356" s="28" customFormat="1" x14ac:dyDescent="0.25">
      <c r="A37" s="58" t="str">
        <f>IF(ISBLANK(ClassInformation!C42),"ZZZZZ",ClassInformation!C42)</f>
        <v>ZZZZZ</v>
      </c>
      <c r="B37" s="59" t="str">
        <f>IF(ISBLANK(ClassInformation!D42),"ZZZZZ",ClassInformation!D42)</f>
        <v>ZZZZZ</v>
      </c>
      <c r="XEB37" s="28">
        <f>ClassInformation!E42</f>
        <v>0</v>
      </c>
    </row>
    <row r="38" spans="1:2 16158:16356" s="28" customFormat="1" x14ac:dyDescent="0.25">
      <c r="A38" s="58" t="str">
        <f>IF(ISBLANK(ClassInformation!C43),"ZZZZZ",ClassInformation!C43)</f>
        <v>ZZZZZ</v>
      </c>
      <c r="B38" s="59" t="str">
        <f>IF(ISBLANK(ClassInformation!D43),"ZZZZZ",ClassInformation!D43)</f>
        <v>ZZZZZ</v>
      </c>
      <c r="XEB38" s="28">
        <f>ClassInformation!E43</f>
        <v>0</v>
      </c>
    </row>
    <row r="39" spans="1:2 16158:16356" s="28" customFormat="1" x14ac:dyDescent="0.25">
      <c r="A39" s="58" t="str">
        <f>IF(ISBLANK(ClassInformation!C44),"ZZZZZ",ClassInformation!C44)</f>
        <v>ZZZZZ</v>
      </c>
      <c r="B39" s="59" t="str">
        <f>IF(ISBLANK(ClassInformation!D44),"ZZZZZ",ClassInformation!D44)</f>
        <v>ZZZZZ</v>
      </c>
      <c r="XEB39" s="28">
        <f>ClassInformation!E44</f>
        <v>0</v>
      </c>
    </row>
    <row r="40" spans="1:2 16158:16356" s="28" customFormat="1" ht="15.75" thickBot="1" x14ac:dyDescent="0.3">
      <c r="A40" s="103" t="str">
        <f>IF(ISBLANK(ClassInformation!C45),"ZZZZZ",ClassInformation!C45)</f>
        <v>ZZZZZ</v>
      </c>
      <c r="B40" s="104" t="str">
        <f>IF(ISBLANK(ClassInformation!D45),"ZZZZZ",ClassInformation!D45)</f>
        <v>ZZZZZ</v>
      </c>
      <c r="XEB40" s="28">
        <f>ClassInformation!E45</f>
        <v>0</v>
      </c>
    </row>
    <row r="41" spans="1:2 16158:16356" x14ac:dyDescent="0.25">
      <c r="WWL41" s="28"/>
    </row>
    <row r="46" spans="1:2 16158:16356" x14ac:dyDescent="0.25">
      <c r="A46" s="28"/>
    </row>
    <row r="47" spans="1:2 16158:16356" x14ac:dyDescent="0.25">
      <c r="A47" s="28"/>
    </row>
    <row r="48" spans="1:2 16158:16356"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8" priority="960">
      <formula>$XEB5="N"</formula>
    </cfRule>
    <cfRule type="expression" dxfId="7" priority="961">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D40"/>
  <sheetViews>
    <sheetView zoomScale="85" zoomScaleNormal="85" workbookViewId="0">
      <selection activeCell="X4" sqref="X4"/>
    </sheetView>
  </sheetViews>
  <sheetFormatPr defaultColWidth="9.140625" defaultRowHeight="15" x14ac:dyDescent="0.25"/>
  <cols>
    <col min="1" max="1" width="17" style="64" bestFit="1" customWidth="1"/>
    <col min="2" max="5" width="17" style="65" bestFit="1" customWidth="1"/>
    <col min="6" max="9" width="17" style="63" bestFit="1" customWidth="1"/>
    <col min="10" max="10" width="17" style="65" bestFit="1" customWidth="1"/>
    <col min="11" max="11" width="17" style="65" customWidth="1"/>
    <col min="12" max="14" width="17" style="113" customWidth="1"/>
    <col min="15" max="15" width="17" style="65" customWidth="1"/>
    <col min="16" max="16" width="13.28515625" style="65" bestFit="1" customWidth="1"/>
    <col min="17" max="17" width="6.7109375" style="63" customWidth="1"/>
    <col min="18" max="18" width="6.7109375" style="65" customWidth="1"/>
    <col min="19" max="19" width="12.85546875" style="65" bestFit="1" customWidth="1"/>
    <col min="20" max="20" width="6.7109375" style="63" customWidth="1"/>
    <col min="21" max="21" width="6.5703125" style="65" customWidth="1"/>
    <col min="22" max="22" width="11" style="65" bestFit="1" customWidth="1"/>
    <col min="23" max="23" width="10.42578125" style="65" bestFit="1" customWidth="1"/>
    <col min="24" max="24" width="13.42578125" style="61" bestFit="1" customWidth="1"/>
    <col min="25" max="25" width="2.85546875" style="61" customWidth="1"/>
    <col min="26" max="16384" width="9.140625" style="61"/>
  </cols>
  <sheetData>
    <row r="1" spans="1:30" s="60" customFormat="1" x14ac:dyDescent="0.25">
      <c r="A1" s="114" t="s">
        <v>65</v>
      </c>
      <c r="B1" s="209"/>
      <c r="C1" s="209"/>
      <c r="D1" s="209"/>
      <c r="E1" s="209"/>
      <c r="F1" s="209"/>
      <c r="G1" s="209"/>
      <c r="H1" s="209"/>
      <c r="I1" s="209"/>
      <c r="J1" s="209"/>
      <c r="K1" s="209"/>
      <c r="L1" s="209"/>
      <c r="M1" s="209"/>
      <c r="N1" s="209"/>
      <c r="O1" s="209"/>
      <c r="P1" s="209"/>
      <c r="Q1" s="209"/>
      <c r="R1" s="209"/>
      <c r="S1" s="209"/>
      <c r="T1" s="209"/>
      <c r="U1" s="209"/>
      <c r="V1" s="209"/>
      <c r="W1" s="209"/>
      <c r="X1" s="209"/>
      <c r="Y1" s="210"/>
      <c r="Z1" s="154"/>
      <c r="AA1" s="154"/>
      <c r="AB1" s="154"/>
      <c r="AC1" s="154"/>
      <c r="AD1" s="154"/>
    </row>
    <row r="2" spans="1:30" s="60" customFormat="1" x14ac:dyDescent="0.25">
      <c r="A2" s="211" t="s">
        <v>31</v>
      </c>
      <c r="B2" s="207"/>
      <c r="C2" s="207"/>
      <c r="D2" s="207"/>
      <c r="E2" s="207"/>
      <c r="F2" s="206" t="s">
        <v>33</v>
      </c>
      <c r="G2" s="207"/>
      <c r="H2" s="207"/>
      <c r="I2" s="207"/>
      <c r="J2" s="207"/>
      <c r="K2" s="206" t="s">
        <v>77</v>
      </c>
      <c r="L2" s="207"/>
      <c r="M2" s="207"/>
      <c r="N2" s="207"/>
      <c r="O2" s="208"/>
      <c r="P2" s="206" t="s">
        <v>96</v>
      </c>
      <c r="Q2" s="207"/>
      <c r="R2" s="207"/>
      <c r="S2" s="207"/>
      <c r="T2" s="207"/>
      <c r="U2" s="207"/>
      <c r="V2" s="207"/>
      <c r="W2" s="207"/>
      <c r="X2" s="212"/>
      <c r="Y2" s="115" t="s">
        <v>18</v>
      </c>
      <c r="AA2" s="155"/>
      <c r="AB2" s="155"/>
      <c r="AC2" s="155"/>
      <c r="AD2" s="155"/>
    </row>
    <row r="3" spans="1:30" s="60" customFormat="1" x14ac:dyDescent="0.25">
      <c r="A3" s="116" t="s">
        <v>74</v>
      </c>
      <c r="B3" s="116" t="s">
        <v>73</v>
      </c>
      <c r="C3" s="116" t="s">
        <v>73</v>
      </c>
      <c r="D3" s="116" t="s">
        <v>73</v>
      </c>
      <c r="E3" s="116" t="s">
        <v>73</v>
      </c>
      <c r="F3" s="116" t="s">
        <v>73</v>
      </c>
      <c r="G3" s="116" t="s">
        <v>73</v>
      </c>
      <c r="H3" s="116" t="s">
        <v>73</v>
      </c>
      <c r="I3" s="116" t="s">
        <v>73</v>
      </c>
      <c r="J3" s="116" t="s">
        <v>73</v>
      </c>
      <c r="K3" s="116" t="s">
        <v>73</v>
      </c>
      <c r="L3" s="116" t="s">
        <v>73</v>
      </c>
      <c r="M3" s="116" t="s">
        <v>73</v>
      </c>
      <c r="N3" s="116" t="s">
        <v>73</v>
      </c>
      <c r="O3" s="116" t="s">
        <v>73</v>
      </c>
      <c r="P3" s="117" t="str">
        <f>_xlfn.TEXTJOIN(" ",TRUE,"Max",A2,":")</f>
        <v>Max UD :</v>
      </c>
      <c r="Q3" s="202">
        <f>IF(OR(A4="-",B4="-",C4="-",D4="-",E4="-"),"-",SUM(A4,B4,C4,D4,E4))</f>
        <v>0</v>
      </c>
      <c r="R3" s="203"/>
      <c r="S3" s="117" t="str">
        <f>_xlfn.TEXTJOIN(" ",TRUE,"Max",F2,":")</f>
        <v>Max SD :</v>
      </c>
      <c r="T3" s="204">
        <f>IF(OR(F4="-",G4="-",H4="-",I4="-",J4="-"),"-",SUM(F4,G4,H4,I4,J4))</f>
        <v>0</v>
      </c>
      <c r="U3" s="205"/>
      <c r="V3" s="118"/>
      <c r="W3" s="118"/>
      <c r="X3" s="118"/>
      <c r="Y3" s="115" t="s">
        <v>18</v>
      </c>
    </row>
    <row r="4" spans="1:30" s="60" customFormat="1" x14ac:dyDescent="0.25">
      <c r="A4" s="119"/>
      <c r="B4" s="120"/>
      <c r="C4" s="120"/>
      <c r="D4" s="120"/>
      <c r="E4" s="120"/>
      <c r="F4" s="120"/>
      <c r="G4" s="120"/>
      <c r="H4" s="120"/>
      <c r="I4" s="120"/>
      <c r="J4" s="120"/>
      <c r="K4" s="120"/>
      <c r="L4" s="120"/>
      <c r="M4" s="120"/>
      <c r="N4" s="120"/>
      <c r="O4" s="120"/>
      <c r="P4" s="121" t="str">
        <f>_xlfn.TEXTJOIN(" ",TRUE,P2,A2)</f>
        <v>Overall Assessment  UD</v>
      </c>
      <c r="Q4" s="122" t="s">
        <v>87</v>
      </c>
      <c r="R4" s="123" t="s">
        <v>1</v>
      </c>
      <c r="S4" s="124" t="str">
        <f>_xlfn.TEXTJOIN(" ",TRUE,P2,F2)</f>
        <v>Overall Assessment  SD</v>
      </c>
      <c r="T4" s="125" t="s">
        <v>87</v>
      </c>
      <c r="U4" s="126" t="s">
        <v>1</v>
      </c>
      <c r="V4" s="127" t="s">
        <v>49</v>
      </c>
      <c r="W4" s="127" t="s">
        <v>50</v>
      </c>
      <c r="X4" s="127" t="s">
        <v>72</v>
      </c>
      <c r="Y4" s="115" t="s">
        <v>18</v>
      </c>
    </row>
    <row r="5" spans="1:30" s="60" customFormat="1" x14ac:dyDescent="0.25">
      <c r="A5" s="128"/>
      <c r="B5" s="128"/>
      <c r="C5" s="128"/>
      <c r="D5" s="128"/>
      <c r="E5" s="128"/>
      <c r="F5" s="129"/>
      <c r="G5" s="128"/>
      <c r="H5" s="128"/>
      <c r="I5" s="128"/>
      <c r="J5" s="128"/>
      <c r="K5" s="129"/>
      <c r="L5" s="152"/>
      <c r="M5" s="152"/>
      <c r="N5" s="152"/>
      <c r="O5" s="128"/>
      <c r="P5" s="130" t="str">
        <f t="shared" ref="P5:P40" si="0">_xlfn.IFS(COUNTIF(A5:E5,"*-*")&gt;0,"-",COUNTBLANK(A5:E5)=5,"",Q$3="-","-",TRUE,SUM(A5:E5))</f>
        <v/>
      </c>
      <c r="Q5" s="131" t="str">
        <f t="shared" ref="Q5:Q40" si="1">_xlfn.IFS(P5="","",P5="-","-",TRUE,P5/Q$3)</f>
        <v/>
      </c>
      <c r="R5" s="132" t="str">
        <f>IF(Q5="","",VLOOKUP(Q5,Table1[],2,TRUE))</f>
        <v/>
      </c>
      <c r="S5" s="133" t="str">
        <f>_xlfn.IFS(COUNTIF(F5:J5,"*-*")&gt;0,"-",COUNTBLANK(F5:J5)=5,"",T$3="-","-",TRUE,SUM(F5:J5))</f>
        <v/>
      </c>
      <c r="T5" s="134" t="str">
        <f t="shared" ref="T5:T40" si="2">_xlfn.IFS(S5="","",S5="-","-",TRUE,S5/T$3)</f>
        <v/>
      </c>
      <c r="U5" s="135" t="str">
        <f>IF(T5="","",VLOOKUP(T5,Table1[],2,TRUE))</f>
        <v/>
      </c>
      <c r="V5" s="136" t="str">
        <f>_xlfn.IFS(AND(Q5="",T5=""),"",OR(Q5="-",T5="-"),"-",AND(Q$3&lt;&gt;0,T$3&lt;&gt;0),VLOOKUP(AVERAGE(Q5,T5),Table1[],2,TRUE),AND(Q$3&lt;&gt;0,T$3=0),R5,TRUE,U5)</f>
        <v/>
      </c>
      <c r="W5" s="137"/>
      <c r="X5" s="137" t="str">
        <f>IF(ISBLANK(W5),V5,W5)</f>
        <v/>
      </c>
      <c r="Y5" s="115" t="s">
        <v>18</v>
      </c>
    </row>
    <row r="6" spans="1:30" s="60" customFormat="1" x14ac:dyDescent="0.25">
      <c r="A6" s="128"/>
      <c r="B6" s="128"/>
      <c r="C6" s="128"/>
      <c r="D6" s="128"/>
      <c r="E6" s="128"/>
      <c r="F6" s="129"/>
      <c r="G6" s="128"/>
      <c r="H6" s="128"/>
      <c r="I6" s="128"/>
      <c r="J6" s="128"/>
      <c r="K6" s="129"/>
      <c r="L6" s="152"/>
      <c r="M6" s="152"/>
      <c r="N6" s="152"/>
      <c r="O6" s="128"/>
      <c r="P6" s="130" t="str">
        <f t="shared" si="0"/>
        <v/>
      </c>
      <c r="Q6" s="131" t="str">
        <f t="shared" si="1"/>
        <v/>
      </c>
      <c r="R6" s="132" t="str">
        <f>IF(P6="","",VLOOKUP(Q6,Table1[],2,TRUE))</f>
        <v/>
      </c>
      <c r="S6" s="138" t="str">
        <f t="shared" ref="S6:S40" si="3">_xlfn.IFS(COUNTIF(F6:J6,"*-*")&gt;0,"-",COUNTBLANK(F6:J6)=5,"",T$3="-","-",TRUE,SUM(F6:J6))</f>
        <v/>
      </c>
      <c r="T6" s="134" t="str">
        <f t="shared" si="2"/>
        <v/>
      </c>
      <c r="U6" s="135" t="str">
        <f>IF(S6="","",VLOOKUP(T6,Table1[],2,TRUE))</f>
        <v/>
      </c>
      <c r="V6" s="136" t="str">
        <f>_xlfn.IFS(AND(Q6="",T6=""),"",OR(Q6="-",T6="-"),"-",AND(Q$3&lt;&gt;0,T$3&lt;&gt;0),VLOOKUP(AVERAGE(Q6,T6),Table1[],2,TRUE),AND(Q$3&lt;&gt;0,T$3=0),R6,TRUE,U6)</f>
        <v/>
      </c>
      <c r="W6" s="137"/>
      <c r="X6" s="137" t="str">
        <f t="shared" ref="X6:X40" si="4">IF(ISBLANK(W6),V6,W6)</f>
        <v/>
      </c>
      <c r="Y6" s="115" t="s">
        <v>18</v>
      </c>
    </row>
    <row r="7" spans="1:30" s="60" customFormat="1" x14ac:dyDescent="0.25">
      <c r="A7" s="128"/>
      <c r="B7" s="128"/>
      <c r="C7" s="128"/>
      <c r="D7" s="128"/>
      <c r="E7" s="128"/>
      <c r="F7" s="129"/>
      <c r="G7" s="128"/>
      <c r="H7" s="128"/>
      <c r="I7" s="128"/>
      <c r="J7" s="128"/>
      <c r="K7" s="129"/>
      <c r="L7" s="152"/>
      <c r="M7" s="152"/>
      <c r="N7" s="152"/>
      <c r="O7" s="128"/>
      <c r="P7" s="130" t="str">
        <f t="shared" si="0"/>
        <v/>
      </c>
      <c r="Q7" s="131" t="str">
        <f t="shared" si="1"/>
        <v/>
      </c>
      <c r="R7" s="132" t="str">
        <f>IF(P7="","",VLOOKUP(Q7,Table1[],2,TRUE))</f>
        <v/>
      </c>
      <c r="S7" s="138" t="str">
        <f t="shared" si="3"/>
        <v/>
      </c>
      <c r="T7" s="134" t="str">
        <f t="shared" si="2"/>
        <v/>
      </c>
      <c r="U7" s="135" t="str">
        <f>IF(S7="","",VLOOKUP(T7,Table1[],2,TRUE))</f>
        <v/>
      </c>
      <c r="V7" s="136" t="str">
        <f>_xlfn.IFS(AND(Q7="",T7=""),"",OR(Q7="-",T7="-"),"-",AND(Q$3&lt;&gt;0,T$3&lt;&gt;0),VLOOKUP(AVERAGE(Q7,T7),Table1[],2,TRUE),AND(Q$3&lt;&gt;0,T$3=0),R7,TRUE,U7)</f>
        <v/>
      </c>
      <c r="W7" s="137"/>
      <c r="X7" s="137" t="str">
        <f t="shared" si="4"/>
        <v/>
      </c>
      <c r="Y7" s="115" t="s">
        <v>18</v>
      </c>
    </row>
    <row r="8" spans="1:30" s="60" customFormat="1" x14ac:dyDescent="0.25">
      <c r="A8" s="128"/>
      <c r="B8" s="128"/>
      <c r="C8" s="128"/>
      <c r="D8" s="128"/>
      <c r="E8" s="128"/>
      <c r="F8" s="129"/>
      <c r="G8" s="128"/>
      <c r="H8" s="128"/>
      <c r="I8" s="128"/>
      <c r="J8" s="128"/>
      <c r="K8" s="129"/>
      <c r="L8" s="152"/>
      <c r="M8" s="152"/>
      <c r="N8" s="152"/>
      <c r="O8" s="128"/>
      <c r="P8" s="130" t="str">
        <f t="shared" si="0"/>
        <v/>
      </c>
      <c r="Q8" s="131" t="str">
        <f t="shared" si="1"/>
        <v/>
      </c>
      <c r="R8" s="132" t="str">
        <f>IF(P8="","",VLOOKUP(Q8,Table1[],2,TRUE))</f>
        <v/>
      </c>
      <c r="S8" s="138" t="str">
        <f t="shared" si="3"/>
        <v/>
      </c>
      <c r="T8" s="134" t="str">
        <f t="shared" si="2"/>
        <v/>
      </c>
      <c r="U8" s="135" t="str">
        <f>IF(S8="","",VLOOKUP(T8,Table1[],2,TRUE))</f>
        <v/>
      </c>
      <c r="V8" s="136" t="str">
        <f>_xlfn.IFS(AND(Q8="",T8=""),"",OR(Q8="-",T8="-"),"-",AND(Q$3&lt;&gt;0,T$3&lt;&gt;0),VLOOKUP(AVERAGE(Q8,T8),Table1[],2,TRUE),AND(Q$3&lt;&gt;0,T$3=0),R8,TRUE,U8)</f>
        <v/>
      </c>
      <c r="W8" s="137"/>
      <c r="X8" s="137" t="str">
        <f t="shared" si="4"/>
        <v/>
      </c>
      <c r="Y8" s="115" t="s">
        <v>18</v>
      </c>
    </row>
    <row r="9" spans="1:30" s="60" customFormat="1" x14ac:dyDescent="0.25">
      <c r="A9" s="128"/>
      <c r="B9" s="128"/>
      <c r="C9" s="128"/>
      <c r="D9" s="128"/>
      <c r="E9" s="128"/>
      <c r="F9" s="129"/>
      <c r="G9" s="128"/>
      <c r="H9" s="128"/>
      <c r="I9" s="128"/>
      <c r="J9" s="128"/>
      <c r="K9" s="129"/>
      <c r="L9" s="152"/>
      <c r="M9" s="152"/>
      <c r="N9" s="152"/>
      <c r="O9" s="128"/>
      <c r="P9" s="130" t="str">
        <f t="shared" si="0"/>
        <v/>
      </c>
      <c r="Q9" s="131" t="str">
        <f t="shared" si="1"/>
        <v/>
      </c>
      <c r="R9" s="132" t="str">
        <f>IF(P9="","",VLOOKUP(Q9,Table1[],2,TRUE))</f>
        <v/>
      </c>
      <c r="S9" s="138" t="str">
        <f t="shared" si="3"/>
        <v/>
      </c>
      <c r="T9" s="134" t="str">
        <f t="shared" si="2"/>
        <v/>
      </c>
      <c r="U9" s="135" t="str">
        <f>IF(S9="","",VLOOKUP(T9,Table1[],2,TRUE))</f>
        <v/>
      </c>
      <c r="V9" s="136" t="str">
        <f>_xlfn.IFS(AND(Q9="",T9=""),"",OR(Q9="-",T9="-"),"-",AND(Q$3&lt;&gt;0,T$3&lt;&gt;0),VLOOKUP(AVERAGE(Q9,T9),Table1[],2,TRUE),AND(Q$3&lt;&gt;0,T$3=0),R9,TRUE,U9)</f>
        <v/>
      </c>
      <c r="W9" s="137"/>
      <c r="X9" s="137" t="str">
        <f t="shared" si="4"/>
        <v/>
      </c>
      <c r="Y9" s="115" t="s">
        <v>18</v>
      </c>
    </row>
    <row r="10" spans="1:30" s="60" customFormat="1" x14ac:dyDescent="0.25">
      <c r="A10" s="128"/>
      <c r="B10" s="128"/>
      <c r="C10" s="128"/>
      <c r="D10" s="128"/>
      <c r="E10" s="128"/>
      <c r="F10" s="129"/>
      <c r="G10" s="128"/>
      <c r="H10" s="128"/>
      <c r="I10" s="128"/>
      <c r="J10" s="128"/>
      <c r="K10" s="129"/>
      <c r="L10" s="152"/>
      <c r="M10" s="152"/>
      <c r="N10" s="152"/>
      <c r="O10" s="128"/>
      <c r="P10" s="130" t="str">
        <f t="shared" si="0"/>
        <v/>
      </c>
      <c r="Q10" s="131" t="str">
        <f t="shared" si="1"/>
        <v/>
      </c>
      <c r="R10" s="132" t="str">
        <f>IF(P10="","",VLOOKUP(Q10,Table1[],2,TRUE))</f>
        <v/>
      </c>
      <c r="S10" s="138" t="str">
        <f t="shared" si="3"/>
        <v/>
      </c>
      <c r="T10" s="134" t="str">
        <f t="shared" si="2"/>
        <v/>
      </c>
      <c r="U10" s="135" t="str">
        <f>IF(S10="","",VLOOKUP(T10,Table1[],2,TRUE))</f>
        <v/>
      </c>
      <c r="V10" s="136" t="str">
        <f>_xlfn.IFS(AND(Q10="",T10=""),"",OR(Q10="-",T10="-"),"-",AND(Q$3&lt;&gt;0,T$3&lt;&gt;0),VLOOKUP(AVERAGE(Q10,T10),Table1[],2,TRUE),AND(Q$3&lt;&gt;0,T$3=0),R10,TRUE,U10)</f>
        <v/>
      </c>
      <c r="W10" s="137"/>
      <c r="X10" s="137" t="str">
        <f t="shared" si="4"/>
        <v/>
      </c>
      <c r="Y10" s="115" t="s">
        <v>18</v>
      </c>
    </row>
    <row r="11" spans="1:30" s="60" customFormat="1" x14ac:dyDescent="0.25">
      <c r="A11" s="128"/>
      <c r="B11" s="128"/>
      <c r="C11" s="128"/>
      <c r="D11" s="128"/>
      <c r="E11" s="128"/>
      <c r="F11" s="129"/>
      <c r="G11" s="128"/>
      <c r="H11" s="128"/>
      <c r="I11" s="128"/>
      <c r="J11" s="128"/>
      <c r="K11" s="129"/>
      <c r="L11" s="152"/>
      <c r="M11" s="152"/>
      <c r="N11" s="152"/>
      <c r="O11" s="128"/>
      <c r="P11" s="130" t="str">
        <f t="shared" si="0"/>
        <v/>
      </c>
      <c r="Q11" s="131" t="str">
        <f t="shared" si="1"/>
        <v/>
      </c>
      <c r="R11" s="132" t="str">
        <f>IF(P11="","",VLOOKUP(Q11,Table1[],2,TRUE))</f>
        <v/>
      </c>
      <c r="S11" s="138" t="str">
        <f t="shared" si="3"/>
        <v/>
      </c>
      <c r="T11" s="134" t="str">
        <f t="shared" si="2"/>
        <v/>
      </c>
      <c r="U11" s="135" t="str">
        <f>IF(S11="","",VLOOKUP(T11,Table1[],2,TRUE))</f>
        <v/>
      </c>
      <c r="V11" s="136" t="str">
        <f>_xlfn.IFS(AND(Q11="",T11=""),"",OR(Q11="-",T11="-"),"-",AND(Q$3&lt;&gt;0,T$3&lt;&gt;0),VLOOKUP(AVERAGE(Q11,T11),Table1[],2,TRUE),AND(Q$3&lt;&gt;0,T$3=0),R11,TRUE,U11)</f>
        <v/>
      </c>
      <c r="W11" s="137"/>
      <c r="X11" s="137" t="str">
        <f t="shared" si="4"/>
        <v/>
      </c>
      <c r="Y11" s="115" t="s">
        <v>18</v>
      </c>
    </row>
    <row r="12" spans="1:30" s="60" customFormat="1" x14ac:dyDescent="0.25">
      <c r="A12" s="128"/>
      <c r="B12" s="128"/>
      <c r="C12" s="128"/>
      <c r="D12" s="128"/>
      <c r="E12" s="128"/>
      <c r="F12" s="129"/>
      <c r="G12" s="128"/>
      <c r="H12" s="128"/>
      <c r="I12" s="128"/>
      <c r="J12" s="128"/>
      <c r="K12" s="129"/>
      <c r="L12" s="152"/>
      <c r="M12" s="152"/>
      <c r="N12" s="152"/>
      <c r="O12" s="128"/>
      <c r="P12" s="130" t="str">
        <f t="shared" si="0"/>
        <v/>
      </c>
      <c r="Q12" s="131" t="str">
        <f t="shared" si="1"/>
        <v/>
      </c>
      <c r="R12" s="132" t="str">
        <f>IF(P12="","",VLOOKUP(Q12,Table1[],2,TRUE))</f>
        <v/>
      </c>
      <c r="S12" s="138" t="str">
        <f t="shared" si="3"/>
        <v/>
      </c>
      <c r="T12" s="134" t="str">
        <f t="shared" si="2"/>
        <v/>
      </c>
      <c r="U12" s="135" t="str">
        <f>IF(S12="","",VLOOKUP(T12,Table1[],2,TRUE))</f>
        <v/>
      </c>
      <c r="V12" s="136" t="str">
        <f>_xlfn.IFS(AND(Q12="",T12=""),"",OR(Q12="-",T12="-"),"-",AND(Q$3&lt;&gt;0,T$3&lt;&gt;0),VLOOKUP(AVERAGE(Q12,T12),Table1[],2,TRUE),AND(Q$3&lt;&gt;0,T$3=0),R12,TRUE,U12)</f>
        <v/>
      </c>
      <c r="W12" s="137"/>
      <c r="X12" s="137" t="str">
        <f t="shared" si="4"/>
        <v/>
      </c>
      <c r="Y12" s="115" t="s">
        <v>18</v>
      </c>
    </row>
    <row r="13" spans="1:30" s="60" customFormat="1" x14ac:dyDescent="0.25">
      <c r="A13" s="128"/>
      <c r="B13" s="128"/>
      <c r="C13" s="128"/>
      <c r="D13" s="128"/>
      <c r="E13" s="128"/>
      <c r="F13" s="129"/>
      <c r="G13" s="128"/>
      <c r="H13" s="128"/>
      <c r="I13" s="128"/>
      <c r="J13" s="128"/>
      <c r="K13" s="129"/>
      <c r="L13" s="152"/>
      <c r="M13" s="152"/>
      <c r="N13" s="152"/>
      <c r="O13" s="128"/>
      <c r="P13" s="130" t="str">
        <f t="shared" si="0"/>
        <v/>
      </c>
      <c r="Q13" s="131" t="str">
        <f t="shared" si="1"/>
        <v/>
      </c>
      <c r="R13" s="132" t="str">
        <f>IF(P13="","",VLOOKUP(Q13,Table1[],2,TRUE))</f>
        <v/>
      </c>
      <c r="S13" s="138" t="str">
        <f t="shared" si="3"/>
        <v/>
      </c>
      <c r="T13" s="134" t="str">
        <f t="shared" si="2"/>
        <v/>
      </c>
      <c r="U13" s="135" t="str">
        <f>IF(S13="","",VLOOKUP(T13,Table1[],2,TRUE))</f>
        <v/>
      </c>
      <c r="V13" s="136" t="str">
        <f>_xlfn.IFS(AND(Q13="",T13=""),"",OR(Q13="-",T13="-"),"-",AND(Q$3&lt;&gt;0,T$3&lt;&gt;0),VLOOKUP(AVERAGE(Q13,T13),Table1[],2,TRUE),AND(Q$3&lt;&gt;0,T$3=0),R13,TRUE,U13)</f>
        <v/>
      </c>
      <c r="W13" s="137"/>
      <c r="X13" s="137" t="str">
        <f t="shared" si="4"/>
        <v/>
      </c>
      <c r="Y13" s="115" t="s">
        <v>18</v>
      </c>
    </row>
    <row r="14" spans="1:30" s="60" customFormat="1" x14ac:dyDescent="0.25">
      <c r="A14" s="128"/>
      <c r="B14" s="128"/>
      <c r="C14" s="128"/>
      <c r="D14" s="128"/>
      <c r="E14" s="128"/>
      <c r="F14" s="129"/>
      <c r="G14" s="128"/>
      <c r="H14" s="128"/>
      <c r="I14" s="128"/>
      <c r="J14" s="128"/>
      <c r="K14" s="129"/>
      <c r="L14" s="152"/>
      <c r="M14" s="152"/>
      <c r="N14" s="152"/>
      <c r="O14" s="128"/>
      <c r="P14" s="130" t="str">
        <f t="shared" si="0"/>
        <v/>
      </c>
      <c r="Q14" s="131" t="str">
        <f t="shared" si="1"/>
        <v/>
      </c>
      <c r="R14" s="132" t="str">
        <f>IF(P14="","",VLOOKUP(Q14,Table1[],2,TRUE))</f>
        <v/>
      </c>
      <c r="S14" s="138" t="str">
        <f t="shared" si="3"/>
        <v/>
      </c>
      <c r="T14" s="134" t="str">
        <f t="shared" si="2"/>
        <v/>
      </c>
      <c r="U14" s="135" t="str">
        <f>IF(S14="","",VLOOKUP(T14,Table1[],2,TRUE))</f>
        <v/>
      </c>
      <c r="V14" s="136" t="str">
        <f>_xlfn.IFS(AND(Q14="",T14=""),"",OR(Q14="-",T14="-"),"-",AND(Q$3&lt;&gt;0,T$3&lt;&gt;0),VLOOKUP(AVERAGE(Q14,T14),Table1[],2,TRUE),AND(Q$3&lt;&gt;0,T$3=0),R14,TRUE,U14)</f>
        <v/>
      </c>
      <c r="W14" s="137"/>
      <c r="X14" s="137" t="str">
        <f t="shared" si="4"/>
        <v/>
      </c>
      <c r="Y14" s="115" t="s">
        <v>18</v>
      </c>
    </row>
    <row r="15" spans="1:30" s="60" customFormat="1" x14ac:dyDescent="0.25">
      <c r="A15" s="128"/>
      <c r="B15" s="128"/>
      <c r="C15" s="128"/>
      <c r="D15" s="128"/>
      <c r="E15" s="128"/>
      <c r="F15" s="129"/>
      <c r="G15" s="128"/>
      <c r="H15" s="128"/>
      <c r="I15" s="128"/>
      <c r="J15" s="128"/>
      <c r="K15" s="129"/>
      <c r="L15" s="152"/>
      <c r="M15" s="152"/>
      <c r="N15" s="152"/>
      <c r="O15" s="128"/>
      <c r="P15" s="130" t="str">
        <f t="shared" si="0"/>
        <v/>
      </c>
      <c r="Q15" s="131" t="str">
        <f t="shared" si="1"/>
        <v/>
      </c>
      <c r="R15" s="132" t="str">
        <f>IF(P15="","",VLOOKUP(Q15,Table1[],2,TRUE))</f>
        <v/>
      </c>
      <c r="S15" s="138" t="str">
        <f t="shared" si="3"/>
        <v/>
      </c>
      <c r="T15" s="134" t="str">
        <f t="shared" si="2"/>
        <v/>
      </c>
      <c r="U15" s="135" t="str">
        <f>IF(S15="","",VLOOKUP(T15,Table1[],2,TRUE))</f>
        <v/>
      </c>
      <c r="V15" s="136" t="str">
        <f>_xlfn.IFS(AND(Q15="",T15=""),"",OR(Q15="-",T15="-"),"-",AND(Q$3&lt;&gt;0,T$3&lt;&gt;0),VLOOKUP(AVERAGE(Q15,T15),Table1[],2,TRUE),AND(Q$3&lt;&gt;0,T$3=0),R15,TRUE,U15)</f>
        <v/>
      </c>
      <c r="W15" s="137"/>
      <c r="X15" s="137" t="str">
        <f t="shared" si="4"/>
        <v/>
      </c>
      <c r="Y15" s="115" t="s">
        <v>18</v>
      </c>
    </row>
    <row r="16" spans="1:30" s="60" customFormat="1" x14ac:dyDescent="0.25">
      <c r="A16" s="128"/>
      <c r="B16" s="128"/>
      <c r="C16" s="128"/>
      <c r="D16" s="128"/>
      <c r="E16" s="128"/>
      <c r="F16" s="129"/>
      <c r="G16" s="128"/>
      <c r="H16" s="128"/>
      <c r="I16" s="128"/>
      <c r="J16" s="128"/>
      <c r="K16" s="129"/>
      <c r="L16" s="152"/>
      <c r="M16" s="152"/>
      <c r="N16" s="152"/>
      <c r="O16" s="128"/>
      <c r="P16" s="130" t="str">
        <f t="shared" si="0"/>
        <v/>
      </c>
      <c r="Q16" s="131" t="str">
        <f t="shared" si="1"/>
        <v/>
      </c>
      <c r="R16" s="132" t="str">
        <f>IF(P16="","",VLOOKUP(Q16,Table1[],2,TRUE))</f>
        <v/>
      </c>
      <c r="S16" s="138" t="str">
        <f t="shared" si="3"/>
        <v/>
      </c>
      <c r="T16" s="134" t="str">
        <f t="shared" si="2"/>
        <v/>
      </c>
      <c r="U16" s="135" t="str">
        <f>IF(S16="","",VLOOKUP(T16,Table1[],2,TRUE))</f>
        <v/>
      </c>
      <c r="V16" s="136" t="str">
        <f>_xlfn.IFS(AND(Q16="",T16=""),"",OR(Q16="-",T16="-"),"-",AND(Q$3&lt;&gt;0,T$3&lt;&gt;0),VLOOKUP(AVERAGE(Q16,T16),Table1[],2,TRUE),AND(Q$3&lt;&gt;0,T$3=0),R16,TRUE,U16)</f>
        <v/>
      </c>
      <c r="W16" s="137"/>
      <c r="X16" s="137" t="str">
        <f t="shared" si="4"/>
        <v/>
      </c>
      <c r="Y16" s="115" t="s">
        <v>18</v>
      </c>
    </row>
    <row r="17" spans="1:25" s="60" customFormat="1" x14ac:dyDescent="0.25">
      <c r="A17" s="128"/>
      <c r="B17" s="128"/>
      <c r="C17" s="128"/>
      <c r="D17" s="128"/>
      <c r="E17" s="128"/>
      <c r="F17" s="129"/>
      <c r="G17" s="128"/>
      <c r="H17" s="128"/>
      <c r="I17" s="128"/>
      <c r="J17" s="128"/>
      <c r="K17" s="129"/>
      <c r="L17" s="152"/>
      <c r="M17" s="152"/>
      <c r="N17" s="152"/>
      <c r="O17" s="128"/>
      <c r="P17" s="130" t="str">
        <f t="shared" si="0"/>
        <v/>
      </c>
      <c r="Q17" s="131" t="str">
        <f t="shared" si="1"/>
        <v/>
      </c>
      <c r="R17" s="132" t="str">
        <f>IF(P17="","",VLOOKUP(Q17,Table1[],2,TRUE))</f>
        <v/>
      </c>
      <c r="S17" s="138" t="str">
        <f t="shared" si="3"/>
        <v/>
      </c>
      <c r="T17" s="134" t="str">
        <f t="shared" si="2"/>
        <v/>
      </c>
      <c r="U17" s="135" t="str">
        <f>IF(S17="","",VLOOKUP(T17,Table1[],2,TRUE))</f>
        <v/>
      </c>
      <c r="V17" s="136" t="str">
        <f>_xlfn.IFS(AND(Q17="",T17=""),"",OR(Q17="-",T17="-"),"-",AND(Q$3&lt;&gt;0,T$3&lt;&gt;0),VLOOKUP(AVERAGE(Q17,T17),Table1[],2,TRUE),AND(Q$3&lt;&gt;0,T$3=0),R17,TRUE,U17)</f>
        <v/>
      </c>
      <c r="W17" s="137"/>
      <c r="X17" s="137" t="str">
        <f t="shared" si="4"/>
        <v/>
      </c>
      <c r="Y17" s="115" t="s">
        <v>18</v>
      </c>
    </row>
    <row r="18" spans="1:25" s="60" customFormat="1" x14ac:dyDescent="0.25">
      <c r="A18" s="128"/>
      <c r="B18" s="128"/>
      <c r="C18" s="128"/>
      <c r="D18" s="128"/>
      <c r="E18" s="128"/>
      <c r="F18" s="129"/>
      <c r="G18" s="128"/>
      <c r="H18" s="128"/>
      <c r="I18" s="128"/>
      <c r="J18" s="128"/>
      <c r="K18" s="129"/>
      <c r="L18" s="152"/>
      <c r="M18" s="152"/>
      <c r="N18" s="152"/>
      <c r="O18" s="128"/>
      <c r="P18" s="130" t="str">
        <f t="shared" si="0"/>
        <v/>
      </c>
      <c r="Q18" s="131" t="str">
        <f t="shared" si="1"/>
        <v/>
      </c>
      <c r="R18" s="132" t="str">
        <f>IF(P18="","",VLOOKUP(Q18,Table1[],2,TRUE))</f>
        <v/>
      </c>
      <c r="S18" s="138" t="str">
        <f t="shared" si="3"/>
        <v/>
      </c>
      <c r="T18" s="134" t="str">
        <f t="shared" si="2"/>
        <v/>
      </c>
      <c r="U18" s="135" t="str">
        <f>IF(S18="","",VLOOKUP(T18,Table1[],2,TRUE))</f>
        <v/>
      </c>
      <c r="V18" s="136" t="str">
        <f>_xlfn.IFS(AND(Q18="",T18=""),"",OR(Q18="-",T18="-"),"-",AND(Q$3&lt;&gt;0,T$3&lt;&gt;0),VLOOKUP(AVERAGE(Q18,T18),Table1[],2,TRUE),AND(Q$3&lt;&gt;0,T$3=0),R18,TRUE,U18)</f>
        <v/>
      </c>
      <c r="W18" s="137"/>
      <c r="X18" s="137" t="str">
        <f t="shared" si="4"/>
        <v/>
      </c>
      <c r="Y18" s="115" t="s">
        <v>18</v>
      </c>
    </row>
    <row r="19" spans="1:25" s="60" customFormat="1" x14ac:dyDescent="0.25">
      <c r="A19" s="128"/>
      <c r="B19" s="128"/>
      <c r="C19" s="128"/>
      <c r="D19" s="128"/>
      <c r="E19" s="128"/>
      <c r="F19" s="129"/>
      <c r="G19" s="128"/>
      <c r="H19" s="128"/>
      <c r="I19" s="128"/>
      <c r="J19" s="128"/>
      <c r="K19" s="129"/>
      <c r="L19" s="152"/>
      <c r="M19" s="152"/>
      <c r="N19" s="152"/>
      <c r="O19" s="128"/>
      <c r="P19" s="130" t="str">
        <f t="shared" si="0"/>
        <v/>
      </c>
      <c r="Q19" s="131" t="str">
        <f t="shared" si="1"/>
        <v/>
      </c>
      <c r="R19" s="132" t="str">
        <f>IF(P19="","",VLOOKUP(Q19,Table1[],2,TRUE))</f>
        <v/>
      </c>
      <c r="S19" s="138" t="str">
        <f t="shared" si="3"/>
        <v/>
      </c>
      <c r="T19" s="134" t="str">
        <f t="shared" si="2"/>
        <v/>
      </c>
      <c r="U19" s="135" t="str">
        <f>IF(S19="","",VLOOKUP(T19,Table1[],2,TRUE))</f>
        <v/>
      </c>
      <c r="V19" s="136" t="str">
        <f>_xlfn.IFS(AND(Q19="",T19=""),"",OR(Q19="-",T19="-"),"-",AND(Q$3&lt;&gt;0,T$3&lt;&gt;0),VLOOKUP(AVERAGE(Q19,T19),Table1[],2,TRUE),AND(Q$3&lt;&gt;0,T$3=0),R19,TRUE,U19)</f>
        <v/>
      </c>
      <c r="W19" s="137"/>
      <c r="X19" s="137" t="str">
        <f t="shared" si="4"/>
        <v/>
      </c>
      <c r="Y19" s="115" t="s">
        <v>18</v>
      </c>
    </row>
    <row r="20" spans="1:25" s="60" customFormat="1" x14ac:dyDescent="0.25">
      <c r="A20" s="128"/>
      <c r="B20" s="128"/>
      <c r="C20" s="128"/>
      <c r="D20" s="128"/>
      <c r="E20" s="128"/>
      <c r="F20" s="129"/>
      <c r="G20" s="128"/>
      <c r="H20" s="128"/>
      <c r="I20" s="128"/>
      <c r="J20" s="128"/>
      <c r="K20" s="129"/>
      <c r="L20" s="152"/>
      <c r="M20" s="152"/>
      <c r="N20" s="152"/>
      <c r="O20" s="128"/>
      <c r="P20" s="130" t="str">
        <f t="shared" si="0"/>
        <v/>
      </c>
      <c r="Q20" s="131" t="str">
        <f t="shared" si="1"/>
        <v/>
      </c>
      <c r="R20" s="132" t="str">
        <f>IF(P20="","",VLOOKUP(Q20,Table1[],2,TRUE))</f>
        <v/>
      </c>
      <c r="S20" s="138" t="str">
        <f t="shared" si="3"/>
        <v/>
      </c>
      <c r="T20" s="134" t="str">
        <f t="shared" si="2"/>
        <v/>
      </c>
      <c r="U20" s="135" t="str">
        <f>IF(S20="","",VLOOKUP(T20,Table1[],2,TRUE))</f>
        <v/>
      </c>
      <c r="V20" s="136" t="str">
        <f>_xlfn.IFS(AND(Q20="",T20=""),"",OR(Q20="-",T20="-"),"-",AND(Q$3&lt;&gt;0,T$3&lt;&gt;0),VLOOKUP(AVERAGE(Q20,T20),Table1[],2,TRUE),AND(Q$3&lt;&gt;0,T$3=0),R20,TRUE,U20)</f>
        <v/>
      </c>
      <c r="W20" s="137"/>
      <c r="X20" s="137" t="str">
        <f t="shared" si="4"/>
        <v/>
      </c>
      <c r="Y20" s="115" t="s">
        <v>18</v>
      </c>
    </row>
    <row r="21" spans="1:25" s="60" customFormat="1" x14ac:dyDescent="0.25">
      <c r="A21" s="128"/>
      <c r="B21" s="128"/>
      <c r="C21" s="128"/>
      <c r="D21" s="128"/>
      <c r="E21" s="128"/>
      <c r="F21" s="129"/>
      <c r="G21" s="128"/>
      <c r="H21" s="128"/>
      <c r="I21" s="128"/>
      <c r="J21" s="128"/>
      <c r="K21" s="129"/>
      <c r="L21" s="152"/>
      <c r="M21" s="152"/>
      <c r="N21" s="152"/>
      <c r="O21" s="128"/>
      <c r="P21" s="130" t="str">
        <f t="shared" si="0"/>
        <v/>
      </c>
      <c r="Q21" s="131" t="str">
        <f t="shared" si="1"/>
        <v/>
      </c>
      <c r="R21" s="132" t="str">
        <f>IF(P21="","",VLOOKUP(Q21,Table1[],2,TRUE))</f>
        <v/>
      </c>
      <c r="S21" s="138" t="str">
        <f t="shared" si="3"/>
        <v/>
      </c>
      <c r="T21" s="134" t="str">
        <f t="shared" si="2"/>
        <v/>
      </c>
      <c r="U21" s="135" t="str">
        <f>IF(S21="","",VLOOKUP(T21,Table1[],2,TRUE))</f>
        <v/>
      </c>
      <c r="V21" s="136" t="str">
        <f>_xlfn.IFS(AND(Q21="",T21=""),"",OR(Q21="-",T21="-"),"-",AND(Q$3&lt;&gt;0,T$3&lt;&gt;0),VLOOKUP(AVERAGE(Q21,T21),Table1[],2,TRUE),AND(Q$3&lt;&gt;0,T$3=0),R21,TRUE,U21)</f>
        <v/>
      </c>
      <c r="W21" s="137"/>
      <c r="X21" s="137" t="str">
        <f t="shared" si="4"/>
        <v/>
      </c>
      <c r="Y21" s="115" t="s">
        <v>18</v>
      </c>
    </row>
    <row r="22" spans="1:25" s="60" customFormat="1" x14ac:dyDescent="0.25">
      <c r="A22" s="128"/>
      <c r="B22" s="128"/>
      <c r="C22" s="128"/>
      <c r="D22" s="128"/>
      <c r="E22" s="128"/>
      <c r="F22" s="129"/>
      <c r="G22" s="128"/>
      <c r="H22" s="128"/>
      <c r="I22" s="128"/>
      <c r="J22" s="128"/>
      <c r="K22" s="129"/>
      <c r="L22" s="152"/>
      <c r="M22" s="152"/>
      <c r="N22" s="152"/>
      <c r="O22" s="128"/>
      <c r="P22" s="130" t="str">
        <f t="shared" si="0"/>
        <v/>
      </c>
      <c r="Q22" s="131" t="str">
        <f t="shared" si="1"/>
        <v/>
      </c>
      <c r="R22" s="132" t="str">
        <f>IF(P22="","",VLOOKUP(Q22,Table1[],2,TRUE))</f>
        <v/>
      </c>
      <c r="S22" s="138" t="str">
        <f t="shared" si="3"/>
        <v/>
      </c>
      <c r="T22" s="134" t="str">
        <f t="shared" si="2"/>
        <v/>
      </c>
      <c r="U22" s="135" t="str">
        <f>IF(S22="","",VLOOKUP(T22,Table1[],2,TRUE))</f>
        <v/>
      </c>
      <c r="V22" s="136" t="str">
        <f>_xlfn.IFS(AND(Q22="",T22=""),"",OR(Q22="-",T22="-"),"-",AND(Q$3&lt;&gt;0,T$3&lt;&gt;0),VLOOKUP(AVERAGE(Q22,T22),Table1[],2,TRUE),AND(Q$3&lt;&gt;0,T$3=0),R22,TRUE,U22)</f>
        <v/>
      </c>
      <c r="W22" s="137"/>
      <c r="X22" s="137" t="str">
        <f t="shared" si="4"/>
        <v/>
      </c>
      <c r="Y22" s="115" t="s">
        <v>18</v>
      </c>
    </row>
    <row r="23" spans="1:25" s="60" customFormat="1" x14ac:dyDescent="0.25">
      <c r="A23" s="128"/>
      <c r="B23" s="128"/>
      <c r="C23" s="128"/>
      <c r="D23" s="128"/>
      <c r="E23" s="128"/>
      <c r="F23" s="129"/>
      <c r="G23" s="128"/>
      <c r="H23" s="128"/>
      <c r="I23" s="128"/>
      <c r="J23" s="128"/>
      <c r="K23" s="129"/>
      <c r="L23" s="152"/>
      <c r="M23" s="152"/>
      <c r="N23" s="152"/>
      <c r="O23" s="128"/>
      <c r="P23" s="130" t="str">
        <f t="shared" si="0"/>
        <v/>
      </c>
      <c r="Q23" s="131" t="str">
        <f t="shared" si="1"/>
        <v/>
      </c>
      <c r="R23" s="132" t="str">
        <f>IF(P23="","",VLOOKUP(Q23,Table1[],2,TRUE))</f>
        <v/>
      </c>
      <c r="S23" s="138" t="str">
        <f t="shared" si="3"/>
        <v/>
      </c>
      <c r="T23" s="134" t="str">
        <f t="shared" si="2"/>
        <v/>
      </c>
      <c r="U23" s="135" t="str">
        <f>IF(S23="","",VLOOKUP(T23,Table1[],2,TRUE))</f>
        <v/>
      </c>
      <c r="V23" s="136" t="str">
        <f>_xlfn.IFS(AND(Q23="",T23=""),"",OR(Q23="-",T23="-"),"-",AND(Q$3&lt;&gt;0,T$3&lt;&gt;0),VLOOKUP(AVERAGE(Q23,T23),Table1[],2,TRUE),AND(Q$3&lt;&gt;0,T$3=0),R23,TRUE,U23)</f>
        <v/>
      </c>
      <c r="W23" s="137"/>
      <c r="X23" s="137" t="str">
        <f t="shared" si="4"/>
        <v/>
      </c>
      <c r="Y23" s="115" t="s">
        <v>18</v>
      </c>
    </row>
    <row r="24" spans="1:25" s="60" customFormat="1" x14ac:dyDescent="0.25">
      <c r="A24" s="128"/>
      <c r="B24" s="128"/>
      <c r="C24" s="128"/>
      <c r="D24" s="128"/>
      <c r="E24" s="128"/>
      <c r="F24" s="129"/>
      <c r="G24" s="128"/>
      <c r="H24" s="128"/>
      <c r="I24" s="128"/>
      <c r="J24" s="128"/>
      <c r="K24" s="129"/>
      <c r="L24" s="152"/>
      <c r="M24" s="152"/>
      <c r="N24" s="152"/>
      <c r="O24" s="128"/>
      <c r="P24" s="130" t="str">
        <f t="shared" si="0"/>
        <v/>
      </c>
      <c r="Q24" s="131" t="str">
        <f t="shared" si="1"/>
        <v/>
      </c>
      <c r="R24" s="132" t="str">
        <f>IF(P24="","",VLOOKUP(Q24,Table1[],2,TRUE))</f>
        <v/>
      </c>
      <c r="S24" s="138" t="str">
        <f t="shared" si="3"/>
        <v/>
      </c>
      <c r="T24" s="134" t="str">
        <f t="shared" si="2"/>
        <v/>
      </c>
      <c r="U24" s="135" t="str">
        <f>IF(S24="","",VLOOKUP(T24,Table1[],2,TRUE))</f>
        <v/>
      </c>
      <c r="V24" s="136" t="str">
        <f>_xlfn.IFS(AND(Q24="",T24=""),"",OR(Q24="-",T24="-"),"-",AND(Q$3&lt;&gt;0,T$3&lt;&gt;0),VLOOKUP(AVERAGE(Q24,T24),Table1[],2,TRUE),AND(Q$3&lt;&gt;0,T$3=0),R24,TRUE,U24)</f>
        <v/>
      </c>
      <c r="W24" s="137"/>
      <c r="X24" s="137" t="str">
        <f t="shared" si="4"/>
        <v/>
      </c>
      <c r="Y24" s="115" t="s">
        <v>18</v>
      </c>
    </row>
    <row r="25" spans="1:25" s="60" customFormat="1" x14ac:dyDescent="0.25">
      <c r="A25" s="128"/>
      <c r="B25" s="128"/>
      <c r="C25" s="128"/>
      <c r="D25" s="128"/>
      <c r="E25" s="128"/>
      <c r="F25" s="129"/>
      <c r="G25" s="128"/>
      <c r="H25" s="128"/>
      <c r="I25" s="128"/>
      <c r="J25" s="128"/>
      <c r="K25" s="129"/>
      <c r="L25" s="152"/>
      <c r="M25" s="152"/>
      <c r="N25" s="152"/>
      <c r="O25" s="128"/>
      <c r="P25" s="130" t="str">
        <f t="shared" si="0"/>
        <v/>
      </c>
      <c r="Q25" s="131" t="str">
        <f t="shared" si="1"/>
        <v/>
      </c>
      <c r="R25" s="132" t="str">
        <f>IF(P25="","",VLOOKUP(Q25,Table1[],2,TRUE))</f>
        <v/>
      </c>
      <c r="S25" s="138" t="str">
        <f t="shared" si="3"/>
        <v/>
      </c>
      <c r="T25" s="134" t="str">
        <f t="shared" si="2"/>
        <v/>
      </c>
      <c r="U25" s="135" t="str">
        <f>IF(S25="","",VLOOKUP(T25,Table1[],2,TRUE))</f>
        <v/>
      </c>
      <c r="V25" s="136" t="str">
        <f>_xlfn.IFS(AND(Q25="",T25=""),"",OR(Q25="-",T25="-"),"-",AND(Q$3&lt;&gt;0,T$3&lt;&gt;0),VLOOKUP(AVERAGE(Q25,T25),Table1[],2,TRUE),AND(Q$3&lt;&gt;0,T$3=0),R25,TRUE,U25)</f>
        <v/>
      </c>
      <c r="W25" s="137"/>
      <c r="X25" s="137" t="str">
        <f t="shared" si="4"/>
        <v/>
      </c>
      <c r="Y25" s="115" t="s">
        <v>18</v>
      </c>
    </row>
    <row r="26" spans="1:25" s="60" customFormat="1" x14ac:dyDescent="0.25">
      <c r="A26" s="128"/>
      <c r="B26" s="128"/>
      <c r="C26" s="128"/>
      <c r="D26" s="128"/>
      <c r="E26" s="128"/>
      <c r="F26" s="129"/>
      <c r="G26" s="128"/>
      <c r="H26" s="128"/>
      <c r="I26" s="128"/>
      <c r="J26" s="128"/>
      <c r="K26" s="129"/>
      <c r="L26" s="152"/>
      <c r="M26" s="152"/>
      <c r="N26" s="152"/>
      <c r="O26" s="128"/>
      <c r="P26" s="130" t="str">
        <f t="shared" si="0"/>
        <v/>
      </c>
      <c r="Q26" s="131" t="str">
        <f t="shared" si="1"/>
        <v/>
      </c>
      <c r="R26" s="132" t="str">
        <f>IF(P26="","",VLOOKUP(Q26,Table1[],2,TRUE))</f>
        <v/>
      </c>
      <c r="S26" s="138" t="str">
        <f t="shared" si="3"/>
        <v/>
      </c>
      <c r="T26" s="134" t="str">
        <f t="shared" si="2"/>
        <v/>
      </c>
      <c r="U26" s="135" t="str">
        <f>IF(S26="","",VLOOKUP(T26,Table1[],2,TRUE))</f>
        <v/>
      </c>
      <c r="V26" s="136" t="str">
        <f>_xlfn.IFS(AND(Q26="",T26=""),"",OR(Q26="-",T26="-"),"-",AND(Q$3&lt;&gt;0,T$3&lt;&gt;0),VLOOKUP(AVERAGE(Q26,T26),Table1[],2,TRUE),AND(Q$3&lt;&gt;0,T$3=0),R26,TRUE,U26)</f>
        <v/>
      </c>
      <c r="W26" s="137"/>
      <c r="X26" s="137" t="str">
        <f t="shared" si="4"/>
        <v/>
      </c>
      <c r="Y26" s="115" t="s">
        <v>18</v>
      </c>
    </row>
    <row r="27" spans="1:25" s="60" customFormat="1" x14ac:dyDescent="0.25">
      <c r="A27" s="128"/>
      <c r="B27" s="128"/>
      <c r="C27" s="128"/>
      <c r="D27" s="128"/>
      <c r="E27" s="128"/>
      <c r="F27" s="129"/>
      <c r="G27" s="128"/>
      <c r="H27" s="128"/>
      <c r="I27" s="128"/>
      <c r="J27" s="128"/>
      <c r="K27" s="129"/>
      <c r="L27" s="152"/>
      <c r="M27" s="152"/>
      <c r="N27" s="152"/>
      <c r="O27" s="128"/>
      <c r="P27" s="130" t="str">
        <f t="shared" si="0"/>
        <v/>
      </c>
      <c r="Q27" s="131" t="str">
        <f t="shared" si="1"/>
        <v/>
      </c>
      <c r="R27" s="132" t="str">
        <f>IF(P27="","",VLOOKUP(Q27,Table1[],2,TRUE))</f>
        <v/>
      </c>
      <c r="S27" s="138" t="str">
        <f t="shared" si="3"/>
        <v/>
      </c>
      <c r="T27" s="134" t="str">
        <f t="shared" si="2"/>
        <v/>
      </c>
      <c r="U27" s="135" t="str">
        <f>IF(S27="","",VLOOKUP(T27,Table1[],2,TRUE))</f>
        <v/>
      </c>
      <c r="V27" s="136" t="str">
        <f>_xlfn.IFS(AND(Q27="",T27=""),"",OR(Q27="-",T27="-"),"-",AND(Q$3&lt;&gt;0,T$3&lt;&gt;0),VLOOKUP(AVERAGE(Q27,T27),Table1[],2,TRUE),AND(Q$3&lt;&gt;0,T$3=0),R27,TRUE,U27)</f>
        <v/>
      </c>
      <c r="W27" s="137"/>
      <c r="X27" s="137" t="str">
        <f t="shared" si="4"/>
        <v/>
      </c>
      <c r="Y27" s="115" t="s">
        <v>18</v>
      </c>
    </row>
    <row r="28" spans="1:25" s="60" customFormat="1" x14ac:dyDescent="0.25">
      <c r="A28" s="128"/>
      <c r="B28" s="128"/>
      <c r="C28" s="128"/>
      <c r="D28" s="128"/>
      <c r="E28" s="128"/>
      <c r="F28" s="129"/>
      <c r="G28" s="128"/>
      <c r="H28" s="128"/>
      <c r="I28" s="128"/>
      <c r="J28" s="128"/>
      <c r="K28" s="129"/>
      <c r="L28" s="152"/>
      <c r="M28" s="152"/>
      <c r="N28" s="152"/>
      <c r="O28" s="128"/>
      <c r="P28" s="130" t="str">
        <f t="shared" si="0"/>
        <v/>
      </c>
      <c r="Q28" s="131" t="str">
        <f t="shared" si="1"/>
        <v/>
      </c>
      <c r="R28" s="132" t="str">
        <f>IF(P28="","",VLOOKUP(Q28,Table1[],2,TRUE))</f>
        <v/>
      </c>
      <c r="S28" s="138" t="str">
        <f t="shared" si="3"/>
        <v/>
      </c>
      <c r="T28" s="134" t="str">
        <f t="shared" si="2"/>
        <v/>
      </c>
      <c r="U28" s="135" t="str">
        <f>IF(S28="","",VLOOKUP(T28,Table1[],2,TRUE))</f>
        <v/>
      </c>
      <c r="V28" s="136" t="str">
        <f>_xlfn.IFS(AND(Q28="",T28=""),"",OR(Q28="-",T28="-"),"-",AND(Q$3&lt;&gt;0,T$3&lt;&gt;0),VLOOKUP(AVERAGE(Q28,T28),Table1[],2,TRUE),AND(Q$3&lt;&gt;0,T$3=0),R28,TRUE,U28)</f>
        <v/>
      </c>
      <c r="W28" s="137"/>
      <c r="X28" s="137" t="str">
        <f t="shared" si="4"/>
        <v/>
      </c>
      <c r="Y28" s="115" t="s">
        <v>18</v>
      </c>
    </row>
    <row r="29" spans="1:25" s="60" customFormat="1" x14ac:dyDescent="0.25">
      <c r="A29" s="128"/>
      <c r="B29" s="128"/>
      <c r="C29" s="128"/>
      <c r="D29" s="128"/>
      <c r="E29" s="128"/>
      <c r="F29" s="129"/>
      <c r="G29" s="128"/>
      <c r="H29" s="128"/>
      <c r="I29" s="128"/>
      <c r="J29" s="128"/>
      <c r="K29" s="129"/>
      <c r="L29" s="152"/>
      <c r="M29" s="152"/>
      <c r="N29" s="152"/>
      <c r="O29" s="128"/>
      <c r="P29" s="130" t="str">
        <f t="shared" si="0"/>
        <v/>
      </c>
      <c r="Q29" s="131" t="str">
        <f t="shared" si="1"/>
        <v/>
      </c>
      <c r="R29" s="132" t="str">
        <f>IF(P29="","",VLOOKUP(Q29,Table1[],2,TRUE))</f>
        <v/>
      </c>
      <c r="S29" s="138" t="str">
        <f t="shared" si="3"/>
        <v/>
      </c>
      <c r="T29" s="134" t="str">
        <f t="shared" si="2"/>
        <v/>
      </c>
      <c r="U29" s="135" t="str">
        <f>IF(S29="","",VLOOKUP(T29,Table1[],2,TRUE))</f>
        <v/>
      </c>
      <c r="V29" s="136" t="str">
        <f>_xlfn.IFS(AND(Q29="",T29=""),"",OR(Q29="-",T29="-"),"-",AND(Q$3&lt;&gt;0,T$3&lt;&gt;0),VLOOKUP(AVERAGE(Q29,T29),Table1[],2,TRUE),AND(Q$3&lt;&gt;0,T$3=0),R29,TRUE,U29)</f>
        <v/>
      </c>
      <c r="W29" s="137"/>
      <c r="X29" s="137" t="str">
        <f t="shared" si="4"/>
        <v/>
      </c>
      <c r="Y29" s="115" t="s">
        <v>18</v>
      </c>
    </row>
    <row r="30" spans="1:25" s="60" customFormat="1" x14ac:dyDescent="0.25">
      <c r="A30" s="128"/>
      <c r="B30" s="128"/>
      <c r="C30" s="128"/>
      <c r="D30" s="128"/>
      <c r="E30" s="128"/>
      <c r="F30" s="129"/>
      <c r="G30" s="128"/>
      <c r="H30" s="128"/>
      <c r="I30" s="128"/>
      <c r="J30" s="128"/>
      <c r="K30" s="129"/>
      <c r="L30" s="152"/>
      <c r="M30" s="152"/>
      <c r="N30" s="152"/>
      <c r="O30" s="128"/>
      <c r="P30" s="130" t="str">
        <f t="shared" si="0"/>
        <v/>
      </c>
      <c r="Q30" s="131" t="str">
        <f t="shared" si="1"/>
        <v/>
      </c>
      <c r="R30" s="132" t="str">
        <f>IF(P30="","",VLOOKUP(Q30,Table1[],2,TRUE))</f>
        <v/>
      </c>
      <c r="S30" s="138" t="str">
        <f t="shared" si="3"/>
        <v/>
      </c>
      <c r="T30" s="134" t="str">
        <f t="shared" si="2"/>
        <v/>
      </c>
      <c r="U30" s="135" t="str">
        <f>IF(S30="","",VLOOKUP(T30,Table1[],2,TRUE))</f>
        <v/>
      </c>
      <c r="V30" s="136" t="str">
        <f>_xlfn.IFS(AND(Q30="",T30=""),"",OR(Q30="-",T30="-"),"-",AND(Q$3&lt;&gt;0,T$3&lt;&gt;0),VLOOKUP(AVERAGE(Q30,T30),Table1[],2,TRUE),AND(Q$3&lt;&gt;0,T$3=0),R30,TRUE,U30)</f>
        <v/>
      </c>
      <c r="W30" s="137"/>
      <c r="X30" s="137" t="str">
        <f t="shared" si="4"/>
        <v/>
      </c>
      <c r="Y30" s="115" t="s">
        <v>18</v>
      </c>
    </row>
    <row r="31" spans="1:25" s="60" customFormat="1" x14ac:dyDescent="0.25">
      <c r="A31" s="128"/>
      <c r="B31" s="128"/>
      <c r="C31" s="128"/>
      <c r="D31" s="128"/>
      <c r="E31" s="128"/>
      <c r="F31" s="129"/>
      <c r="G31" s="128"/>
      <c r="H31" s="128"/>
      <c r="I31" s="128"/>
      <c r="J31" s="128"/>
      <c r="K31" s="129"/>
      <c r="L31" s="152"/>
      <c r="M31" s="152"/>
      <c r="N31" s="152"/>
      <c r="O31" s="128"/>
      <c r="P31" s="130" t="str">
        <f t="shared" si="0"/>
        <v/>
      </c>
      <c r="Q31" s="131" t="str">
        <f t="shared" si="1"/>
        <v/>
      </c>
      <c r="R31" s="132" t="str">
        <f>IF(P31="","",VLOOKUP(Q31,Table1[],2,TRUE))</f>
        <v/>
      </c>
      <c r="S31" s="138" t="str">
        <f t="shared" si="3"/>
        <v/>
      </c>
      <c r="T31" s="134" t="str">
        <f t="shared" si="2"/>
        <v/>
      </c>
      <c r="U31" s="135" t="str">
        <f>IF(S31="","",VLOOKUP(T31,Table1[],2,TRUE))</f>
        <v/>
      </c>
      <c r="V31" s="136" t="str">
        <f>_xlfn.IFS(AND(Q31="",T31=""),"",OR(Q31="-",T31="-"),"-",AND(Q$3&lt;&gt;0,T$3&lt;&gt;0),VLOOKUP(AVERAGE(Q31,T31),Table1[],2,TRUE),AND(Q$3&lt;&gt;0,T$3=0),R31,TRUE,U31)</f>
        <v/>
      </c>
      <c r="W31" s="137"/>
      <c r="X31" s="137" t="str">
        <f t="shared" si="4"/>
        <v/>
      </c>
      <c r="Y31" s="115" t="s">
        <v>18</v>
      </c>
    </row>
    <row r="32" spans="1:25" s="60" customFormat="1" x14ac:dyDescent="0.25">
      <c r="A32" s="128"/>
      <c r="B32" s="128"/>
      <c r="C32" s="128"/>
      <c r="D32" s="128"/>
      <c r="E32" s="128"/>
      <c r="F32" s="129"/>
      <c r="G32" s="128"/>
      <c r="H32" s="128"/>
      <c r="I32" s="128"/>
      <c r="J32" s="128"/>
      <c r="K32" s="129"/>
      <c r="L32" s="152"/>
      <c r="M32" s="152"/>
      <c r="N32" s="152"/>
      <c r="O32" s="128"/>
      <c r="P32" s="130" t="str">
        <f t="shared" si="0"/>
        <v/>
      </c>
      <c r="Q32" s="131" t="str">
        <f t="shared" si="1"/>
        <v/>
      </c>
      <c r="R32" s="132" t="str">
        <f>IF(P32="","",VLOOKUP(Q32,Table1[],2,TRUE))</f>
        <v/>
      </c>
      <c r="S32" s="138" t="str">
        <f t="shared" si="3"/>
        <v/>
      </c>
      <c r="T32" s="134" t="str">
        <f t="shared" si="2"/>
        <v/>
      </c>
      <c r="U32" s="135" t="str">
        <f>IF(S32="","",VLOOKUP(T32,Table1[],2,TRUE))</f>
        <v/>
      </c>
      <c r="V32" s="136" t="str">
        <f>_xlfn.IFS(AND(Q32="",T32=""),"",OR(Q32="-",T32="-"),"-",AND(Q$3&lt;&gt;0,T$3&lt;&gt;0),VLOOKUP(AVERAGE(Q32,T32),Table1[],2,TRUE),AND(Q$3&lt;&gt;0,T$3=0),R32,TRUE,U32)</f>
        <v/>
      </c>
      <c r="W32" s="137"/>
      <c r="X32" s="137" t="str">
        <f t="shared" si="4"/>
        <v/>
      </c>
      <c r="Y32" s="115" t="s">
        <v>18</v>
      </c>
    </row>
    <row r="33" spans="1:25" s="60" customFormat="1" x14ac:dyDescent="0.25">
      <c r="A33" s="128"/>
      <c r="B33" s="128"/>
      <c r="C33" s="128"/>
      <c r="D33" s="128"/>
      <c r="E33" s="128"/>
      <c r="F33" s="129"/>
      <c r="G33" s="128"/>
      <c r="H33" s="128"/>
      <c r="I33" s="128"/>
      <c r="J33" s="128"/>
      <c r="K33" s="129"/>
      <c r="L33" s="152"/>
      <c r="M33" s="152"/>
      <c r="N33" s="152"/>
      <c r="O33" s="128"/>
      <c r="P33" s="130" t="str">
        <f t="shared" si="0"/>
        <v/>
      </c>
      <c r="Q33" s="131" t="str">
        <f t="shared" si="1"/>
        <v/>
      </c>
      <c r="R33" s="132" t="str">
        <f>IF(P33="","",VLOOKUP(Q33,Table1[],2,TRUE))</f>
        <v/>
      </c>
      <c r="S33" s="138" t="str">
        <f t="shared" si="3"/>
        <v/>
      </c>
      <c r="T33" s="134" t="str">
        <f t="shared" si="2"/>
        <v/>
      </c>
      <c r="U33" s="135" t="str">
        <f>IF(S33="","",VLOOKUP(T33,Table1[],2,TRUE))</f>
        <v/>
      </c>
      <c r="V33" s="136" t="str">
        <f>_xlfn.IFS(AND(Q33="",T33=""),"",OR(Q33="-",T33="-"),"-",AND(Q$3&lt;&gt;0,T$3&lt;&gt;0),VLOOKUP(AVERAGE(Q33,T33),Table1[],2,TRUE),AND(Q$3&lt;&gt;0,T$3=0),R33,TRUE,U33)</f>
        <v/>
      </c>
      <c r="W33" s="137"/>
      <c r="X33" s="137" t="str">
        <f t="shared" si="4"/>
        <v/>
      </c>
      <c r="Y33" s="115" t="s">
        <v>18</v>
      </c>
    </row>
    <row r="34" spans="1:25" s="60" customFormat="1" x14ac:dyDescent="0.25">
      <c r="A34" s="128"/>
      <c r="B34" s="128"/>
      <c r="C34" s="128"/>
      <c r="D34" s="128"/>
      <c r="E34" s="128"/>
      <c r="F34" s="129"/>
      <c r="G34" s="128"/>
      <c r="H34" s="128"/>
      <c r="I34" s="128"/>
      <c r="J34" s="128"/>
      <c r="K34" s="129"/>
      <c r="L34" s="152"/>
      <c r="M34" s="152"/>
      <c r="N34" s="152"/>
      <c r="O34" s="128"/>
      <c r="P34" s="130" t="str">
        <f t="shared" si="0"/>
        <v/>
      </c>
      <c r="Q34" s="131" t="str">
        <f t="shared" si="1"/>
        <v/>
      </c>
      <c r="R34" s="132" t="str">
        <f>IF(P34="","",VLOOKUP(Q34,Table1[],2,TRUE))</f>
        <v/>
      </c>
      <c r="S34" s="138" t="str">
        <f t="shared" si="3"/>
        <v/>
      </c>
      <c r="T34" s="134" t="str">
        <f t="shared" si="2"/>
        <v/>
      </c>
      <c r="U34" s="135" t="str">
        <f>IF(S34="","",VLOOKUP(T34,Table1[],2,TRUE))</f>
        <v/>
      </c>
      <c r="V34" s="136" t="str">
        <f>_xlfn.IFS(AND(Q34="",T34=""),"",OR(Q34="-",T34="-"),"-",AND(Q$3&lt;&gt;0,T$3&lt;&gt;0),VLOOKUP(AVERAGE(Q34,T34),Table1[],2,TRUE),AND(Q$3&lt;&gt;0,T$3=0),R34,TRUE,U34)</f>
        <v/>
      </c>
      <c r="W34" s="137"/>
      <c r="X34" s="137" t="str">
        <f t="shared" si="4"/>
        <v/>
      </c>
      <c r="Y34" s="115" t="s">
        <v>18</v>
      </c>
    </row>
    <row r="35" spans="1:25" s="60" customFormat="1" x14ac:dyDescent="0.25">
      <c r="A35" s="128"/>
      <c r="B35" s="128"/>
      <c r="C35" s="128"/>
      <c r="D35" s="128"/>
      <c r="E35" s="128"/>
      <c r="F35" s="129"/>
      <c r="G35" s="128"/>
      <c r="H35" s="128"/>
      <c r="I35" s="128"/>
      <c r="J35" s="128"/>
      <c r="K35" s="129"/>
      <c r="L35" s="152"/>
      <c r="M35" s="152"/>
      <c r="N35" s="152"/>
      <c r="O35" s="128"/>
      <c r="P35" s="130" t="str">
        <f t="shared" si="0"/>
        <v/>
      </c>
      <c r="Q35" s="131" t="str">
        <f t="shared" si="1"/>
        <v/>
      </c>
      <c r="R35" s="132" t="str">
        <f>IF(P35="","",VLOOKUP(Q35,Table1[],2,TRUE))</f>
        <v/>
      </c>
      <c r="S35" s="138" t="str">
        <f t="shared" si="3"/>
        <v/>
      </c>
      <c r="T35" s="134" t="str">
        <f t="shared" si="2"/>
        <v/>
      </c>
      <c r="U35" s="135" t="str">
        <f>IF(S35="","",VLOOKUP(T35,Table1[],2,TRUE))</f>
        <v/>
      </c>
      <c r="V35" s="136" t="str">
        <f>_xlfn.IFS(AND(Q35="",T35=""),"",OR(Q35="-",T35="-"),"-",AND(Q$3&lt;&gt;0,T$3&lt;&gt;0),VLOOKUP(AVERAGE(Q35,T35),Table1[],2,TRUE),AND(Q$3&lt;&gt;0,T$3=0),R35,TRUE,U35)</f>
        <v/>
      </c>
      <c r="W35" s="137"/>
      <c r="X35" s="137" t="str">
        <f t="shared" si="4"/>
        <v/>
      </c>
      <c r="Y35" s="115" t="s">
        <v>18</v>
      </c>
    </row>
    <row r="36" spans="1:25" s="60" customFormat="1" x14ac:dyDescent="0.25">
      <c r="A36" s="128"/>
      <c r="B36" s="128"/>
      <c r="C36" s="128"/>
      <c r="D36" s="128"/>
      <c r="E36" s="128"/>
      <c r="F36" s="129"/>
      <c r="G36" s="128"/>
      <c r="H36" s="128"/>
      <c r="I36" s="128"/>
      <c r="J36" s="128"/>
      <c r="K36" s="129"/>
      <c r="L36" s="152"/>
      <c r="M36" s="152"/>
      <c r="N36" s="152"/>
      <c r="O36" s="128"/>
      <c r="P36" s="130" t="str">
        <f t="shared" si="0"/>
        <v/>
      </c>
      <c r="Q36" s="131" t="str">
        <f t="shared" si="1"/>
        <v/>
      </c>
      <c r="R36" s="132" t="str">
        <f>IF(P36="","",VLOOKUP(Q36,Table1[],2,TRUE))</f>
        <v/>
      </c>
      <c r="S36" s="138" t="str">
        <f t="shared" si="3"/>
        <v/>
      </c>
      <c r="T36" s="134" t="str">
        <f t="shared" si="2"/>
        <v/>
      </c>
      <c r="U36" s="135" t="str">
        <f>IF(S36="","",VLOOKUP(T36,Table1[],2,TRUE))</f>
        <v/>
      </c>
      <c r="V36" s="136" t="str">
        <f>_xlfn.IFS(AND(Q36="",T36=""),"",OR(Q36="-",T36="-"),"-",AND(Q$3&lt;&gt;0,T$3&lt;&gt;0),VLOOKUP(AVERAGE(Q36,T36),Table1[],2,TRUE),AND(Q$3&lt;&gt;0,T$3=0),R36,TRUE,U36)</f>
        <v/>
      </c>
      <c r="W36" s="137"/>
      <c r="X36" s="137" t="str">
        <f t="shared" si="4"/>
        <v/>
      </c>
      <c r="Y36" s="115" t="s">
        <v>18</v>
      </c>
    </row>
    <row r="37" spans="1:25" s="60" customFormat="1" x14ac:dyDescent="0.25">
      <c r="A37" s="128"/>
      <c r="B37" s="128"/>
      <c r="C37" s="128"/>
      <c r="D37" s="128"/>
      <c r="E37" s="128"/>
      <c r="F37" s="129"/>
      <c r="G37" s="128"/>
      <c r="H37" s="128"/>
      <c r="I37" s="128"/>
      <c r="J37" s="128"/>
      <c r="K37" s="129"/>
      <c r="L37" s="152"/>
      <c r="M37" s="152"/>
      <c r="N37" s="152"/>
      <c r="O37" s="128"/>
      <c r="P37" s="130" t="str">
        <f t="shared" si="0"/>
        <v/>
      </c>
      <c r="Q37" s="131" t="str">
        <f t="shared" si="1"/>
        <v/>
      </c>
      <c r="R37" s="132" t="str">
        <f>IF(P37="","",VLOOKUP(Q37,Table1[],2,TRUE))</f>
        <v/>
      </c>
      <c r="S37" s="138" t="str">
        <f t="shared" si="3"/>
        <v/>
      </c>
      <c r="T37" s="134" t="str">
        <f t="shared" si="2"/>
        <v/>
      </c>
      <c r="U37" s="135" t="str">
        <f>IF(S37="","",VLOOKUP(T37,Table1[],2,TRUE))</f>
        <v/>
      </c>
      <c r="V37" s="136" t="str">
        <f>_xlfn.IFS(AND(Q37="",T37=""),"",OR(Q37="-",T37="-"),"-",AND(Q$3&lt;&gt;0,T$3&lt;&gt;0),VLOOKUP(AVERAGE(Q37,T37),Table1[],2,TRUE),AND(Q$3&lt;&gt;0,T$3=0),R37,TRUE,U37)</f>
        <v/>
      </c>
      <c r="W37" s="137"/>
      <c r="X37" s="137" t="str">
        <f t="shared" si="4"/>
        <v/>
      </c>
      <c r="Y37" s="115" t="s">
        <v>18</v>
      </c>
    </row>
    <row r="38" spans="1:25" s="60" customFormat="1" x14ac:dyDescent="0.25">
      <c r="A38" s="128"/>
      <c r="B38" s="128"/>
      <c r="C38" s="128"/>
      <c r="D38" s="128"/>
      <c r="E38" s="128"/>
      <c r="F38" s="129"/>
      <c r="G38" s="128"/>
      <c r="H38" s="128"/>
      <c r="I38" s="128"/>
      <c r="J38" s="128"/>
      <c r="K38" s="129"/>
      <c r="L38" s="152"/>
      <c r="M38" s="152"/>
      <c r="N38" s="152"/>
      <c r="O38" s="128"/>
      <c r="P38" s="130" t="str">
        <f t="shared" si="0"/>
        <v/>
      </c>
      <c r="Q38" s="131" t="str">
        <f t="shared" si="1"/>
        <v/>
      </c>
      <c r="R38" s="132" t="str">
        <f>IF(P38="","",VLOOKUP(Q38,Table1[],2,TRUE))</f>
        <v/>
      </c>
      <c r="S38" s="138" t="str">
        <f t="shared" si="3"/>
        <v/>
      </c>
      <c r="T38" s="134" t="str">
        <f t="shared" si="2"/>
        <v/>
      </c>
      <c r="U38" s="135" t="str">
        <f>IF(S38="","",VLOOKUP(T38,Table1[],2,TRUE))</f>
        <v/>
      </c>
      <c r="V38" s="136" t="str">
        <f>_xlfn.IFS(AND(Q38="",T38=""),"",OR(Q38="-",T38="-"),"-",AND(Q$3&lt;&gt;0,T$3&lt;&gt;0),VLOOKUP(AVERAGE(Q38,T38),Table1[],2,TRUE),AND(Q$3&lt;&gt;0,T$3=0),R38,TRUE,U38)</f>
        <v/>
      </c>
      <c r="W38" s="137"/>
      <c r="X38" s="137" t="str">
        <f t="shared" si="4"/>
        <v/>
      </c>
      <c r="Y38" s="115" t="s">
        <v>18</v>
      </c>
    </row>
    <row r="39" spans="1:25" s="60" customFormat="1" x14ac:dyDescent="0.25">
      <c r="A39" s="128"/>
      <c r="B39" s="128"/>
      <c r="C39" s="128"/>
      <c r="D39" s="128"/>
      <c r="E39" s="128"/>
      <c r="F39" s="129"/>
      <c r="G39" s="128"/>
      <c r="H39" s="128"/>
      <c r="I39" s="128"/>
      <c r="J39" s="128"/>
      <c r="K39" s="129"/>
      <c r="L39" s="152"/>
      <c r="M39" s="152"/>
      <c r="N39" s="152"/>
      <c r="O39" s="128"/>
      <c r="P39" s="130" t="str">
        <f t="shared" si="0"/>
        <v/>
      </c>
      <c r="Q39" s="131" t="str">
        <f t="shared" si="1"/>
        <v/>
      </c>
      <c r="R39" s="132" t="str">
        <f>IF(P39="","",VLOOKUP(Q39,Table1[],2,TRUE))</f>
        <v/>
      </c>
      <c r="S39" s="138" t="str">
        <f t="shared" si="3"/>
        <v/>
      </c>
      <c r="T39" s="134" t="str">
        <f t="shared" si="2"/>
        <v/>
      </c>
      <c r="U39" s="135" t="str">
        <f>IF(S39="","",VLOOKUP(T39,Table1[],2,TRUE))</f>
        <v/>
      </c>
      <c r="V39" s="136" t="str">
        <f>_xlfn.IFS(AND(Q39="",T39=""),"",OR(Q39="-",T39="-"),"-",AND(Q$3&lt;&gt;0,T$3&lt;&gt;0),VLOOKUP(AVERAGE(Q39,T39),Table1[],2,TRUE),AND(Q$3&lt;&gt;0,T$3=0),R39,TRUE,U39)</f>
        <v/>
      </c>
      <c r="W39" s="137"/>
      <c r="X39" s="137" t="str">
        <f t="shared" si="4"/>
        <v/>
      </c>
      <c r="Y39" s="115" t="s">
        <v>18</v>
      </c>
    </row>
    <row r="40" spans="1:25" s="60" customFormat="1" ht="15.75" thickBot="1" x14ac:dyDescent="0.3">
      <c r="A40" s="139"/>
      <c r="B40" s="139"/>
      <c r="C40" s="139"/>
      <c r="D40" s="139"/>
      <c r="E40" s="139"/>
      <c r="F40" s="140"/>
      <c r="G40" s="139"/>
      <c r="H40" s="139"/>
      <c r="I40" s="139"/>
      <c r="J40" s="139"/>
      <c r="K40" s="140"/>
      <c r="L40" s="153"/>
      <c r="M40" s="153"/>
      <c r="N40" s="153"/>
      <c r="O40" s="141"/>
      <c r="P40" s="142" t="str">
        <f t="shared" si="0"/>
        <v/>
      </c>
      <c r="Q40" s="143" t="str">
        <f t="shared" si="1"/>
        <v/>
      </c>
      <c r="R40" s="144" t="str">
        <f>IF(P40="","",VLOOKUP(Q40,Table1[],2,TRUE))</f>
        <v/>
      </c>
      <c r="S40" s="145" t="str">
        <f t="shared" si="3"/>
        <v/>
      </c>
      <c r="T40" s="146" t="str">
        <f t="shared" si="2"/>
        <v/>
      </c>
      <c r="U40" s="147" t="str">
        <f>IF(S40="","",VLOOKUP(T40,Table1[],2,TRUE))</f>
        <v/>
      </c>
      <c r="V40" s="148" t="str">
        <f>_xlfn.IFS(AND(Q40="",T40=""),"",OR(Q40="-",T40="-"),"-",AND(Q$3&lt;&gt;0,T$3&lt;&gt;0),VLOOKUP(AVERAGE(Q40,T40),Table1[],2,TRUE),AND(Q$3&lt;&gt;0,T$3=0),R40,TRUE,U40)</f>
        <v/>
      </c>
      <c r="W40" s="149"/>
      <c r="X40" s="150" t="str">
        <f t="shared" si="4"/>
        <v/>
      </c>
      <c r="Y40" s="151" t="s">
        <v>18</v>
      </c>
    </row>
  </sheetData>
  <mergeCells count="7">
    <mergeCell ref="Q3:R3"/>
    <mergeCell ref="T3:U3"/>
    <mergeCell ref="K2:O2"/>
    <mergeCell ref="B1:Y1"/>
    <mergeCell ref="A2:E2"/>
    <mergeCell ref="F2:J2"/>
    <mergeCell ref="P2:X2"/>
  </mergeCells>
  <conditionalFormatting sqref="U5:X40 R5:R40">
    <cfRule type="expression" dxfId="6" priority="8" stopIfTrue="1">
      <formula>OR(ISNUMBER(SEARCH("D",R5)),ISNUMBER(SEARCH("E",R5)))</formula>
    </cfRule>
  </conditionalFormatting>
  <conditionalFormatting sqref="A5:O40">
    <cfRule type="expression" dxfId="5" priority="2" stopIfTrue="1">
      <formula>NOT(ISBLANK(A5))</formula>
    </cfRule>
    <cfRule type="expression" dxfId="4" priority="3" stopIfTrue="1">
      <formula>AND(NOT($A5="ZZZZZ"),NOT(ISBLANK(A$4)))</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W5:W40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F40"/>
  <sheetViews>
    <sheetView zoomScale="85" zoomScaleNormal="85" workbookViewId="0">
      <selection activeCell="I37" sqref="I37"/>
    </sheetView>
  </sheetViews>
  <sheetFormatPr defaultRowHeight="15" x14ac:dyDescent="0.25"/>
  <cols>
    <col min="1" max="5" width="16" bestFit="1" customWidth="1"/>
    <col min="6" max="6" width="1.85546875" bestFit="1" customWidth="1"/>
  </cols>
  <sheetData>
    <row r="1" spans="1:6" x14ac:dyDescent="0.25">
      <c r="A1" s="159"/>
      <c r="B1" s="159"/>
      <c r="C1" s="160"/>
      <c r="D1" s="160"/>
      <c r="E1" s="160"/>
      <c r="F1" s="161"/>
    </row>
    <row r="2" spans="1:6" ht="15.75" x14ac:dyDescent="0.25">
      <c r="A2" s="213" t="s">
        <v>97</v>
      </c>
      <c r="B2" s="214"/>
      <c r="C2" s="214"/>
      <c r="D2" s="214"/>
      <c r="E2" s="214"/>
      <c r="F2" s="162" t="s">
        <v>18</v>
      </c>
    </row>
    <row r="3" spans="1:6" x14ac:dyDescent="0.25">
      <c r="A3" s="157" t="s">
        <v>98</v>
      </c>
      <c r="B3" s="157" t="s">
        <v>98</v>
      </c>
      <c r="C3" s="157" t="s">
        <v>98</v>
      </c>
      <c r="D3" s="157" t="s">
        <v>98</v>
      </c>
      <c r="E3" s="157" t="s">
        <v>98</v>
      </c>
      <c r="F3" s="162" t="s">
        <v>18</v>
      </c>
    </row>
    <row r="4" spans="1:6" x14ac:dyDescent="0.25">
      <c r="A4" s="156" t="s">
        <v>74</v>
      </c>
      <c r="B4" s="158" t="s">
        <v>73</v>
      </c>
      <c r="C4" s="158" t="s">
        <v>73</v>
      </c>
      <c r="D4" s="158" t="s">
        <v>73</v>
      </c>
      <c r="E4" s="158" t="s">
        <v>73</v>
      </c>
      <c r="F4" s="162" t="s">
        <v>18</v>
      </c>
    </row>
    <row r="5" spans="1:6" x14ac:dyDescent="0.25">
      <c r="A5" s="226"/>
      <c r="B5" s="226"/>
      <c r="C5" s="226"/>
      <c r="D5" s="226"/>
      <c r="E5" s="226"/>
      <c r="F5" s="162" t="s">
        <v>18</v>
      </c>
    </row>
    <row r="6" spans="1:6" x14ac:dyDescent="0.25">
      <c r="A6" s="226"/>
      <c r="B6" s="226"/>
      <c r="C6" s="226"/>
      <c r="D6" s="226"/>
      <c r="E6" s="226"/>
      <c r="F6" s="162" t="s">
        <v>18</v>
      </c>
    </row>
    <row r="7" spans="1:6" x14ac:dyDescent="0.25">
      <c r="A7" s="226"/>
      <c r="B7" s="226"/>
      <c r="C7" s="226"/>
      <c r="D7" s="226"/>
      <c r="E7" s="226"/>
      <c r="F7" s="162" t="s">
        <v>18</v>
      </c>
    </row>
    <row r="8" spans="1:6" x14ac:dyDescent="0.25">
      <c r="A8" s="226"/>
      <c r="B8" s="226"/>
      <c r="C8" s="226"/>
      <c r="D8" s="226"/>
      <c r="E8" s="226"/>
      <c r="F8" s="162" t="s">
        <v>18</v>
      </c>
    </row>
    <row r="9" spans="1:6" x14ac:dyDescent="0.25">
      <c r="A9" s="226"/>
      <c r="B9" s="226"/>
      <c r="C9" s="226"/>
      <c r="D9" s="226"/>
      <c r="E9" s="226"/>
      <c r="F9" s="162" t="s">
        <v>18</v>
      </c>
    </row>
    <row r="10" spans="1:6" x14ac:dyDescent="0.25">
      <c r="A10" s="226"/>
      <c r="B10" s="226"/>
      <c r="C10" s="226"/>
      <c r="D10" s="226"/>
      <c r="E10" s="226"/>
      <c r="F10" s="162" t="s">
        <v>18</v>
      </c>
    </row>
    <row r="11" spans="1:6" x14ac:dyDescent="0.25">
      <c r="A11" s="226"/>
      <c r="B11" s="226"/>
      <c r="C11" s="226"/>
      <c r="D11" s="226"/>
      <c r="E11" s="226"/>
      <c r="F11" s="162" t="s">
        <v>18</v>
      </c>
    </row>
    <row r="12" spans="1:6" x14ac:dyDescent="0.25">
      <c r="A12" s="226"/>
      <c r="B12" s="226"/>
      <c r="C12" s="226"/>
      <c r="D12" s="226"/>
      <c r="E12" s="226"/>
      <c r="F12" s="162" t="s">
        <v>18</v>
      </c>
    </row>
    <row r="13" spans="1:6" x14ac:dyDescent="0.25">
      <c r="A13" s="226"/>
      <c r="B13" s="226"/>
      <c r="C13" s="226"/>
      <c r="D13" s="226"/>
      <c r="E13" s="226"/>
      <c r="F13" s="162" t="s">
        <v>18</v>
      </c>
    </row>
    <row r="14" spans="1:6" x14ac:dyDescent="0.25">
      <c r="A14" s="226"/>
      <c r="B14" s="226"/>
      <c r="C14" s="226"/>
      <c r="D14" s="226"/>
      <c r="E14" s="226"/>
      <c r="F14" s="162" t="s">
        <v>18</v>
      </c>
    </row>
    <row r="15" spans="1:6" x14ac:dyDescent="0.25">
      <c r="A15" s="226"/>
      <c r="B15" s="226"/>
      <c r="C15" s="226"/>
      <c r="D15" s="226"/>
      <c r="E15" s="226"/>
      <c r="F15" s="162" t="s">
        <v>18</v>
      </c>
    </row>
    <row r="16" spans="1:6" x14ac:dyDescent="0.25">
      <c r="A16" s="226"/>
      <c r="B16" s="226"/>
      <c r="C16" s="226"/>
      <c r="D16" s="226"/>
      <c r="E16" s="226"/>
      <c r="F16" s="162" t="s">
        <v>18</v>
      </c>
    </row>
    <row r="17" spans="1:6" x14ac:dyDescent="0.25">
      <c r="A17" s="226"/>
      <c r="B17" s="226"/>
      <c r="C17" s="226"/>
      <c r="D17" s="226"/>
      <c r="E17" s="226"/>
      <c r="F17" s="162" t="s">
        <v>18</v>
      </c>
    </row>
    <row r="18" spans="1:6" x14ac:dyDescent="0.25">
      <c r="A18" s="226"/>
      <c r="B18" s="226"/>
      <c r="C18" s="226"/>
      <c r="D18" s="226"/>
      <c r="E18" s="226"/>
      <c r="F18" s="162" t="s">
        <v>18</v>
      </c>
    </row>
    <row r="19" spans="1:6" x14ac:dyDescent="0.25">
      <c r="A19" s="226"/>
      <c r="B19" s="226"/>
      <c r="C19" s="226"/>
      <c r="D19" s="226"/>
      <c r="E19" s="226"/>
      <c r="F19" s="162" t="s">
        <v>18</v>
      </c>
    </row>
    <row r="20" spans="1:6" x14ac:dyDescent="0.25">
      <c r="A20" s="226"/>
      <c r="B20" s="226"/>
      <c r="C20" s="226"/>
      <c r="D20" s="226"/>
      <c r="E20" s="226"/>
      <c r="F20" s="162" t="s">
        <v>18</v>
      </c>
    </row>
    <row r="21" spans="1:6" x14ac:dyDescent="0.25">
      <c r="A21" s="226"/>
      <c r="B21" s="226"/>
      <c r="C21" s="226"/>
      <c r="D21" s="226"/>
      <c r="E21" s="226"/>
      <c r="F21" s="162" t="s">
        <v>18</v>
      </c>
    </row>
    <row r="22" spans="1:6" x14ac:dyDescent="0.25">
      <c r="A22" s="226"/>
      <c r="B22" s="226"/>
      <c r="C22" s="226"/>
      <c r="D22" s="226"/>
      <c r="E22" s="226"/>
      <c r="F22" s="162" t="s">
        <v>18</v>
      </c>
    </row>
    <row r="23" spans="1:6" x14ac:dyDescent="0.25">
      <c r="A23" s="226"/>
      <c r="B23" s="226"/>
      <c r="C23" s="226"/>
      <c r="D23" s="226"/>
      <c r="E23" s="226"/>
      <c r="F23" s="162" t="s">
        <v>18</v>
      </c>
    </row>
    <row r="24" spans="1:6" x14ac:dyDescent="0.25">
      <c r="A24" s="226"/>
      <c r="B24" s="226"/>
      <c r="C24" s="226"/>
      <c r="D24" s="226"/>
      <c r="E24" s="226"/>
      <c r="F24" s="162" t="s">
        <v>18</v>
      </c>
    </row>
    <row r="25" spans="1:6" x14ac:dyDescent="0.25">
      <c r="A25" s="226"/>
      <c r="B25" s="226"/>
      <c r="C25" s="226"/>
      <c r="D25" s="226"/>
      <c r="E25" s="226"/>
      <c r="F25" s="162" t="s">
        <v>18</v>
      </c>
    </row>
    <row r="26" spans="1:6" x14ac:dyDescent="0.25">
      <c r="A26" s="226"/>
      <c r="B26" s="226"/>
      <c r="C26" s="226"/>
      <c r="D26" s="226"/>
      <c r="E26" s="226"/>
      <c r="F26" s="162" t="s">
        <v>18</v>
      </c>
    </row>
    <row r="27" spans="1:6" x14ac:dyDescent="0.25">
      <c r="A27" s="226"/>
      <c r="B27" s="226"/>
      <c r="C27" s="226"/>
      <c r="D27" s="226"/>
      <c r="E27" s="226"/>
      <c r="F27" s="162" t="s">
        <v>18</v>
      </c>
    </row>
    <row r="28" spans="1:6" x14ac:dyDescent="0.25">
      <c r="A28" s="226"/>
      <c r="B28" s="226"/>
      <c r="C28" s="226"/>
      <c r="D28" s="226"/>
      <c r="E28" s="226"/>
      <c r="F28" s="162" t="s">
        <v>18</v>
      </c>
    </row>
    <row r="29" spans="1:6" x14ac:dyDescent="0.25">
      <c r="A29" s="226"/>
      <c r="B29" s="226"/>
      <c r="C29" s="226"/>
      <c r="D29" s="226"/>
      <c r="E29" s="226"/>
      <c r="F29" s="162" t="s">
        <v>18</v>
      </c>
    </row>
    <row r="30" spans="1:6" x14ac:dyDescent="0.25">
      <c r="A30" s="226"/>
      <c r="B30" s="226"/>
      <c r="C30" s="226"/>
      <c r="D30" s="226"/>
      <c r="E30" s="226"/>
      <c r="F30" s="162" t="s">
        <v>18</v>
      </c>
    </row>
    <row r="31" spans="1:6" x14ac:dyDescent="0.25">
      <c r="A31" s="226"/>
      <c r="B31" s="226"/>
      <c r="C31" s="226"/>
      <c r="D31" s="226"/>
      <c r="E31" s="226"/>
      <c r="F31" s="162" t="s">
        <v>18</v>
      </c>
    </row>
    <row r="32" spans="1:6" x14ac:dyDescent="0.25">
      <c r="A32" s="226"/>
      <c r="B32" s="226"/>
      <c r="C32" s="226"/>
      <c r="D32" s="226"/>
      <c r="E32" s="226"/>
      <c r="F32" s="162" t="s">
        <v>18</v>
      </c>
    </row>
    <row r="33" spans="1:6" x14ac:dyDescent="0.25">
      <c r="A33" s="226"/>
      <c r="B33" s="226"/>
      <c r="C33" s="226"/>
      <c r="D33" s="226"/>
      <c r="E33" s="226"/>
      <c r="F33" s="162" t="s">
        <v>18</v>
      </c>
    </row>
    <row r="34" spans="1:6" x14ac:dyDescent="0.25">
      <c r="A34" s="226"/>
      <c r="B34" s="226"/>
      <c r="C34" s="226"/>
      <c r="D34" s="226"/>
      <c r="E34" s="226"/>
      <c r="F34" s="162" t="s">
        <v>18</v>
      </c>
    </row>
    <row r="35" spans="1:6" x14ac:dyDescent="0.25">
      <c r="A35" s="226"/>
      <c r="B35" s="226"/>
      <c r="C35" s="226"/>
      <c r="D35" s="226"/>
      <c r="E35" s="226"/>
      <c r="F35" s="162" t="s">
        <v>18</v>
      </c>
    </row>
    <row r="36" spans="1:6" x14ac:dyDescent="0.25">
      <c r="A36" s="226"/>
      <c r="B36" s="226"/>
      <c r="C36" s="226"/>
      <c r="D36" s="226"/>
      <c r="E36" s="226"/>
      <c r="F36" s="162" t="s">
        <v>18</v>
      </c>
    </row>
    <row r="37" spans="1:6" x14ac:dyDescent="0.25">
      <c r="A37" s="226"/>
      <c r="B37" s="226"/>
      <c r="C37" s="226"/>
      <c r="D37" s="226"/>
      <c r="E37" s="226"/>
      <c r="F37" s="162" t="s">
        <v>18</v>
      </c>
    </row>
    <row r="38" spans="1:6" x14ac:dyDescent="0.25">
      <c r="A38" s="226"/>
      <c r="B38" s="226"/>
      <c r="C38" s="226"/>
      <c r="D38" s="226"/>
      <c r="E38" s="226"/>
      <c r="F38" s="162" t="s">
        <v>18</v>
      </c>
    </row>
    <row r="39" spans="1:6" x14ac:dyDescent="0.25">
      <c r="A39" s="226"/>
      <c r="B39" s="226"/>
      <c r="C39" s="226"/>
      <c r="D39" s="226"/>
      <c r="E39" s="226"/>
      <c r="F39" s="162" t="s">
        <v>18</v>
      </c>
    </row>
    <row r="40" spans="1:6" ht="15.75" thickBot="1" x14ac:dyDescent="0.3">
      <c r="A40" s="227"/>
      <c r="B40" s="227"/>
      <c r="C40" s="227"/>
      <c r="D40" s="227"/>
      <c r="E40" s="227"/>
      <c r="F40" s="163" t="s">
        <v>18</v>
      </c>
    </row>
  </sheetData>
  <mergeCells count="1">
    <mergeCell ref="A2:E2"/>
  </mergeCells>
  <conditionalFormatting sqref="A5:E40">
    <cfRule type="expression" dxfId="3"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topLeftCell="A16" zoomScaleNormal="100" workbookViewId="0">
      <selection activeCell="M49" sqref="M49"/>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1" t="s">
        <v>65</v>
      </c>
      <c r="B1" s="218" t="s">
        <v>80</v>
      </c>
      <c r="C1" s="218"/>
      <c r="D1" s="218"/>
      <c r="E1" s="218"/>
      <c r="F1" s="218"/>
      <c r="G1" s="218"/>
      <c r="H1" s="218"/>
      <c r="I1" s="218"/>
      <c r="J1" s="218"/>
      <c r="K1" s="218"/>
      <c r="L1" s="218"/>
      <c r="M1" s="218"/>
      <c r="N1" s="218"/>
      <c r="O1" s="218"/>
      <c r="P1" s="218"/>
      <c r="Q1" s="218"/>
      <c r="R1" s="218"/>
      <c r="S1" s="218"/>
      <c r="T1" s="218"/>
      <c r="U1" s="218"/>
      <c r="V1" s="219"/>
    </row>
    <row r="2" spans="1:22" x14ac:dyDescent="0.25">
      <c r="A2" s="225" t="s">
        <v>31</v>
      </c>
      <c r="B2" s="216"/>
      <c r="C2" s="216"/>
      <c r="D2" s="216"/>
      <c r="E2" s="216"/>
      <c r="F2" s="215" t="s">
        <v>33</v>
      </c>
      <c r="G2" s="216"/>
      <c r="H2" s="216"/>
      <c r="I2" s="216"/>
      <c r="J2" s="216"/>
      <c r="K2" s="215" t="s">
        <v>77</v>
      </c>
      <c r="L2" s="217"/>
      <c r="M2" s="215" t="s">
        <v>34</v>
      </c>
      <c r="N2" s="216"/>
      <c r="O2" s="216"/>
      <c r="P2" s="216"/>
      <c r="Q2" s="216"/>
      <c r="R2" s="216"/>
      <c r="S2" s="216"/>
      <c r="T2" s="216"/>
      <c r="U2" s="220"/>
      <c r="V2" s="72" t="s">
        <v>18</v>
      </c>
    </row>
    <row r="3" spans="1:22" ht="15" customHeight="1" x14ac:dyDescent="0.25">
      <c r="A3" s="97" t="s">
        <v>81</v>
      </c>
      <c r="B3" s="97" t="s">
        <v>82</v>
      </c>
      <c r="C3" s="97" t="s">
        <v>73</v>
      </c>
      <c r="D3" s="97" t="s">
        <v>73</v>
      </c>
      <c r="E3" s="97" t="s">
        <v>73</v>
      </c>
      <c r="F3" s="97" t="s">
        <v>33</v>
      </c>
      <c r="G3" s="97" t="s">
        <v>73</v>
      </c>
      <c r="H3" s="97" t="s">
        <v>73</v>
      </c>
      <c r="I3" s="97" t="s">
        <v>73</v>
      </c>
      <c r="J3" s="97" t="s">
        <v>73</v>
      </c>
      <c r="K3" s="97" t="s">
        <v>73</v>
      </c>
      <c r="L3" s="97" t="s">
        <v>73</v>
      </c>
      <c r="M3" s="96" t="str">
        <f>_xlfn.TEXTJOIN(" ",TRUE,"Max",A2,":")</f>
        <v>Max UD :</v>
      </c>
      <c r="N3" s="221">
        <f>IF(OR(A4="-",B4="-",C4="-",D4="-",E4="-"),"-",SUM(A4,B4,C4,D4,E4))</f>
        <v>100</v>
      </c>
      <c r="O3" s="222"/>
      <c r="P3" s="96" t="str">
        <f>_xlfn.TEXTJOIN(" ",TRUE,"Max",F2,":")</f>
        <v>Max SD :</v>
      </c>
      <c r="Q3" s="223">
        <f>IF(OR(F4="-",G4="-",H4="-",I4="-",J4="-"),"-",SUM(F4,G4,H4,I4,J4))</f>
        <v>100</v>
      </c>
      <c r="R3" s="224"/>
      <c r="S3" s="73"/>
      <c r="T3" s="73"/>
      <c r="U3" s="73"/>
      <c r="V3" s="72" t="s">
        <v>18</v>
      </c>
    </row>
    <row r="4" spans="1:22" ht="15" customHeight="1" x14ac:dyDescent="0.25">
      <c r="A4" s="111">
        <v>25</v>
      </c>
      <c r="B4" s="112">
        <v>75</v>
      </c>
      <c r="C4" s="112"/>
      <c r="D4" s="112"/>
      <c r="E4" s="112"/>
      <c r="F4" s="112">
        <v>100</v>
      </c>
      <c r="G4" s="112"/>
      <c r="H4" s="112"/>
      <c r="I4" s="112"/>
      <c r="J4" s="112"/>
      <c r="K4" s="112"/>
      <c r="L4" s="112"/>
      <c r="M4" s="80" t="str">
        <f>_xlfn.TEXTJOIN(" ",TRUE,M2,A2)</f>
        <v>Overall UD</v>
      </c>
      <c r="N4" s="98" t="s">
        <v>32</v>
      </c>
      <c r="O4" s="99" t="s">
        <v>1</v>
      </c>
      <c r="P4" s="74" t="str">
        <f>_xlfn.TEXTJOIN(" ",TRUE,M2,F2)</f>
        <v>Overall SD</v>
      </c>
      <c r="Q4" s="100" t="s">
        <v>32</v>
      </c>
      <c r="R4" s="101" t="s">
        <v>1</v>
      </c>
      <c r="S4" s="75" t="s">
        <v>49</v>
      </c>
      <c r="T4" s="75" t="s">
        <v>50</v>
      </c>
      <c r="U4" s="75" t="s">
        <v>72</v>
      </c>
      <c r="V4" s="72" t="s">
        <v>18</v>
      </c>
    </row>
    <row r="5" spans="1:22" ht="15" customHeight="1" x14ac:dyDescent="0.25">
      <c r="A5" s="66">
        <v>20</v>
      </c>
      <c r="B5" s="66">
        <v>63</v>
      </c>
      <c r="C5" s="66"/>
      <c r="D5" s="66"/>
      <c r="E5" s="66"/>
      <c r="F5" s="77">
        <v>73</v>
      </c>
      <c r="G5" s="66"/>
      <c r="H5" s="66"/>
      <c r="I5" s="66"/>
      <c r="J5" s="66"/>
      <c r="K5" s="77"/>
      <c r="L5" s="66"/>
      <c r="M5" s="106">
        <f t="shared" ref="M5:M40" si="0">IF(COUNTIF(A5:E5,"*-*")&gt;0,"-",IF(COUNTBLANK(A5:E5)=5,"",IF(N$3="-","-",SUM(A5:E5))))</f>
        <v>83</v>
      </c>
      <c r="N5" s="92">
        <f>IF(M5="","",IF(M5="-","-",M5/N$3))</f>
        <v>0.83</v>
      </c>
      <c r="O5" s="81" t="str">
        <f>IF(N5="","",VLOOKUP(N5,Table1[],2,TRUE))</f>
        <v>A-</v>
      </c>
      <c r="P5" s="87">
        <f t="shared" ref="P5:P40" si="1">IF(COUNTIF(F5:J5,"*-*")&gt;0,"-",IF(COUNTBLANK(F5:J5)=5,"",IF(Q$3="-","-",SUM(F5:J5))))</f>
        <v>73</v>
      </c>
      <c r="Q5" s="94">
        <f>IF(P5="","",IF(P5="-", "-",P5/Q$3))</f>
        <v>0.73</v>
      </c>
      <c r="R5" s="82" t="str">
        <f>IF(Q5="","",VLOOKUP(Q5,Table1[],2,TRUE))</f>
        <v>B</v>
      </c>
      <c r="S5" s="90" t="str">
        <f>IF(AND(N5="",Q5=""),"",IF(OR(N5="-",Q5="-"),"-",IF(AND(N$3&lt;&gt;0,Q$3&lt;&gt;0),VLOOKUP(AVERAGE(N5,Q5),Table1[],2,TRUE),IF(AND(N$3&lt;&gt;0,Q$3=0),O5,R5))))</f>
        <v>B+</v>
      </c>
      <c r="T5" s="70"/>
      <c r="U5" s="70" t="str">
        <f>IF(ISBLANK(T5),S5,T5)</f>
        <v>B+</v>
      </c>
      <c r="V5" s="72" t="s">
        <v>18</v>
      </c>
    </row>
    <row r="6" spans="1:22" ht="15" customHeight="1" x14ac:dyDescent="0.25">
      <c r="A6" s="66" t="s">
        <v>18</v>
      </c>
      <c r="B6" s="66" t="s">
        <v>18</v>
      </c>
      <c r="C6" s="66"/>
      <c r="D6" s="66"/>
      <c r="E6" s="66"/>
      <c r="F6" s="77">
        <v>42</v>
      </c>
      <c r="G6" s="66"/>
      <c r="H6" s="66"/>
      <c r="I6" s="66"/>
      <c r="J6" s="66"/>
      <c r="K6" s="77"/>
      <c r="L6" s="66"/>
      <c r="M6" s="106" t="str">
        <f t="shared" si="0"/>
        <v>-</v>
      </c>
      <c r="N6" s="92" t="str">
        <f t="shared" ref="N6:N39" si="2">IF(M6="","",IF(M6="-","-",M6/N$3))</f>
        <v>-</v>
      </c>
      <c r="O6" s="81" t="str">
        <f>IF(M6="","",VLOOKUP(N6,Table1[],2,TRUE))</f>
        <v>-</v>
      </c>
      <c r="P6" s="88">
        <f t="shared" si="1"/>
        <v>42</v>
      </c>
      <c r="Q6" s="94">
        <f>IF(P6="","",IF(P6="-", "-",P6/Q$3))</f>
        <v>0.42</v>
      </c>
      <c r="R6" s="82" t="str">
        <f>IF(P6="","",VLOOKUP(Q6,Table1[],2,TRUE))</f>
        <v>D+</v>
      </c>
      <c r="S6" s="90" t="str">
        <f>IF(AND(N6="",Q6=""),"",IF(OR(N6="-",Q6="-"),"-",IF(AND(N$3&lt;&gt;0,Q$3&lt;&gt;0),VLOOKUP(AVERAGE(N6,Q6),Table1[],2,TRUE),IF(AND(N$3&lt;&gt;0,Q$3=0),O6,R6))))</f>
        <v>-</v>
      </c>
      <c r="T6" s="108"/>
      <c r="U6" s="70" t="str">
        <f t="shared" ref="U6:U40" si="3">IF(ISBLANK(T6),S6,T6)</f>
        <v>-</v>
      </c>
      <c r="V6" s="72" t="s">
        <v>18</v>
      </c>
    </row>
    <row r="7" spans="1:22" ht="15" customHeight="1" x14ac:dyDescent="0.25">
      <c r="A7" s="66">
        <v>15</v>
      </c>
      <c r="B7" s="66" t="s">
        <v>18</v>
      </c>
      <c r="C7" s="66"/>
      <c r="D7" s="66"/>
      <c r="E7" s="66"/>
      <c r="F7" s="77">
        <v>84</v>
      </c>
      <c r="G7" s="66"/>
      <c r="H7" s="66"/>
      <c r="I7" s="66"/>
      <c r="J7" s="66"/>
      <c r="K7" s="77"/>
      <c r="L7" s="66"/>
      <c r="M7" s="106" t="str">
        <f t="shared" si="0"/>
        <v>-</v>
      </c>
      <c r="N7" s="92" t="str">
        <f t="shared" si="2"/>
        <v>-</v>
      </c>
      <c r="O7" s="81" t="str">
        <f>IF(M7="","",VLOOKUP(N7,Table1[],2,TRUE))</f>
        <v>-</v>
      </c>
      <c r="P7" s="88">
        <f t="shared" si="1"/>
        <v>84</v>
      </c>
      <c r="Q7" s="94">
        <f t="shared" ref="Q7:Q39" si="4">IF(P7="","",IF(P7="-", "-",P7/Q$3))</f>
        <v>0.84</v>
      </c>
      <c r="R7" s="82" t="str">
        <f>IF(P7="","",VLOOKUP(Q7,Table1[],2,TRUE))</f>
        <v>A-</v>
      </c>
      <c r="S7" s="90" t="str">
        <f>IF(AND(N7="",Q7=""),"",IF(OR(N7="-",Q7="-"),"-",IF(AND(N$3&lt;&gt;0,Q$3&lt;&gt;0),VLOOKUP(AVERAGE(N7,Q7),Table1[],2,TRUE),IF(AND(N$3&lt;&gt;0,Q$3=0),O7,R7))))</f>
        <v>-</v>
      </c>
      <c r="T7" s="108" t="s">
        <v>11</v>
      </c>
      <c r="U7" s="70" t="str">
        <f t="shared" si="3"/>
        <v>C+</v>
      </c>
      <c r="V7" s="72" t="s">
        <v>18</v>
      </c>
    </row>
    <row r="8" spans="1:22" ht="15" customHeight="1" x14ac:dyDescent="0.25">
      <c r="A8" s="66"/>
      <c r="B8" s="66"/>
      <c r="C8" s="66"/>
      <c r="D8" s="66"/>
      <c r="E8" s="66"/>
      <c r="F8" s="77"/>
      <c r="G8" s="66"/>
      <c r="H8" s="66"/>
      <c r="I8" s="66"/>
      <c r="J8" s="66"/>
      <c r="K8" s="77"/>
      <c r="L8" s="66"/>
      <c r="M8" s="106" t="str">
        <f t="shared" si="0"/>
        <v/>
      </c>
      <c r="N8" s="92" t="str">
        <f t="shared" si="2"/>
        <v/>
      </c>
      <c r="O8" s="81" t="str">
        <f>IF(M8="","",VLOOKUP(N8,Table1[],2,TRUE))</f>
        <v/>
      </c>
      <c r="P8" s="88" t="str">
        <f t="shared" si="1"/>
        <v/>
      </c>
      <c r="Q8" s="94" t="str">
        <f t="shared" si="4"/>
        <v/>
      </c>
      <c r="R8" s="82" t="str">
        <f>IF(P8="","",VLOOKUP(Q8,Table1[],2,TRUE))</f>
        <v/>
      </c>
      <c r="S8" s="90" t="str">
        <f>IF(AND(N8="",Q8=""),"",IF(OR(N8="-",Q8="-"),"-",IF(AND(N$3&lt;&gt;0,Q$3&lt;&gt;0),VLOOKUP(AVERAGE(N8,Q8),Table1[],2,TRUE),IF(AND(N$3&lt;&gt;0,Q$3=0),O8,R8))))</f>
        <v/>
      </c>
      <c r="T8" s="70"/>
      <c r="U8" s="70" t="str">
        <f t="shared" si="3"/>
        <v/>
      </c>
      <c r="V8" s="72" t="s">
        <v>18</v>
      </c>
    </row>
    <row r="9" spans="1:22" ht="15" customHeight="1" x14ac:dyDescent="0.25">
      <c r="A9" s="66"/>
      <c r="B9" s="66"/>
      <c r="C9" s="66"/>
      <c r="D9" s="66"/>
      <c r="E9" s="66"/>
      <c r="F9" s="77"/>
      <c r="G9" s="66"/>
      <c r="H9" s="66"/>
      <c r="I9" s="66"/>
      <c r="J9" s="66"/>
      <c r="K9" s="77"/>
      <c r="L9" s="66"/>
      <c r="M9" s="106" t="str">
        <f t="shared" si="0"/>
        <v/>
      </c>
      <c r="N9" s="92" t="str">
        <f t="shared" si="2"/>
        <v/>
      </c>
      <c r="O9" s="81" t="str">
        <f>IF(M9="","",VLOOKUP(N9,Table1[],2,TRUE))</f>
        <v/>
      </c>
      <c r="P9" s="88" t="str">
        <f t="shared" si="1"/>
        <v/>
      </c>
      <c r="Q9" s="94" t="str">
        <f t="shared" si="4"/>
        <v/>
      </c>
      <c r="R9" s="82" t="str">
        <f>IF(P9="","",VLOOKUP(Q9,Table1[],2,TRUE))</f>
        <v/>
      </c>
      <c r="S9" s="90" t="str">
        <f>IF(AND(N9="",Q9=""),"",IF(OR(N9="-",Q9="-"),"-",IF(AND(N$3&lt;&gt;0,Q$3&lt;&gt;0),VLOOKUP(AVERAGE(N9,Q9),Table1[],2,TRUE),IF(AND(N$3&lt;&gt;0,Q$3=0),O9,R9))))</f>
        <v/>
      </c>
      <c r="T9" s="70"/>
      <c r="U9" s="70" t="str">
        <f t="shared" si="3"/>
        <v/>
      </c>
      <c r="V9" s="72" t="s">
        <v>18</v>
      </c>
    </row>
    <row r="10" spans="1:22" ht="15" customHeight="1" x14ac:dyDescent="0.25">
      <c r="A10" s="66"/>
      <c r="B10" s="66"/>
      <c r="C10" s="66"/>
      <c r="D10" s="66"/>
      <c r="E10" s="66"/>
      <c r="F10" s="77"/>
      <c r="G10" s="66"/>
      <c r="H10" s="66"/>
      <c r="I10" s="66"/>
      <c r="J10" s="66"/>
      <c r="K10" s="77"/>
      <c r="L10" s="66"/>
      <c r="M10" s="106" t="str">
        <f t="shared" si="0"/>
        <v/>
      </c>
      <c r="N10" s="92" t="str">
        <f t="shared" si="2"/>
        <v/>
      </c>
      <c r="O10" s="81" t="str">
        <f>IF(M10="","",VLOOKUP(N10,Table1[],2,TRUE))</f>
        <v/>
      </c>
      <c r="P10" s="88" t="str">
        <f t="shared" si="1"/>
        <v/>
      </c>
      <c r="Q10" s="94" t="str">
        <f t="shared" si="4"/>
        <v/>
      </c>
      <c r="R10" s="82" t="str">
        <f>IF(P10="","",VLOOKUP(Q10,Table1[],2,TRUE))</f>
        <v/>
      </c>
      <c r="S10" s="90" t="str">
        <f>IF(AND(N10="",Q10=""),"",IF(OR(N10="-",Q10="-"),"-",IF(AND(N$3&lt;&gt;0,Q$3&lt;&gt;0),VLOOKUP(AVERAGE(N10,Q10),Table1[],2,TRUE),IF(AND(N$3&lt;&gt;0,Q$3=0),O10,R10))))</f>
        <v/>
      </c>
      <c r="T10" s="70"/>
      <c r="U10" s="70" t="str">
        <f t="shared" si="3"/>
        <v/>
      </c>
      <c r="V10" s="72" t="s">
        <v>18</v>
      </c>
    </row>
    <row r="11" spans="1:22" ht="15" customHeight="1" x14ac:dyDescent="0.25">
      <c r="A11" s="66"/>
      <c r="B11" s="66"/>
      <c r="C11" s="66"/>
      <c r="D11" s="66"/>
      <c r="E11" s="66"/>
      <c r="F11" s="77"/>
      <c r="G11" s="66"/>
      <c r="H11" s="66"/>
      <c r="I11" s="66"/>
      <c r="J11" s="66"/>
      <c r="K11" s="77"/>
      <c r="L11" s="66"/>
      <c r="M11" s="106" t="str">
        <f t="shared" si="0"/>
        <v/>
      </c>
      <c r="N11" s="92" t="str">
        <f t="shared" si="2"/>
        <v/>
      </c>
      <c r="O11" s="81" t="str">
        <f>IF(M11="","",VLOOKUP(N11,Table1[],2,TRUE))</f>
        <v/>
      </c>
      <c r="P11" s="88" t="str">
        <f t="shared" si="1"/>
        <v/>
      </c>
      <c r="Q11" s="94" t="str">
        <f t="shared" si="4"/>
        <v/>
      </c>
      <c r="R11" s="82" t="str">
        <f>IF(P11="","",VLOOKUP(Q11,Table1[],2,TRUE))</f>
        <v/>
      </c>
      <c r="S11" s="90" t="str">
        <f>IF(AND(N11="",Q11=""),"",IF(OR(N11="-",Q11="-"),"-",IF(AND(N$3&lt;&gt;0,Q$3&lt;&gt;0),VLOOKUP(AVERAGE(N11,Q11),Table1[],2,TRUE),IF(AND(N$3&lt;&gt;0,Q$3=0),O11,R11))))</f>
        <v/>
      </c>
      <c r="T11" s="70"/>
      <c r="U11" s="70" t="str">
        <f t="shared" si="3"/>
        <v/>
      </c>
      <c r="V11" s="72" t="s">
        <v>18</v>
      </c>
    </row>
    <row r="12" spans="1:22" ht="15" customHeight="1" x14ac:dyDescent="0.25">
      <c r="A12" s="66"/>
      <c r="B12" s="66"/>
      <c r="C12" s="66"/>
      <c r="D12" s="66"/>
      <c r="E12" s="66"/>
      <c r="F12" s="77"/>
      <c r="G12" s="66"/>
      <c r="H12" s="66"/>
      <c r="I12" s="66"/>
      <c r="J12" s="66"/>
      <c r="K12" s="77"/>
      <c r="L12" s="66"/>
      <c r="M12" s="106" t="str">
        <f t="shared" si="0"/>
        <v/>
      </c>
      <c r="N12" s="92" t="str">
        <f t="shared" si="2"/>
        <v/>
      </c>
      <c r="O12" s="81" t="str">
        <f>IF(M12="","",VLOOKUP(N12,Table1[],2,TRUE))</f>
        <v/>
      </c>
      <c r="P12" s="88" t="str">
        <f t="shared" si="1"/>
        <v/>
      </c>
      <c r="Q12" s="94" t="str">
        <f t="shared" si="4"/>
        <v/>
      </c>
      <c r="R12" s="82" t="str">
        <f>IF(P12="","",VLOOKUP(Q12,Table1[],2,TRUE))</f>
        <v/>
      </c>
      <c r="S12" s="90" t="str">
        <f>IF(AND(N12="",Q12=""),"",IF(OR(N12="-",Q12="-"),"-",IF(AND(N$3&lt;&gt;0,Q$3&lt;&gt;0),VLOOKUP(AVERAGE(N12,Q12),Table1[],2,TRUE),IF(AND(N$3&lt;&gt;0,Q$3=0),O12,R12))))</f>
        <v/>
      </c>
      <c r="T12" s="70"/>
      <c r="U12" s="70" t="str">
        <f t="shared" si="3"/>
        <v/>
      </c>
      <c r="V12" s="72" t="s">
        <v>18</v>
      </c>
    </row>
    <row r="13" spans="1:22" ht="15" customHeight="1" x14ac:dyDescent="0.25">
      <c r="A13" s="66"/>
      <c r="B13" s="66"/>
      <c r="C13" s="66"/>
      <c r="D13" s="66"/>
      <c r="E13" s="66"/>
      <c r="F13" s="77"/>
      <c r="G13" s="66"/>
      <c r="H13" s="66"/>
      <c r="I13" s="66"/>
      <c r="J13" s="66"/>
      <c r="K13" s="77"/>
      <c r="L13" s="66"/>
      <c r="M13" s="106" t="str">
        <f t="shared" si="0"/>
        <v/>
      </c>
      <c r="N13" s="92" t="str">
        <f t="shared" si="2"/>
        <v/>
      </c>
      <c r="O13" s="81" t="str">
        <f>IF(M13="","",VLOOKUP(N13,Table1[],2,TRUE))</f>
        <v/>
      </c>
      <c r="P13" s="88" t="str">
        <f t="shared" si="1"/>
        <v/>
      </c>
      <c r="Q13" s="94" t="str">
        <f t="shared" si="4"/>
        <v/>
      </c>
      <c r="R13" s="82" t="str">
        <f>IF(P13="","",VLOOKUP(Q13,Table1[],2,TRUE))</f>
        <v/>
      </c>
      <c r="S13" s="90" t="str">
        <f>IF(AND(N13="",Q13=""),"",IF(OR(N13="-",Q13="-"),"-",IF(AND(N$3&lt;&gt;0,Q$3&lt;&gt;0),VLOOKUP(AVERAGE(N13,Q13),Table1[],2,TRUE),IF(AND(N$3&lt;&gt;0,Q$3=0),O13,R13))))</f>
        <v/>
      </c>
      <c r="T13" s="70"/>
      <c r="U13" s="70" t="str">
        <f t="shared" si="3"/>
        <v/>
      </c>
      <c r="V13" s="72" t="s">
        <v>18</v>
      </c>
    </row>
    <row r="14" spans="1:22" x14ac:dyDescent="0.25">
      <c r="A14" s="66"/>
      <c r="B14" s="66"/>
      <c r="C14" s="66"/>
      <c r="D14" s="66"/>
      <c r="E14" s="66"/>
      <c r="F14" s="77"/>
      <c r="G14" s="66"/>
      <c r="H14" s="66"/>
      <c r="I14" s="66"/>
      <c r="J14" s="66"/>
      <c r="K14" s="77"/>
      <c r="L14" s="66"/>
      <c r="M14" s="106" t="str">
        <f t="shared" si="0"/>
        <v/>
      </c>
      <c r="N14" s="92" t="str">
        <f t="shared" si="2"/>
        <v/>
      </c>
      <c r="O14" s="81" t="str">
        <f>IF(M14="","",VLOOKUP(N14,Table1[],2,TRUE))</f>
        <v/>
      </c>
      <c r="P14" s="88" t="str">
        <f t="shared" si="1"/>
        <v/>
      </c>
      <c r="Q14" s="94" t="str">
        <f t="shared" si="4"/>
        <v/>
      </c>
      <c r="R14" s="82" t="str">
        <f>IF(P14="","",VLOOKUP(Q14,Table1[],2,TRUE))</f>
        <v/>
      </c>
      <c r="S14" s="90" t="str">
        <f>IF(AND(N14="",Q14=""),"",IF(OR(N14="-",Q14="-"),"-",IF(AND(N$3&lt;&gt;0,Q$3&lt;&gt;0),VLOOKUP(AVERAGE(N14,Q14),Table1[],2,TRUE),IF(AND(N$3&lt;&gt;0,Q$3=0),O14,R14))))</f>
        <v/>
      </c>
      <c r="T14" s="70"/>
      <c r="U14" s="70" t="str">
        <f t="shared" si="3"/>
        <v/>
      </c>
      <c r="V14" s="72" t="s">
        <v>18</v>
      </c>
    </row>
    <row r="15" spans="1:22" x14ac:dyDescent="0.25">
      <c r="A15" s="66"/>
      <c r="B15" s="66"/>
      <c r="C15" s="66"/>
      <c r="D15" s="66"/>
      <c r="E15" s="66"/>
      <c r="F15" s="77"/>
      <c r="G15" s="66"/>
      <c r="H15" s="66"/>
      <c r="I15" s="66"/>
      <c r="J15" s="66"/>
      <c r="K15" s="77"/>
      <c r="L15" s="66"/>
      <c r="M15" s="106" t="str">
        <f t="shared" si="0"/>
        <v/>
      </c>
      <c r="N15" s="92" t="str">
        <f t="shared" si="2"/>
        <v/>
      </c>
      <c r="O15" s="81" t="str">
        <f>IF(M15="","",VLOOKUP(N15,Table1[],2,TRUE))</f>
        <v/>
      </c>
      <c r="P15" s="88" t="str">
        <f t="shared" si="1"/>
        <v/>
      </c>
      <c r="Q15" s="94" t="str">
        <f t="shared" si="4"/>
        <v/>
      </c>
      <c r="R15" s="82" t="str">
        <f>IF(P15="","",VLOOKUP(Q15,Table1[],2,TRUE))</f>
        <v/>
      </c>
      <c r="S15" s="90" t="str">
        <f>IF(AND(N15="",Q15=""),"",IF(OR(N15="-",Q15="-"),"-",IF(AND(N$3&lt;&gt;0,Q$3&lt;&gt;0),VLOOKUP(AVERAGE(N15,Q15),Table1[],2,TRUE),IF(AND(N$3&lt;&gt;0,Q$3=0),O15,R15))))</f>
        <v/>
      </c>
      <c r="T15" s="70"/>
      <c r="U15" s="70" t="str">
        <f t="shared" si="3"/>
        <v/>
      </c>
      <c r="V15" s="72" t="s">
        <v>18</v>
      </c>
    </row>
    <row r="16" spans="1:22" x14ac:dyDescent="0.25">
      <c r="A16" s="66"/>
      <c r="B16" s="66"/>
      <c r="C16" s="66"/>
      <c r="D16" s="66"/>
      <c r="E16" s="66"/>
      <c r="F16" s="77"/>
      <c r="G16" s="66"/>
      <c r="H16" s="66"/>
      <c r="I16" s="66"/>
      <c r="J16" s="66"/>
      <c r="K16" s="77"/>
      <c r="L16" s="66"/>
      <c r="M16" s="106" t="str">
        <f t="shared" si="0"/>
        <v/>
      </c>
      <c r="N16" s="92" t="str">
        <f t="shared" si="2"/>
        <v/>
      </c>
      <c r="O16" s="81" t="str">
        <f>IF(M16="","",VLOOKUP(N16,Table1[],2,TRUE))</f>
        <v/>
      </c>
      <c r="P16" s="88" t="str">
        <f t="shared" si="1"/>
        <v/>
      </c>
      <c r="Q16" s="94" t="str">
        <f t="shared" si="4"/>
        <v/>
      </c>
      <c r="R16" s="82" t="str">
        <f>IF(P16="","",VLOOKUP(Q16,Table1[],2,TRUE))</f>
        <v/>
      </c>
      <c r="S16" s="90" t="str">
        <f>IF(AND(N16="",Q16=""),"",IF(OR(N16="-",Q16="-"),"-",IF(AND(N$3&lt;&gt;0,Q$3&lt;&gt;0),VLOOKUP(AVERAGE(N16,Q16),Table1[],2,TRUE),IF(AND(N$3&lt;&gt;0,Q$3=0),O16,R16))))</f>
        <v/>
      </c>
      <c r="T16" s="70"/>
      <c r="U16" s="70" t="str">
        <f t="shared" si="3"/>
        <v/>
      </c>
      <c r="V16" s="72" t="s">
        <v>18</v>
      </c>
    </row>
    <row r="17" spans="1:22" x14ac:dyDescent="0.25">
      <c r="A17" s="66"/>
      <c r="B17" s="66"/>
      <c r="C17" s="66"/>
      <c r="D17" s="66"/>
      <c r="E17" s="66"/>
      <c r="F17" s="77"/>
      <c r="G17" s="66"/>
      <c r="H17" s="66"/>
      <c r="I17" s="66"/>
      <c r="J17" s="66"/>
      <c r="K17" s="77"/>
      <c r="L17" s="66"/>
      <c r="M17" s="106" t="str">
        <f t="shared" si="0"/>
        <v/>
      </c>
      <c r="N17" s="92" t="str">
        <f t="shared" si="2"/>
        <v/>
      </c>
      <c r="O17" s="81" t="str">
        <f>IF(M17="","",VLOOKUP(N17,Table1[],2,TRUE))</f>
        <v/>
      </c>
      <c r="P17" s="88" t="str">
        <f t="shared" si="1"/>
        <v/>
      </c>
      <c r="Q17" s="94" t="str">
        <f t="shared" si="4"/>
        <v/>
      </c>
      <c r="R17" s="82" t="str">
        <f>IF(P17="","",VLOOKUP(Q17,Table1[],2,TRUE))</f>
        <v/>
      </c>
      <c r="S17" s="90" t="str">
        <f>IF(AND(N17="",Q17=""),"",IF(OR(N17="-",Q17="-"),"-",IF(AND(N$3&lt;&gt;0,Q$3&lt;&gt;0),VLOOKUP(AVERAGE(N17,Q17),Table1[],2,TRUE),IF(AND(N$3&lt;&gt;0,Q$3=0),O17,R17))))</f>
        <v/>
      </c>
      <c r="T17" s="70"/>
      <c r="U17" s="70" t="str">
        <f t="shared" si="3"/>
        <v/>
      </c>
      <c r="V17" s="72" t="s">
        <v>18</v>
      </c>
    </row>
    <row r="18" spans="1:22" x14ac:dyDescent="0.25">
      <c r="A18" s="66"/>
      <c r="B18" s="66"/>
      <c r="C18" s="66"/>
      <c r="D18" s="66"/>
      <c r="E18" s="66"/>
      <c r="F18" s="77"/>
      <c r="G18" s="66"/>
      <c r="H18" s="66"/>
      <c r="I18" s="66"/>
      <c r="J18" s="66"/>
      <c r="K18" s="77"/>
      <c r="L18" s="66"/>
      <c r="M18" s="106" t="str">
        <f t="shared" si="0"/>
        <v/>
      </c>
      <c r="N18" s="92" t="str">
        <f t="shared" si="2"/>
        <v/>
      </c>
      <c r="O18" s="81" t="str">
        <f>IF(M18="","",VLOOKUP(N18,Table1[],2,TRUE))</f>
        <v/>
      </c>
      <c r="P18" s="88" t="str">
        <f t="shared" si="1"/>
        <v/>
      </c>
      <c r="Q18" s="94" t="str">
        <f t="shared" si="4"/>
        <v/>
      </c>
      <c r="R18" s="82" t="str">
        <f>IF(P18="","",VLOOKUP(Q18,Table1[],2,TRUE))</f>
        <v/>
      </c>
      <c r="S18" s="90" t="str">
        <f>IF(AND(N18="",Q18=""),"",IF(OR(N18="-",Q18="-"),"-",IF(AND(N$3&lt;&gt;0,Q$3&lt;&gt;0),VLOOKUP(AVERAGE(N18,Q18),Table1[],2,TRUE),IF(AND(N$3&lt;&gt;0,Q$3=0),O18,R18))))</f>
        <v/>
      </c>
      <c r="T18" s="70"/>
      <c r="U18" s="70" t="str">
        <f t="shared" si="3"/>
        <v/>
      </c>
      <c r="V18" s="72" t="s">
        <v>18</v>
      </c>
    </row>
    <row r="19" spans="1:22" x14ac:dyDescent="0.25">
      <c r="A19" s="66"/>
      <c r="B19" s="66"/>
      <c r="C19" s="66"/>
      <c r="D19" s="66"/>
      <c r="E19" s="66"/>
      <c r="F19" s="77"/>
      <c r="G19" s="66"/>
      <c r="H19" s="66"/>
      <c r="I19" s="66"/>
      <c r="J19" s="66"/>
      <c r="K19" s="77"/>
      <c r="L19" s="66"/>
      <c r="M19" s="106" t="str">
        <f t="shared" si="0"/>
        <v/>
      </c>
      <c r="N19" s="92" t="str">
        <f t="shared" si="2"/>
        <v/>
      </c>
      <c r="O19" s="81" t="str">
        <f>IF(M19="","",VLOOKUP(N19,Table1[],2,TRUE))</f>
        <v/>
      </c>
      <c r="P19" s="88" t="str">
        <f t="shared" si="1"/>
        <v/>
      </c>
      <c r="Q19" s="94" t="str">
        <f t="shared" si="4"/>
        <v/>
      </c>
      <c r="R19" s="82" t="str">
        <f>IF(P19="","",VLOOKUP(Q19,Table1[],2,TRUE))</f>
        <v/>
      </c>
      <c r="S19" s="90" t="str">
        <f>IF(AND(N19="",Q19=""),"",IF(OR(N19="-",Q19="-"),"-",IF(AND(N$3&lt;&gt;0,Q$3&lt;&gt;0),VLOOKUP(AVERAGE(N19,Q19),Table1[],2,TRUE),IF(AND(N$3&lt;&gt;0,Q$3=0),O19,R19))))</f>
        <v/>
      </c>
      <c r="T19" s="70"/>
      <c r="U19" s="70" t="str">
        <f t="shared" si="3"/>
        <v/>
      </c>
      <c r="V19" s="72" t="s">
        <v>18</v>
      </c>
    </row>
    <row r="20" spans="1:22" x14ac:dyDescent="0.25">
      <c r="A20" s="66"/>
      <c r="B20" s="66"/>
      <c r="C20" s="66"/>
      <c r="D20" s="66"/>
      <c r="E20" s="66"/>
      <c r="F20" s="77"/>
      <c r="G20" s="66"/>
      <c r="H20" s="66"/>
      <c r="I20" s="66"/>
      <c r="J20" s="66"/>
      <c r="K20" s="77"/>
      <c r="L20" s="66"/>
      <c r="M20" s="106" t="str">
        <f t="shared" si="0"/>
        <v/>
      </c>
      <c r="N20" s="92" t="str">
        <f t="shared" si="2"/>
        <v/>
      </c>
      <c r="O20" s="81" t="str">
        <f>IF(M20="","",VLOOKUP(N20,Table1[],2,TRUE))</f>
        <v/>
      </c>
      <c r="P20" s="88" t="str">
        <f t="shared" si="1"/>
        <v/>
      </c>
      <c r="Q20" s="94" t="str">
        <f t="shared" si="4"/>
        <v/>
      </c>
      <c r="R20" s="82" t="str">
        <f>IF(P20="","",VLOOKUP(Q20,Table1[],2,TRUE))</f>
        <v/>
      </c>
      <c r="S20" s="90" t="str">
        <f>IF(AND(N20="",Q20=""),"",IF(OR(N20="-",Q20="-"),"-",IF(AND(N$3&lt;&gt;0,Q$3&lt;&gt;0),VLOOKUP(AVERAGE(N20,Q20),Table1[],2,TRUE),IF(AND(N$3&lt;&gt;0,Q$3=0),O20,R20))))</f>
        <v/>
      </c>
      <c r="T20" s="70"/>
      <c r="U20" s="70" t="str">
        <f t="shared" si="3"/>
        <v/>
      </c>
      <c r="V20" s="72" t="s">
        <v>18</v>
      </c>
    </row>
    <row r="21" spans="1:22" x14ac:dyDescent="0.25">
      <c r="A21" s="66"/>
      <c r="B21" s="66"/>
      <c r="C21" s="66"/>
      <c r="D21" s="66"/>
      <c r="E21" s="66"/>
      <c r="F21" s="77"/>
      <c r="G21" s="66"/>
      <c r="H21" s="66"/>
      <c r="I21" s="66"/>
      <c r="J21" s="66"/>
      <c r="K21" s="77"/>
      <c r="L21" s="66"/>
      <c r="M21" s="106" t="str">
        <f t="shared" si="0"/>
        <v/>
      </c>
      <c r="N21" s="92" t="str">
        <f t="shared" si="2"/>
        <v/>
      </c>
      <c r="O21" s="81" t="str">
        <f>IF(M21="","",VLOOKUP(N21,Table1[],2,TRUE))</f>
        <v/>
      </c>
      <c r="P21" s="88" t="str">
        <f t="shared" si="1"/>
        <v/>
      </c>
      <c r="Q21" s="94" t="str">
        <f t="shared" si="4"/>
        <v/>
      </c>
      <c r="R21" s="82" t="str">
        <f>IF(P21="","",VLOOKUP(Q21,Table1[],2,TRUE))</f>
        <v/>
      </c>
      <c r="S21" s="90" t="str">
        <f>IF(AND(N21="",Q21=""),"",IF(OR(N21="-",Q21="-"),"-",IF(AND(N$3&lt;&gt;0,Q$3&lt;&gt;0),VLOOKUP(AVERAGE(N21,Q21),Table1[],2,TRUE),IF(AND(N$3&lt;&gt;0,Q$3=0),O21,R21))))</f>
        <v/>
      </c>
      <c r="T21" s="70"/>
      <c r="U21" s="70" t="str">
        <f t="shared" si="3"/>
        <v/>
      </c>
      <c r="V21" s="72" t="s">
        <v>18</v>
      </c>
    </row>
    <row r="22" spans="1:22" x14ac:dyDescent="0.25">
      <c r="A22" s="66"/>
      <c r="B22" s="66"/>
      <c r="C22" s="66"/>
      <c r="D22" s="66"/>
      <c r="E22" s="66"/>
      <c r="F22" s="77"/>
      <c r="G22" s="66"/>
      <c r="H22" s="66"/>
      <c r="I22" s="66"/>
      <c r="J22" s="66"/>
      <c r="K22" s="77"/>
      <c r="L22" s="66"/>
      <c r="M22" s="106" t="str">
        <f t="shared" si="0"/>
        <v/>
      </c>
      <c r="N22" s="92" t="str">
        <f t="shared" si="2"/>
        <v/>
      </c>
      <c r="O22" s="81" t="str">
        <f>IF(M22="","",VLOOKUP(N22,Table1[],2,TRUE))</f>
        <v/>
      </c>
      <c r="P22" s="88" t="str">
        <f t="shared" si="1"/>
        <v/>
      </c>
      <c r="Q22" s="94" t="str">
        <f t="shared" si="4"/>
        <v/>
      </c>
      <c r="R22" s="82" t="str">
        <f>IF(P22="","",VLOOKUP(Q22,Table1[],2,TRUE))</f>
        <v/>
      </c>
      <c r="S22" s="90" t="str">
        <f>IF(AND(N22="",Q22=""),"",IF(OR(N22="-",Q22="-"),"-",IF(AND(N$3&lt;&gt;0,Q$3&lt;&gt;0),VLOOKUP(AVERAGE(N22,Q22),Table1[],2,TRUE),IF(AND(N$3&lt;&gt;0,Q$3=0),O22,R22))))</f>
        <v/>
      </c>
      <c r="T22" s="70"/>
      <c r="U22" s="70" t="str">
        <f t="shared" si="3"/>
        <v/>
      </c>
      <c r="V22" s="72" t="s">
        <v>18</v>
      </c>
    </row>
    <row r="23" spans="1:22" x14ac:dyDescent="0.25">
      <c r="A23" s="66"/>
      <c r="B23" s="66"/>
      <c r="C23" s="66"/>
      <c r="D23" s="66"/>
      <c r="E23" s="66"/>
      <c r="F23" s="77"/>
      <c r="G23" s="66"/>
      <c r="H23" s="66"/>
      <c r="I23" s="66"/>
      <c r="J23" s="66"/>
      <c r="K23" s="77"/>
      <c r="L23" s="66"/>
      <c r="M23" s="106" t="str">
        <f t="shared" si="0"/>
        <v/>
      </c>
      <c r="N23" s="92" t="str">
        <f t="shared" si="2"/>
        <v/>
      </c>
      <c r="O23" s="81" t="str">
        <f>IF(M23="","",VLOOKUP(N23,Table1[],2,TRUE))</f>
        <v/>
      </c>
      <c r="P23" s="88" t="str">
        <f t="shared" si="1"/>
        <v/>
      </c>
      <c r="Q23" s="94" t="str">
        <f t="shared" si="4"/>
        <v/>
      </c>
      <c r="R23" s="82" t="str">
        <f>IF(P23="","",VLOOKUP(Q23,Table1[],2,TRUE))</f>
        <v/>
      </c>
      <c r="S23" s="90" t="str">
        <f>IF(AND(N23="",Q23=""),"",IF(OR(N23="-",Q23="-"),"-",IF(AND(N$3&lt;&gt;0,Q$3&lt;&gt;0),VLOOKUP(AVERAGE(N23,Q23),Table1[],2,TRUE),IF(AND(N$3&lt;&gt;0,Q$3=0),O23,R23))))</f>
        <v/>
      </c>
      <c r="T23" s="70"/>
      <c r="U23" s="70" t="str">
        <f t="shared" si="3"/>
        <v/>
      </c>
      <c r="V23" s="72" t="s">
        <v>18</v>
      </c>
    </row>
    <row r="24" spans="1:22" x14ac:dyDescent="0.25">
      <c r="A24" s="66"/>
      <c r="B24" s="66"/>
      <c r="C24" s="66"/>
      <c r="D24" s="66"/>
      <c r="E24" s="66"/>
      <c r="F24" s="77"/>
      <c r="G24" s="66"/>
      <c r="H24" s="66"/>
      <c r="I24" s="66"/>
      <c r="J24" s="66"/>
      <c r="K24" s="77"/>
      <c r="L24" s="66"/>
      <c r="M24" s="106" t="str">
        <f t="shared" si="0"/>
        <v/>
      </c>
      <c r="N24" s="92" t="str">
        <f t="shared" si="2"/>
        <v/>
      </c>
      <c r="O24" s="81" t="str">
        <f>IF(M24="","",VLOOKUP(N24,Table1[],2,TRUE))</f>
        <v/>
      </c>
      <c r="P24" s="88" t="str">
        <f t="shared" si="1"/>
        <v/>
      </c>
      <c r="Q24" s="94" t="str">
        <f t="shared" si="4"/>
        <v/>
      </c>
      <c r="R24" s="82" t="str">
        <f>IF(P24="","",VLOOKUP(Q24,Table1[],2,TRUE))</f>
        <v/>
      </c>
      <c r="S24" s="90" t="str">
        <f>IF(AND(N24="",Q24=""),"",IF(OR(N24="-",Q24="-"),"-",IF(AND(N$3&lt;&gt;0,Q$3&lt;&gt;0),VLOOKUP(AVERAGE(N24,Q24),Table1[],2,TRUE),IF(AND(N$3&lt;&gt;0,Q$3=0),O24,R24))))</f>
        <v/>
      </c>
      <c r="T24" s="70"/>
      <c r="U24" s="70" t="str">
        <f t="shared" si="3"/>
        <v/>
      </c>
      <c r="V24" s="72" t="s">
        <v>18</v>
      </c>
    </row>
    <row r="25" spans="1:22" x14ac:dyDescent="0.25">
      <c r="A25" s="66"/>
      <c r="B25" s="66"/>
      <c r="C25" s="66"/>
      <c r="D25" s="66"/>
      <c r="E25" s="66"/>
      <c r="F25" s="77"/>
      <c r="G25" s="66"/>
      <c r="H25" s="66"/>
      <c r="I25" s="66"/>
      <c r="J25" s="66"/>
      <c r="K25" s="77"/>
      <c r="L25" s="66"/>
      <c r="M25" s="106" t="str">
        <f t="shared" si="0"/>
        <v/>
      </c>
      <c r="N25" s="92" t="str">
        <f t="shared" si="2"/>
        <v/>
      </c>
      <c r="O25" s="81" t="str">
        <f>IF(M25="","",VLOOKUP(N25,Table1[],2,TRUE))</f>
        <v/>
      </c>
      <c r="P25" s="88" t="str">
        <f t="shared" si="1"/>
        <v/>
      </c>
      <c r="Q25" s="94" t="str">
        <f t="shared" si="4"/>
        <v/>
      </c>
      <c r="R25" s="82" t="str">
        <f>IF(P25="","",VLOOKUP(Q25,Table1[],2,TRUE))</f>
        <v/>
      </c>
      <c r="S25" s="90" t="str">
        <f>IF(AND(N25="",Q25=""),"",IF(OR(N25="-",Q25="-"),"-",IF(AND(N$3&lt;&gt;0,Q$3&lt;&gt;0),VLOOKUP(AVERAGE(N25,Q25),Table1[],2,TRUE),IF(AND(N$3&lt;&gt;0,Q$3=0),O25,R25))))</f>
        <v/>
      </c>
      <c r="T25" s="70"/>
      <c r="U25" s="70" t="str">
        <f t="shared" si="3"/>
        <v/>
      </c>
      <c r="V25" s="72" t="s">
        <v>18</v>
      </c>
    </row>
    <row r="26" spans="1:22" x14ac:dyDescent="0.25">
      <c r="A26" s="66"/>
      <c r="B26" s="66"/>
      <c r="C26" s="66"/>
      <c r="D26" s="66"/>
      <c r="E26" s="66"/>
      <c r="F26" s="77"/>
      <c r="G26" s="66"/>
      <c r="H26" s="66"/>
      <c r="I26" s="66"/>
      <c r="J26" s="66"/>
      <c r="K26" s="77"/>
      <c r="L26" s="66"/>
      <c r="M26" s="106" t="str">
        <f t="shared" si="0"/>
        <v/>
      </c>
      <c r="N26" s="92" t="str">
        <f t="shared" si="2"/>
        <v/>
      </c>
      <c r="O26" s="81" t="str">
        <f>IF(M26="","",VLOOKUP(N26,Table1[],2,TRUE))</f>
        <v/>
      </c>
      <c r="P26" s="88" t="str">
        <f t="shared" si="1"/>
        <v/>
      </c>
      <c r="Q26" s="94" t="str">
        <f t="shared" si="4"/>
        <v/>
      </c>
      <c r="R26" s="82" t="str">
        <f>IF(P26="","",VLOOKUP(Q26,Table1[],2,TRUE))</f>
        <v/>
      </c>
      <c r="S26" s="90" t="str">
        <f>IF(AND(N26="",Q26=""),"",IF(OR(N26="-",Q26="-"),"-",IF(AND(N$3&lt;&gt;0,Q$3&lt;&gt;0),VLOOKUP(AVERAGE(N26,Q26),Table1[],2,TRUE),IF(AND(N$3&lt;&gt;0,Q$3=0),O26,R26))))</f>
        <v/>
      </c>
      <c r="T26" s="70"/>
      <c r="U26" s="70" t="str">
        <f t="shared" si="3"/>
        <v/>
      </c>
      <c r="V26" s="72" t="s">
        <v>18</v>
      </c>
    </row>
    <row r="27" spans="1:22" x14ac:dyDescent="0.25">
      <c r="A27" s="66"/>
      <c r="B27" s="66"/>
      <c r="C27" s="66"/>
      <c r="D27" s="66"/>
      <c r="E27" s="66"/>
      <c r="F27" s="77"/>
      <c r="G27" s="66"/>
      <c r="H27" s="66"/>
      <c r="I27" s="66"/>
      <c r="J27" s="66"/>
      <c r="K27" s="77"/>
      <c r="L27" s="66"/>
      <c r="M27" s="106" t="str">
        <f t="shared" si="0"/>
        <v/>
      </c>
      <c r="N27" s="92" t="str">
        <f t="shared" si="2"/>
        <v/>
      </c>
      <c r="O27" s="81" t="str">
        <f>IF(M27="","",VLOOKUP(N27,Table1[],2,TRUE))</f>
        <v/>
      </c>
      <c r="P27" s="88" t="str">
        <f t="shared" si="1"/>
        <v/>
      </c>
      <c r="Q27" s="94" t="str">
        <f t="shared" si="4"/>
        <v/>
      </c>
      <c r="R27" s="82" t="str">
        <f>IF(P27="","",VLOOKUP(Q27,Table1[],2,TRUE))</f>
        <v/>
      </c>
      <c r="S27" s="90" t="str">
        <f>IF(AND(N27="",Q27=""),"",IF(OR(N27="-",Q27="-"),"-",IF(AND(N$3&lt;&gt;0,Q$3&lt;&gt;0),VLOOKUP(AVERAGE(N27,Q27),Table1[],2,TRUE),IF(AND(N$3&lt;&gt;0,Q$3=0),O27,R27))))</f>
        <v/>
      </c>
      <c r="T27" s="70"/>
      <c r="U27" s="70" t="str">
        <f t="shared" si="3"/>
        <v/>
      </c>
      <c r="V27" s="72" t="s">
        <v>18</v>
      </c>
    </row>
    <row r="28" spans="1:22" x14ac:dyDescent="0.25">
      <c r="A28" s="66"/>
      <c r="B28" s="66"/>
      <c r="C28" s="66"/>
      <c r="D28" s="66"/>
      <c r="E28" s="66"/>
      <c r="F28" s="77"/>
      <c r="G28" s="66"/>
      <c r="H28" s="66"/>
      <c r="I28" s="66"/>
      <c r="J28" s="66"/>
      <c r="K28" s="77"/>
      <c r="L28" s="66"/>
      <c r="M28" s="106" t="str">
        <f t="shared" si="0"/>
        <v/>
      </c>
      <c r="N28" s="92" t="str">
        <f t="shared" si="2"/>
        <v/>
      </c>
      <c r="O28" s="81" t="str">
        <f>IF(M28="","",VLOOKUP(N28,Table1[],2,TRUE))</f>
        <v/>
      </c>
      <c r="P28" s="88" t="str">
        <f t="shared" si="1"/>
        <v/>
      </c>
      <c r="Q28" s="94" t="str">
        <f t="shared" si="4"/>
        <v/>
      </c>
      <c r="R28" s="82" t="str">
        <f>IF(P28="","",VLOOKUP(Q28,Table1[],2,TRUE))</f>
        <v/>
      </c>
      <c r="S28" s="90" t="str">
        <f>IF(AND(N28="",Q28=""),"",IF(OR(N28="-",Q28="-"),"-",IF(AND(N$3&lt;&gt;0,Q$3&lt;&gt;0),VLOOKUP(AVERAGE(N28,Q28),Table1[],2,TRUE),IF(AND(N$3&lt;&gt;0,Q$3=0),O28,R28))))</f>
        <v/>
      </c>
      <c r="T28" s="70"/>
      <c r="U28" s="70" t="str">
        <f t="shared" si="3"/>
        <v/>
      </c>
      <c r="V28" s="72" t="s">
        <v>18</v>
      </c>
    </row>
    <row r="29" spans="1:22" x14ac:dyDescent="0.25">
      <c r="A29" s="66"/>
      <c r="B29" s="66"/>
      <c r="C29" s="66"/>
      <c r="D29" s="66"/>
      <c r="E29" s="66"/>
      <c r="F29" s="77"/>
      <c r="G29" s="66"/>
      <c r="H29" s="66"/>
      <c r="I29" s="66"/>
      <c r="J29" s="66"/>
      <c r="K29" s="77"/>
      <c r="L29" s="66"/>
      <c r="M29" s="106" t="str">
        <f t="shared" si="0"/>
        <v/>
      </c>
      <c r="N29" s="92" t="str">
        <f t="shared" si="2"/>
        <v/>
      </c>
      <c r="O29" s="81" t="str">
        <f>IF(M29="","",VLOOKUP(N29,Table1[],2,TRUE))</f>
        <v/>
      </c>
      <c r="P29" s="88" t="str">
        <f t="shared" si="1"/>
        <v/>
      </c>
      <c r="Q29" s="94" t="str">
        <f t="shared" si="4"/>
        <v/>
      </c>
      <c r="R29" s="82" t="str">
        <f>IF(P29="","",VLOOKUP(Q29,Table1[],2,TRUE))</f>
        <v/>
      </c>
      <c r="S29" s="90" t="str">
        <f>IF(AND(N29="",Q29=""),"",IF(OR(N29="-",Q29="-"),"-",IF(AND(N$3&lt;&gt;0,Q$3&lt;&gt;0),VLOOKUP(AVERAGE(N29,Q29),Table1[],2,TRUE),IF(AND(N$3&lt;&gt;0,Q$3=0),O29,R29))))</f>
        <v/>
      </c>
      <c r="T29" s="70"/>
      <c r="U29" s="70" t="str">
        <f t="shared" si="3"/>
        <v/>
      </c>
      <c r="V29" s="72" t="s">
        <v>18</v>
      </c>
    </row>
    <row r="30" spans="1:22" x14ac:dyDescent="0.25">
      <c r="A30" s="66"/>
      <c r="B30" s="66"/>
      <c r="C30" s="66"/>
      <c r="D30" s="66"/>
      <c r="E30" s="66"/>
      <c r="F30" s="77"/>
      <c r="G30" s="66"/>
      <c r="H30" s="66"/>
      <c r="I30" s="66"/>
      <c r="J30" s="66"/>
      <c r="K30" s="77"/>
      <c r="L30" s="66"/>
      <c r="M30" s="106" t="str">
        <f t="shared" si="0"/>
        <v/>
      </c>
      <c r="N30" s="92" t="str">
        <f t="shared" si="2"/>
        <v/>
      </c>
      <c r="O30" s="81" t="str">
        <f>IF(M30="","",VLOOKUP(N30,Table1[],2,TRUE))</f>
        <v/>
      </c>
      <c r="P30" s="88" t="str">
        <f t="shared" si="1"/>
        <v/>
      </c>
      <c r="Q30" s="94" t="str">
        <f t="shared" si="4"/>
        <v/>
      </c>
      <c r="R30" s="82" t="str">
        <f>IF(P30="","",VLOOKUP(Q30,Table1[],2,TRUE))</f>
        <v/>
      </c>
      <c r="S30" s="90" t="str">
        <f>IF(AND(N30="",Q30=""),"",IF(OR(N30="-",Q30="-"),"-",IF(AND(N$3&lt;&gt;0,Q$3&lt;&gt;0),VLOOKUP(AVERAGE(N30,Q30),Table1[],2,TRUE),IF(AND(N$3&lt;&gt;0,Q$3=0),O30,R30))))</f>
        <v/>
      </c>
      <c r="T30" s="70"/>
      <c r="U30" s="70" t="str">
        <f t="shared" si="3"/>
        <v/>
      </c>
      <c r="V30" s="72" t="s">
        <v>18</v>
      </c>
    </row>
    <row r="31" spans="1:22" x14ac:dyDescent="0.25">
      <c r="A31" s="66"/>
      <c r="B31" s="66"/>
      <c r="C31" s="66"/>
      <c r="D31" s="66"/>
      <c r="E31" s="66"/>
      <c r="F31" s="77"/>
      <c r="G31" s="66"/>
      <c r="H31" s="66"/>
      <c r="I31" s="66"/>
      <c r="J31" s="66"/>
      <c r="K31" s="77"/>
      <c r="L31" s="66"/>
      <c r="M31" s="106" t="str">
        <f t="shared" si="0"/>
        <v/>
      </c>
      <c r="N31" s="92" t="str">
        <f t="shared" si="2"/>
        <v/>
      </c>
      <c r="O31" s="81" t="str">
        <f>IF(M31="","",VLOOKUP(N31,Table1[],2,TRUE))</f>
        <v/>
      </c>
      <c r="P31" s="88" t="str">
        <f t="shared" si="1"/>
        <v/>
      </c>
      <c r="Q31" s="94" t="str">
        <f t="shared" si="4"/>
        <v/>
      </c>
      <c r="R31" s="82" t="str">
        <f>IF(P31="","",VLOOKUP(Q31,Table1[],2,TRUE))</f>
        <v/>
      </c>
      <c r="S31" s="90" t="str">
        <f>IF(AND(N31="",Q31=""),"",IF(OR(N31="-",Q31="-"),"-",IF(AND(N$3&lt;&gt;0,Q$3&lt;&gt;0),VLOOKUP(AVERAGE(N31,Q31),Table1[],2,TRUE),IF(AND(N$3&lt;&gt;0,Q$3=0),O31,R31))))</f>
        <v/>
      </c>
      <c r="T31" s="70"/>
      <c r="U31" s="70" t="str">
        <f t="shared" si="3"/>
        <v/>
      </c>
      <c r="V31" s="72" t="s">
        <v>18</v>
      </c>
    </row>
    <row r="32" spans="1:22" x14ac:dyDescent="0.25">
      <c r="A32" s="66"/>
      <c r="B32" s="66"/>
      <c r="C32" s="66"/>
      <c r="D32" s="66"/>
      <c r="E32" s="66"/>
      <c r="F32" s="77"/>
      <c r="G32" s="66"/>
      <c r="H32" s="66"/>
      <c r="I32" s="66"/>
      <c r="J32" s="66"/>
      <c r="K32" s="77"/>
      <c r="L32" s="66"/>
      <c r="M32" s="106" t="str">
        <f t="shared" si="0"/>
        <v/>
      </c>
      <c r="N32" s="92" t="str">
        <f t="shared" si="2"/>
        <v/>
      </c>
      <c r="O32" s="81" t="str">
        <f>IF(M32="","",VLOOKUP(N32,Table1[],2,TRUE))</f>
        <v/>
      </c>
      <c r="P32" s="88" t="str">
        <f t="shared" si="1"/>
        <v/>
      </c>
      <c r="Q32" s="94" t="str">
        <f t="shared" si="4"/>
        <v/>
      </c>
      <c r="R32" s="82" t="str">
        <f>IF(P32="","",VLOOKUP(Q32,Table1[],2,TRUE))</f>
        <v/>
      </c>
      <c r="S32" s="90" t="str">
        <f>IF(AND(N32="",Q32=""),"",IF(OR(N32="-",Q32="-"),"-",IF(AND(N$3&lt;&gt;0,Q$3&lt;&gt;0),VLOOKUP(AVERAGE(N32,Q32),Table1[],2,TRUE),IF(AND(N$3&lt;&gt;0,Q$3=0),O32,R32))))</f>
        <v/>
      </c>
      <c r="T32" s="70"/>
      <c r="U32" s="70" t="str">
        <f t="shared" si="3"/>
        <v/>
      </c>
      <c r="V32" s="72" t="s">
        <v>18</v>
      </c>
    </row>
    <row r="33" spans="1:22" x14ac:dyDescent="0.25">
      <c r="A33" s="66"/>
      <c r="B33" s="66"/>
      <c r="C33" s="66"/>
      <c r="D33" s="66"/>
      <c r="E33" s="66"/>
      <c r="F33" s="77"/>
      <c r="G33" s="66"/>
      <c r="H33" s="66"/>
      <c r="I33" s="66"/>
      <c r="J33" s="66"/>
      <c r="K33" s="77"/>
      <c r="L33" s="66"/>
      <c r="M33" s="106" t="str">
        <f t="shared" si="0"/>
        <v/>
      </c>
      <c r="N33" s="92" t="str">
        <f t="shared" si="2"/>
        <v/>
      </c>
      <c r="O33" s="81" t="str">
        <f>IF(M33="","",VLOOKUP(N33,Table1[],2,TRUE))</f>
        <v/>
      </c>
      <c r="P33" s="88" t="str">
        <f t="shared" si="1"/>
        <v/>
      </c>
      <c r="Q33" s="94" t="str">
        <f t="shared" si="4"/>
        <v/>
      </c>
      <c r="R33" s="82" t="str">
        <f>IF(P33="","",VLOOKUP(Q33,Table1[],2,TRUE))</f>
        <v/>
      </c>
      <c r="S33" s="90" t="str">
        <f>IF(AND(N33="",Q33=""),"",IF(OR(N33="-",Q33="-"),"-",IF(AND(N$3&lt;&gt;0,Q$3&lt;&gt;0),VLOOKUP(AVERAGE(N33,Q33),Table1[],2,TRUE),IF(AND(N$3&lt;&gt;0,Q$3=0),O33,R33))))</f>
        <v/>
      </c>
      <c r="T33" s="70"/>
      <c r="U33" s="70" t="str">
        <f t="shared" si="3"/>
        <v/>
      </c>
      <c r="V33" s="72" t="s">
        <v>18</v>
      </c>
    </row>
    <row r="34" spans="1:22" x14ac:dyDescent="0.25">
      <c r="A34" s="66"/>
      <c r="B34" s="66"/>
      <c r="C34" s="66"/>
      <c r="D34" s="66"/>
      <c r="E34" s="66"/>
      <c r="F34" s="77"/>
      <c r="G34" s="66"/>
      <c r="H34" s="66"/>
      <c r="I34" s="66"/>
      <c r="J34" s="66"/>
      <c r="K34" s="77"/>
      <c r="L34" s="66"/>
      <c r="M34" s="106" t="str">
        <f t="shared" si="0"/>
        <v/>
      </c>
      <c r="N34" s="92" t="str">
        <f t="shared" si="2"/>
        <v/>
      </c>
      <c r="O34" s="81" t="str">
        <f>IF(M34="","",VLOOKUP(N34,Table1[],2,TRUE))</f>
        <v/>
      </c>
      <c r="P34" s="88" t="str">
        <f t="shared" si="1"/>
        <v/>
      </c>
      <c r="Q34" s="94" t="str">
        <f t="shared" si="4"/>
        <v/>
      </c>
      <c r="R34" s="82" t="str">
        <f>IF(P34="","",VLOOKUP(Q34,Table1[],2,TRUE))</f>
        <v/>
      </c>
      <c r="S34" s="90" t="str">
        <f>IF(AND(N34="",Q34=""),"",IF(OR(N34="-",Q34="-"),"-",IF(AND(N$3&lt;&gt;0,Q$3&lt;&gt;0),VLOOKUP(AVERAGE(N34,Q34),Table1[],2,TRUE),IF(AND(N$3&lt;&gt;0,Q$3=0),O34,R34))))</f>
        <v/>
      </c>
      <c r="T34" s="70"/>
      <c r="U34" s="70" t="str">
        <f t="shared" si="3"/>
        <v/>
      </c>
      <c r="V34" s="72" t="s">
        <v>18</v>
      </c>
    </row>
    <row r="35" spans="1:22" x14ac:dyDescent="0.25">
      <c r="A35" s="66"/>
      <c r="B35" s="66"/>
      <c r="C35" s="66"/>
      <c r="D35" s="66"/>
      <c r="E35" s="66"/>
      <c r="F35" s="77"/>
      <c r="G35" s="66"/>
      <c r="H35" s="66"/>
      <c r="I35" s="66"/>
      <c r="J35" s="66"/>
      <c r="K35" s="77"/>
      <c r="L35" s="66"/>
      <c r="M35" s="106" t="str">
        <f t="shared" si="0"/>
        <v/>
      </c>
      <c r="N35" s="92" t="str">
        <f t="shared" si="2"/>
        <v/>
      </c>
      <c r="O35" s="81" t="str">
        <f>IF(M35="","",VLOOKUP(N35,Table1[],2,TRUE))</f>
        <v/>
      </c>
      <c r="P35" s="88" t="str">
        <f t="shared" si="1"/>
        <v/>
      </c>
      <c r="Q35" s="94" t="str">
        <f t="shared" si="4"/>
        <v/>
      </c>
      <c r="R35" s="82" t="str">
        <f>IF(P35="","",VLOOKUP(Q35,Table1[],2,TRUE))</f>
        <v/>
      </c>
      <c r="S35" s="90" t="str">
        <f>IF(AND(N35="",Q35=""),"",IF(OR(N35="-",Q35="-"),"-",IF(AND(N$3&lt;&gt;0,Q$3&lt;&gt;0),VLOOKUP(AVERAGE(N35,Q35),Table1[],2,TRUE),IF(AND(N$3&lt;&gt;0,Q$3=0),O35,R35))))</f>
        <v/>
      </c>
      <c r="T35" s="70"/>
      <c r="U35" s="70" t="str">
        <f t="shared" si="3"/>
        <v/>
      </c>
      <c r="V35" s="72" t="s">
        <v>18</v>
      </c>
    </row>
    <row r="36" spans="1:22" x14ac:dyDescent="0.25">
      <c r="A36" s="66"/>
      <c r="B36" s="66"/>
      <c r="C36" s="66"/>
      <c r="D36" s="66"/>
      <c r="E36" s="66"/>
      <c r="F36" s="77"/>
      <c r="G36" s="66"/>
      <c r="H36" s="66"/>
      <c r="I36" s="66"/>
      <c r="J36" s="66"/>
      <c r="K36" s="77"/>
      <c r="L36" s="66"/>
      <c r="M36" s="106" t="str">
        <f t="shared" si="0"/>
        <v/>
      </c>
      <c r="N36" s="92" t="str">
        <f t="shared" si="2"/>
        <v/>
      </c>
      <c r="O36" s="81" t="str">
        <f>IF(M36="","",VLOOKUP(N36,Table1[],2,TRUE))</f>
        <v/>
      </c>
      <c r="P36" s="88" t="str">
        <f t="shared" si="1"/>
        <v/>
      </c>
      <c r="Q36" s="94" t="str">
        <f t="shared" si="4"/>
        <v/>
      </c>
      <c r="R36" s="82" t="str">
        <f>IF(P36="","",VLOOKUP(Q36,Table1[],2,TRUE))</f>
        <v/>
      </c>
      <c r="S36" s="90" t="str">
        <f>IF(AND(N36="",Q36=""),"",IF(OR(N36="-",Q36="-"),"-",IF(AND(N$3&lt;&gt;0,Q$3&lt;&gt;0),VLOOKUP(AVERAGE(N36,Q36),Table1[],2,TRUE),IF(AND(N$3&lt;&gt;0,Q$3=0),O36,R36))))</f>
        <v/>
      </c>
      <c r="T36" s="70"/>
      <c r="U36" s="70" t="str">
        <f t="shared" si="3"/>
        <v/>
      </c>
      <c r="V36" s="72" t="s">
        <v>18</v>
      </c>
    </row>
    <row r="37" spans="1:22" x14ac:dyDescent="0.25">
      <c r="A37" s="66"/>
      <c r="B37" s="66"/>
      <c r="C37" s="66"/>
      <c r="D37" s="66"/>
      <c r="E37" s="66"/>
      <c r="F37" s="77"/>
      <c r="G37" s="66"/>
      <c r="H37" s="66"/>
      <c r="I37" s="66"/>
      <c r="J37" s="66"/>
      <c r="K37" s="77"/>
      <c r="L37" s="66"/>
      <c r="M37" s="106" t="str">
        <f t="shared" si="0"/>
        <v/>
      </c>
      <c r="N37" s="92" t="str">
        <f t="shared" si="2"/>
        <v/>
      </c>
      <c r="O37" s="81" t="str">
        <f>IF(M37="","",VLOOKUP(N37,Table1[],2,TRUE))</f>
        <v/>
      </c>
      <c r="P37" s="88" t="str">
        <f t="shared" si="1"/>
        <v/>
      </c>
      <c r="Q37" s="94" t="str">
        <f t="shared" si="4"/>
        <v/>
      </c>
      <c r="R37" s="82" t="str">
        <f>IF(P37="","",VLOOKUP(Q37,Table1[],2,TRUE))</f>
        <v/>
      </c>
      <c r="S37" s="90" t="str">
        <f>IF(AND(N37="",Q37=""),"",IF(OR(N37="-",Q37="-"),"-",IF(AND(N$3&lt;&gt;0,Q$3&lt;&gt;0),VLOOKUP(AVERAGE(N37,Q37),Table1[],2,TRUE),IF(AND(N$3&lt;&gt;0,Q$3=0),O37,R37))))</f>
        <v/>
      </c>
      <c r="T37" s="70"/>
      <c r="U37" s="70" t="str">
        <f t="shared" si="3"/>
        <v/>
      </c>
      <c r="V37" s="72" t="s">
        <v>18</v>
      </c>
    </row>
    <row r="38" spans="1:22" x14ac:dyDescent="0.25">
      <c r="A38" s="66"/>
      <c r="B38" s="66"/>
      <c r="C38" s="66"/>
      <c r="D38" s="66"/>
      <c r="E38" s="66"/>
      <c r="F38" s="77"/>
      <c r="G38" s="66"/>
      <c r="H38" s="66"/>
      <c r="I38" s="66"/>
      <c r="J38" s="66"/>
      <c r="K38" s="77"/>
      <c r="L38" s="66"/>
      <c r="M38" s="106" t="str">
        <f t="shared" si="0"/>
        <v/>
      </c>
      <c r="N38" s="92" t="str">
        <f t="shared" si="2"/>
        <v/>
      </c>
      <c r="O38" s="81" t="str">
        <f>IF(M38="","",VLOOKUP(N38,Table1[],2,TRUE))</f>
        <v/>
      </c>
      <c r="P38" s="88" t="str">
        <f t="shared" si="1"/>
        <v/>
      </c>
      <c r="Q38" s="94" t="str">
        <f t="shared" si="4"/>
        <v/>
      </c>
      <c r="R38" s="82" t="str">
        <f>IF(P38="","",VLOOKUP(Q38,Table1[],2,TRUE))</f>
        <v/>
      </c>
      <c r="S38" s="90" t="str">
        <f>IF(AND(N38="",Q38=""),"",IF(OR(N38="-",Q38="-"),"-",IF(AND(N$3&lt;&gt;0,Q$3&lt;&gt;0),VLOOKUP(AVERAGE(N38,Q38),Table1[],2,TRUE),IF(AND(N$3&lt;&gt;0,Q$3=0),O38,R38))))</f>
        <v/>
      </c>
      <c r="T38" s="70"/>
      <c r="U38" s="70" t="str">
        <f t="shared" si="3"/>
        <v/>
      </c>
      <c r="V38" s="72" t="s">
        <v>18</v>
      </c>
    </row>
    <row r="39" spans="1:22" x14ac:dyDescent="0.25">
      <c r="A39" s="66"/>
      <c r="B39" s="66"/>
      <c r="C39" s="66"/>
      <c r="D39" s="66"/>
      <c r="E39" s="66"/>
      <c r="F39" s="77"/>
      <c r="G39" s="66"/>
      <c r="H39" s="66"/>
      <c r="I39" s="66"/>
      <c r="J39" s="66"/>
      <c r="K39" s="77"/>
      <c r="L39" s="66"/>
      <c r="M39" s="106" t="str">
        <f t="shared" si="0"/>
        <v/>
      </c>
      <c r="N39" s="92" t="str">
        <f t="shared" si="2"/>
        <v/>
      </c>
      <c r="O39" s="81" t="str">
        <f>IF(M39="","",VLOOKUP(N39,Table1[],2,TRUE))</f>
        <v/>
      </c>
      <c r="P39" s="88" t="str">
        <f t="shared" si="1"/>
        <v/>
      </c>
      <c r="Q39" s="94" t="str">
        <f t="shared" si="4"/>
        <v/>
      </c>
      <c r="R39" s="82" t="str">
        <f>IF(P39="","",VLOOKUP(Q39,Table1[],2,TRUE))</f>
        <v/>
      </c>
      <c r="S39" s="90" t="str">
        <f>IF(AND(N39="",Q39=""),"",IF(OR(N39="-",Q39="-"),"-",IF(AND(N$3&lt;&gt;0,Q$3&lt;&gt;0),VLOOKUP(AVERAGE(N39,Q39),Table1[],2,TRUE),IF(AND(N$3&lt;&gt;0,Q$3=0),O39,R39))))</f>
        <v/>
      </c>
      <c r="T39" s="70"/>
      <c r="U39" s="70" t="str">
        <f t="shared" si="3"/>
        <v/>
      </c>
      <c r="V39" s="72" t="s">
        <v>18</v>
      </c>
    </row>
    <row r="40" spans="1:22" ht="15.75" thickBot="1" x14ac:dyDescent="0.3">
      <c r="A40" s="78"/>
      <c r="B40" s="78"/>
      <c r="C40" s="78"/>
      <c r="D40" s="78"/>
      <c r="E40" s="78"/>
      <c r="F40" s="79"/>
      <c r="G40" s="78"/>
      <c r="H40" s="78"/>
      <c r="I40" s="78"/>
      <c r="J40" s="78"/>
      <c r="K40" s="79"/>
      <c r="L40" s="102"/>
      <c r="M40" s="107" t="str">
        <f t="shared" si="0"/>
        <v/>
      </c>
      <c r="N40" s="93" t="str">
        <f>IF(M40="","",IF(M40="-","-",M40/N$3))</f>
        <v/>
      </c>
      <c r="O40" s="83" t="str">
        <f>IF(M40="","",VLOOKUP(N40,Table1[],2,TRUE))</f>
        <v/>
      </c>
      <c r="P40" s="89" t="str">
        <f t="shared" si="1"/>
        <v/>
      </c>
      <c r="Q40" s="95" t="str">
        <f>IF(P40="","",IF(P40="-", "-",P40/Q$3))</f>
        <v/>
      </c>
      <c r="R40" s="84" t="str">
        <f>IF(P40="","",VLOOKUP(Q40,Table1[],2,TRUE))</f>
        <v/>
      </c>
      <c r="S40" s="91" t="str">
        <f>IF(AND(N40="",Q40=""),"",IF(OR(N40="-",Q40="-"),"-",IF(AND(N$3&lt;&gt;0,Q$3&lt;&gt;0),VLOOKUP(AVERAGE(N40,Q40),Table1[],2,TRUE),IF(AND(N$3&lt;&gt;0,Q$3=0),O40,R40))))</f>
        <v/>
      </c>
      <c r="T40" s="85"/>
      <c r="U40" s="86" t="str">
        <f t="shared" si="3"/>
        <v/>
      </c>
      <c r="V40" s="76"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2" priority="3" stopIfTrue="1">
      <formula>OR(ISNUMBER(SEARCH("D",O5)),ISNUMBER(SEARCH("E",O5)))</formula>
    </cfRule>
  </conditionalFormatting>
  <conditionalFormatting sqref="A5:J40">
    <cfRule type="expression" dxfId="1" priority="1" stopIfTrue="1">
      <formula>NOT(ISBLANK(A5))</formula>
    </cfRule>
  </conditionalFormatting>
  <conditionalFormatting sqref="A5:J7">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A17" sqref="A17"/>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09"/>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topLeftCell="A10" zoomScaleNormal="100" workbookViewId="0">
      <selection activeCell="E22" sqref="E22"/>
    </sheetView>
  </sheetViews>
  <sheetFormatPr defaultColWidth="9.140625"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ht="75" x14ac:dyDescent="0.25">
      <c r="B3" s="41" t="s">
        <v>45</v>
      </c>
      <c r="C3" s="42" t="s">
        <v>43</v>
      </c>
      <c r="D3" s="43">
        <v>43641</v>
      </c>
      <c r="E3" s="44" t="s">
        <v>46</v>
      </c>
    </row>
    <row r="4" spans="2:7" ht="45" x14ac:dyDescent="0.25">
      <c r="B4" s="45" t="s">
        <v>44</v>
      </c>
      <c r="C4" s="45" t="s">
        <v>43</v>
      </c>
      <c r="D4" s="46">
        <v>43643</v>
      </c>
      <c r="E4" s="47" t="s">
        <v>47</v>
      </c>
    </row>
    <row r="5" spans="2:7" ht="135" x14ac:dyDescent="0.25">
      <c r="B5" s="45" t="s">
        <v>52</v>
      </c>
      <c r="C5" s="45" t="s">
        <v>43</v>
      </c>
      <c r="D5" s="46">
        <v>43655</v>
      </c>
      <c r="E5" s="47" t="s">
        <v>51</v>
      </c>
    </row>
    <row r="6" spans="2:7" x14ac:dyDescent="0.25">
      <c r="B6" s="45" t="s">
        <v>53</v>
      </c>
      <c r="C6" s="45" t="s">
        <v>43</v>
      </c>
      <c r="D6" s="46">
        <v>43663</v>
      </c>
      <c r="E6" s="47" t="s">
        <v>54</v>
      </c>
    </row>
    <row r="7" spans="2:7" ht="60" x14ac:dyDescent="0.25">
      <c r="B7" s="45" t="s">
        <v>55</v>
      </c>
      <c r="C7" s="45" t="s">
        <v>43</v>
      </c>
      <c r="D7" s="46">
        <v>43678</v>
      </c>
      <c r="E7" s="47" t="s">
        <v>56</v>
      </c>
    </row>
    <row r="8" spans="2:7" x14ac:dyDescent="0.25">
      <c r="B8" s="45" t="s">
        <v>57</v>
      </c>
      <c r="C8" s="45" t="s">
        <v>43</v>
      </c>
      <c r="D8" s="46">
        <v>43679</v>
      </c>
      <c r="E8" s="47" t="s">
        <v>58</v>
      </c>
    </row>
    <row r="9" spans="2:7" x14ac:dyDescent="0.25">
      <c r="B9" s="45" t="s">
        <v>59</v>
      </c>
      <c r="C9" s="45" t="s">
        <v>43</v>
      </c>
      <c r="D9" s="46">
        <v>43684</v>
      </c>
      <c r="E9" s="47" t="s">
        <v>60</v>
      </c>
    </row>
    <row r="10" spans="2:7" ht="30" x14ac:dyDescent="0.25">
      <c r="B10" s="45" t="s">
        <v>61</v>
      </c>
      <c r="C10" s="45" t="s">
        <v>43</v>
      </c>
      <c r="D10" s="46">
        <v>43738</v>
      </c>
      <c r="E10" s="47" t="s">
        <v>62</v>
      </c>
    </row>
    <row r="11" spans="2:7" ht="45" x14ac:dyDescent="0.25">
      <c r="B11" s="45" t="s">
        <v>63</v>
      </c>
      <c r="C11" s="45" t="s">
        <v>43</v>
      </c>
      <c r="D11" s="46">
        <v>43742</v>
      </c>
      <c r="E11" s="47" t="s">
        <v>64</v>
      </c>
    </row>
    <row r="12" spans="2:7" x14ac:dyDescent="0.25">
      <c r="B12" s="45" t="s">
        <v>68</v>
      </c>
      <c r="C12" s="45" t="s">
        <v>43</v>
      </c>
      <c r="D12" s="45" t="s">
        <v>69</v>
      </c>
      <c r="E12" s="47" t="s">
        <v>69</v>
      </c>
    </row>
    <row r="13" spans="2:7" ht="30" x14ac:dyDescent="0.25">
      <c r="B13" s="45" t="s">
        <v>70</v>
      </c>
      <c r="C13" s="45" t="s">
        <v>43</v>
      </c>
      <c r="D13" s="69">
        <v>43810</v>
      </c>
      <c r="E13" s="47" t="s">
        <v>71</v>
      </c>
    </row>
    <row r="14" spans="2:7" ht="60" x14ac:dyDescent="0.25">
      <c r="B14" s="45" t="s">
        <v>75</v>
      </c>
      <c r="C14" s="45" t="s">
        <v>43</v>
      </c>
      <c r="D14" s="69">
        <v>43811</v>
      </c>
      <c r="E14" s="47" t="s">
        <v>76</v>
      </c>
    </row>
    <row r="15" spans="2:7" ht="45" x14ac:dyDescent="0.25">
      <c r="B15" s="45" t="s">
        <v>79</v>
      </c>
      <c r="C15" s="45" t="s">
        <v>43</v>
      </c>
      <c r="D15" s="69">
        <v>43895</v>
      </c>
      <c r="E15" s="47" t="s">
        <v>83</v>
      </c>
    </row>
    <row r="16" spans="2:7" x14ac:dyDescent="0.25">
      <c r="B16" s="45" t="s">
        <v>78</v>
      </c>
      <c r="C16" s="45" t="s">
        <v>43</v>
      </c>
      <c r="D16" s="69">
        <v>43895</v>
      </c>
      <c r="E16" s="47" t="s">
        <v>84</v>
      </c>
    </row>
    <row r="17" spans="2:5" ht="90" x14ac:dyDescent="0.25">
      <c r="B17" s="45" t="s">
        <v>86</v>
      </c>
      <c r="C17" s="45" t="s">
        <v>43</v>
      </c>
      <c r="D17" s="69">
        <v>43896</v>
      </c>
      <c r="E17" s="47" t="s">
        <v>85</v>
      </c>
    </row>
    <row r="18" spans="2:5" x14ac:dyDescent="0.25">
      <c r="B18" s="45" t="s">
        <v>88</v>
      </c>
      <c r="C18" s="45" t="s">
        <v>43</v>
      </c>
      <c r="D18" s="69">
        <v>43898</v>
      </c>
      <c r="E18" s="47" t="s">
        <v>89</v>
      </c>
    </row>
    <row r="19" spans="2:5" x14ac:dyDescent="0.25">
      <c r="B19" s="45" t="s">
        <v>91</v>
      </c>
      <c r="C19" s="45" t="s">
        <v>43</v>
      </c>
      <c r="D19" s="69">
        <v>44099</v>
      </c>
      <c r="E19" s="47" t="s">
        <v>92</v>
      </c>
    </row>
    <row r="20" spans="2:5" ht="30" x14ac:dyDescent="0.25">
      <c r="B20" s="45" t="s">
        <v>90</v>
      </c>
      <c r="C20" s="45" t="s">
        <v>43</v>
      </c>
      <c r="D20" s="69">
        <v>44099</v>
      </c>
      <c r="E20" s="47" t="s">
        <v>93</v>
      </c>
    </row>
    <row r="21" spans="2:5" x14ac:dyDescent="0.25">
      <c r="B21" s="45" t="s">
        <v>94</v>
      </c>
      <c r="C21" s="45" t="s">
        <v>43</v>
      </c>
      <c r="D21" s="69">
        <v>44099</v>
      </c>
      <c r="E21" s="47" t="s">
        <v>95</v>
      </c>
    </row>
    <row r="22" spans="2:5" x14ac:dyDescent="0.25">
      <c r="B22" s="45"/>
      <c r="C22" s="45"/>
      <c r="D22" s="45"/>
      <c r="E22" s="47"/>
    </row>
    <row r="23" spans="2:5" x14ac:dyDescent="0.25">
      <c r="B23" s="45"/>
      <c r="C23" s="45"/>
      <c r="D23" s="45"/>
      <c r="E23" s="47"/>
    </row>
    <row r="24" spans="2:5" x14ac:dyDescent="0.25">
      <c r="B24" s="45"/>
      <c r="C24" s="45"/>
      <c r="D24" s="45"/>
      <c r="E24" s="47"/>
    </row>
    <row r="25" spans="2:5" x14ac:dyDescent="0.25">
      <c r="B25" s="45"/>
      <c r="C25" s="45"/>
      <c r="D25" s="45"/>
      <c r="E25" s="47"/>
    </row>
    <row r="26" spans="2:5" x14ac:dyDescent="0.25">
      <c r="B26" s="45"/>
      <c r="C26" s="45"/>
      <c r="D26" s="45"/>
      <c r="E26" s="47"/>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100" spans="1:1" x14ac:dyDescent="0.25">
      <c r="A100"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2020-09-25T06:25:55Z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